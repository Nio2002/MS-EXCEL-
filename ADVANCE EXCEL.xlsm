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_c\Documents\"/>
    </mc:Choice>
  </mc:AlternateContent>
  <xr:revisionPtr revIDLastSave="0" documentId="8_{7D842FAA-3C4B-460E-94EF-995C55480167}" xr6:coauthVersionLast="47" xr6:coauthVersionMax="47" xr10:uidLastSave="{00000000-0000-0000-0000-000000000000}"/>
  <bookViews>
    <workbookView xWindow="-120" yWindow="-120" windowWidth="20730" windowHeight="11160" firstSheet="2" activeTab="6" xr2:uid="{00000000-000D-0000-FFFF-FFFF00000000}"/>
  </bookViews>
  <sheets>
    <sheet name="Questions" sheetId="2" r:id="rId1"/>
    <sheet name="Dataset" sheetId="1" r:id="rId2"/>
    <sheet name="VLOOKUP" sheetId="4" r:id="rId3"/>
    <sheet name="LOOKUP" sheetId="5" r:id="rId4"/>
    <sheet name="INDEX-MATCH" sheetId="6" r:id="rId5"/>
    <sheet name="VLOOKUP-MATCH" sheetId="8" r:id="rId6"/>
    <sheet name="INDEX-MATCH2" sheetId="9" r:id="rId7"/>
  </sheets>
  <definedNames>
    <definedName name="_xlnm._FilterDatabase" localSheetId="6" hidden="1">'INDEX-MATCH2'!$A$2:$G$19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9" l="1" a="1"/>
  <c r="B18" i="9" s="1"/>
  <c r="B19" i="9" a="1"/>
  <c r="B19" i="9" s="1"/>
  <c r="B3" i="9" a="1"/>
  <c r="B3" i="9" s="1"/>
  <c r="B4" i="9" a="1"/>
  <c r="B4" i="9" s="1"/>
  <c r="B5" i="9" a="1"/>
  <c r="B5" i="9" s="1"/>
  <c r="F5" i="9" s="1"/>
  <c r="B6" i="9" a="1"/>
  <c r="B6" i="9" s="1"/>
  <c r="B7" i="9" a="1"/>
  <c r="B7" i="9" s="1"/>
  <c r="B8" i="9" a="1"/>
  <c r="B8" i="9" s="1"/>
  <c r="B9" i="9" a="1"/>
  <c r="B9" i="9" s="1"/>
  <c r="F9" i="9" s="1"/>
  <c r="B10" i="9" a="1"/>
  <c r="B10" i="9" s="1"/>
  <c r="B11" i="9" a="1"/>
  <c r="B11" i="9" s="1"/>
  <c r="G11" i="9" s="1"/>
  <c r="B12" i="9" a="1"/>
  <c r="B12" i="9" s="1"/>
  <c r="B13" i="9" a="1"/>
  <c r="B13" i="9" s="1"/>
  <c r="F13" i="9" s="1"/>
  <c r="B14" i="9" a="1"/>
  <c r="B14" i="9" s="1"/>
  <c r="B15" i="9" a="1"/>
  <c r="B15" i="9" s="1"/>
  <c r="B16" i="9" a="1"/>
  <c r="B16" i="9" s="1"/>
  <c r="B17" i="9" a="1"/>
  <c r="B17" i="9" s="1"/>
  <c r="F17" i="9" s="1"/>
  <c r="B9" i="8"/>
  <c r="E9" i="8"/>
  <c r="B8" i="8"/>
  <c r="E8" i="8"/>
  <c r="B7" i="8"/>
  <c r="E7" i="8"/>
  <c r="B6" i="8"/>
  <c r="E6" i="8"/>
  <c r="B5" i="8"/>
  <c r="E5" i="8"/>
  <c r="N2" i="1"/>
  <c r="P2" i="1" s="1"/>
  <c r="N3" i="1"/>
  <c r="N4" i="1"/>
  <c r="N5" i="1"/>
  <c r="N6" i="1"/>
  <c r="P6" i="1" s="1"/>
  <c r="N7" i="1"/>
  <c r="N8" i="1"/>
  <c r="N9" i="1"/>
  <c r="N10" i="1"/>
  <c r="N11" i="1"/>
  <c r="N12" i="1"/>
  <c r="N13" i="1"/>
  <c r="N14" i="1"/>
  <c r="P14" i="1" s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P30" i="1" s="1"/>
  <c r="N31" i="1"/>
  <c r="N32" i="1"/>
  <c r="N33" i="1"/>
  <c r="N34" i="1"/>
  <c r="N35" i="1"/>
  <c r="N36" i="1"/>
  <c r="N37" i="1"/>
  <c r="N38" i="1"/>
  <c r="P38" i="1" s="1"/>
  <c r="N39" i="1"/>
  <c r="N40" i="1"/>
  <c r="N41" i="1"/>
  <c r="N42" i="1"/>
  <c r="N43" i="1"/>
  <c r="N44" i="1"/>
  <c r="N45" i="1"/>
  <c r="N46" i="1"/>
  <c r="N47" i="1"/>
  <c r="N48" i="1"/>
  <c r="N49" i="1"/>
  <c r="N50" i="1"/>
  <c r="P50" i="1" s="1"/>
  <c r="N51" i="1"/>
  <c r="N52" i="1"/>
  <c r="N53" i="1"/>
  <c r="N54" i="1"/>
  <c r="N55" i="1"/>
  <c r="N56" i="1"/>
  <c r="N57" i="1"/>
  <c r="N58" i="1"/>
  <c r="P58" i="1" s="1"/>
  <c r="N59" i="1"/>
  <c r="N60" i="1"/>
  <c r="N61" i="1"/>
  <c r="N62" i="1"/>
  <c r="P62" i="1" s="1"/>
  <c r="N63" i="1"/>
  <c r="N64" i="1"/>
  <c r="N65" i="1"/>
  <c r="N66" i="1"/>
  <c r="P66" i="1" s="1"/>
  <c r="N67" i="1"/>
  <c r="N68" i="1"/>
  <c r="N69" i="1"/>
  <c r="N70" i="1"/>
  <c r="P70" i="1" s="1"/>
  <c r="N71" i="1"/>
  <c r="N72" i="1"/>
  <c r="N73" i="1"/>
  <c r="N74" i="1"/>
  <c r="P74" i="1" s="1"/>
  <c r="N75" i="1"/>
  <c r="N76" i="1"/>
  <c r="N77" i="1"/>
  <c r="N78" i="1"/>
  <c r="P78" i="1" s="1"/>
  <c r="N79" i="1"/>
  <c r="N80" i="1"/>
  <c r="N81" i="1"/>
  <c r="N82" i="1"/>
  <c r="P82" i="1" s="1"/>
  <c r="N83" i="1"/>
  <c r="N84" i="1"/>
  <c r="N85" i="1"/>
  <c r="N86" i="1"/>
  <c r="P86" i="1" s="1"/>
  <c r="N87" i="1"/>
  <c r="N88" i="1"/>
  <c r="N89" i="1"/>
  <c r="N90" i="1"/>
  <c r="P90" i="1" s="1"/>
  <c r="N91" i="1"/>
  <c r="N92" i="1"/>
  <c r="N93" i="1"/>
  <c r="N94" i="1"/>
  <c r="P94" i="1" s="1"/>
  <c r="N95" i="1"/>
  <c r="N96" i="1"/>
  <c r="N97" i="1"/>
  <c r="N98" i="1"/>
  <c r="N99" i="1"/>
  <c r="N100" i="1"/>
  <c r="N101" i="1"/>
  <c r="N102" i="1"/>
  <c r="P102" i="1" s="1"/>
  <c r="N103" i="1"/>
  <c r="N104" i="1"/>
  <c r="N105" i="1"/>
  <c r="N106" i="1"/>
  <c r="P106" i="1" s="1"/>
  <c r="N107" i="1"/>
  <c r="N108" i="1"/>
  <c r="N109" i="1"/>
  <c r="N110" i="1"/>
  <c r="P110" i="1" s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P134" i="1" s="1"/>
  <c r="N135" i="1"/>
  <c r="N136" i="1"/>
  <c r="N137" i="1"/>
  <c r="N138" i="1"/>
  <c r="N139" i="1"/>
  <c r="N140" i="1"/>
  <c r="N141" i="1"/>
  <c r="N142" i="1"/>
  <c r="P142" i="1" s="1"/>
  <c r="N143" i="1"/>
  <c r="N144" i="1"/>
  <c r="N145" i="1"/>
  <c r="N146" i="1"/>
  <c r="N147" i="1"/>
  <c r="N148" i="1"/>
  <c r="N149" i="1"/>
  <c r="N150" i="1"/>
  <c r="P150" i="1" s="1"/>
  <c r="N151" i="1"/>
  <c r="N152" i="1"/>
  <c r="N153" i="1"/>
  <c r="N154" i="1"/>
  <c r="N155" i="1"/>
  <c r="N156" i="1"/>
  <c r="N157" i="1"/>
  <c r="N158" i="1"/>
  <c r="P158" i="1" s="1"/>
  <c r="N159" i="1"/>
  <c r="N160" i="1"/>
  <c r="N161" i="1"/>
  <c r="N162" i="1"/>
  <c r="N163" i="1"/>
  <c r="N164" i="1"/>
  <c r="N165" i="1"/>
  <c r="N166" i="1"/>
  <c r="N167" i="1"/>
  <c r="N168" i="1"/>
  <c r="N169" i="1"/>
  <c r="N170" i="1"/>
  <c r="P170" i="1" s="1"/>
  <c r="N171" i="1"/>
  <c r="N172" i="1"/>
  <c r="N173" i="1"/>
  <c r="N174" i="1"/>
  <c r="N175" i="1"/>
  <c r="N176" i="1"/>
  <c r="N177" i="1"/>
  <c r="N178" i="1"/>
  <c r="P178" i="1" s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P194" i="1" s="1"/>
  <c r="N195" i="1"/>
  <c r="N196" i="1"/>
  <c r="N197" i="1"/>
  <c r="N198" i="1"/>
  <c r="P198" i="1" s="1"/>
  <c r="N199" i="1"/>
  <c r="N200" i="1"/>
  <c r="N201" i="1"/>
  <c r="N202" i="1"/>
  <c r="N203" i="1"/>
  <c r="N204" i="1"/>
  <c r="N205" i="1"/>
  <c r="N206" i="1"/>
  <c r="P206" i="1" s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P222" i="1" s="1"/>
  <c r="N223" i="1"/>
  <c r="N224" i="1"/>
  <c r="N225" i="1"/>
  <c r="N226" i="1"/>
  <c r="P226" i="1" s="1"/>
  <c r="N227" i="1"/>
  <c r="N228" i="1"/>
  <c r="N229" i="1"/>
  <c r="N230" i="1"/>
  <c r="P230" i="1" s="1"/>
  <c r="N231" i="1"/>
  <c r="N232" i="1"/>
  <c r="N233" i="1"/>
  <c r="N234" i="1"/>
  <c r="N235" i="1"/>
  <c r="N236" i="1"/>
  <c r="N237" i="1"/>
  <c r="N238" i="1"/>
  <c r="P238" i="1" s="1"/>
  <c r="N239" i="1"/>
  <c r="N240" i="1"/>
  <c r="N241" i="1"/>
  <c r="N242" i="1"/>
  <c r="P242" i="1" s="1"/>
  <c r="N243" i="1"/>
  <c r="N244" i="1"/>
  <c r="N245" i="1"/>
  <c r="N246" i="1"/>
  <c r="P246" i="1" s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P278" i="1" s="1"/>
  <c r="N279" i="1"/>
  <c r="N280" i="1"/>
  <c r="N281" i="1"/>
  <c r="N282" i="1"/>
  <c r="N283" i="1"/>
  <c r="N284" i="1"/>
  <c r="N285" i="1"/>
  <c r="N286" i="1"/>
  <c r="P286" i="1" s="1"/>
  <c r="N287" i="1"/>
  <c r="N288" i="1"/>
  <c r="N289" i="1"/>
  <c r="N290" i="1"/>
  <c r="N291" i="1"/>
  <c r="N292" i="1"/>
  <c r="N293" i="1"/>
  <c r="N294" i="1"/>
  <c r="N295" i="1"/>
  <c r="N296" i="1"/>
  <c r="N297" i="1"/>
  <c r="N298" i="1"/>
  <c r="P298" i="1" s="1"/>
  <c r="N299" i="1"/>
  <c r="N300" i="1"/>
  <c r="N301" i="1"/>
  <c r="N302" i="1"/>
  <c r="N303" i="1"/>
  <c r="N304" i="1"/>
  <c r="N305" i="1"/>
  <c r="N306" i="1"/>
  <c r="N307" i="1"/>
  <c r="N308" i="1"/>
  <c r="N309" i="1"/>
  <c r="N310" i="1"/>
  <c r="P310" i="1" s="1"/>
  <c r="N311" i="1"/>
  <c r="N312" i="1"/>
  <c r="N313" i="1"/>
  <c r="N314" i="1"/>
  <c r="P314" i="1" s="1"/>
  <c r="N315" i="1"/>
  <c r="N316" i="1"/>
  <c r="N317" i="1"/>
  <c r="N318" i="1"/>
  <c r="N319" i="1"/>
  <c r="N320" i="1"/>
  <c r="N321" i="1"/>
  <c r="N322" i="1"/>
  <c r="P322" i="1" s="1"/>
  <c r="N323" i="1"/>
  <c r="N324" i="1"/>
  <c r="N325" i="1"/>
  <c r="N326" i="1"/>
  <c r="P326" i="1" s="1"/>
  <c r="N327" i="1"/>
  <c r="N328" i="1"/>
  <c r="N329" i="1"/>
  <c r="N330" i="1"/>
  <c r="N331" i="1"/>
  <c r="N332" i="1"/>
  <c r="N333" i="1"/>
  <c r="N334" i="1"/>
  <c r="N335" i="1"/>
  <c r="N336" i="1"/>
  <c r="N337" i="1"/>
  <c r="N338" i="1"/>
  <c r="P338" i="1" s="1"/>
  <c r="N339" i="1"/>
  <c r="N340" i="1"/>
  <c r="N341" i="1"/>
  <c r="N342" i="1"/>
  <c r="P342" i="1" s="1"/>
  <c r="N343" i="1"/>
  <c r="N344" i="1"/>
  <c r="N345" i="1"/>
  <c r="N346" i="1"/>
  <c r="P346" i="1" s="1"/>
  <c r="N347" i="1"/>
  <c r="N348" i="1"/>
  <c r="N349" i="1"/>
  <c r="N350" i="1"/>
  <c r="P350" i="1" s="1"/>
  <c r="N351" i="1"/>
  <c r="N352" i="1"/>
  <c r="N353" i="1"/>
  <c r="N354" i="1"/>
  <c r="P354" i="1" s="1"/>
  <c r="N355" i="1"/>
  <c r="N356" i="1"/>
  <c r="N357" i="1"/>
  <c r="N358" i="1"/>
  <c r="P358" i="1" s="1"/>
  <c r="N359" i="1"/>
  <c r="N360" i="1"/>
  <c r="N361" i="1"/>
  <c r="N362" i="1"/>
  <c r="N363" i="1"/>
  <c r="P5" i="1"/>
  <c r="P10" i="1"/>
  <c r="P13" i="1"/>
  <c r="P17" i="1"/>
  <c r="P22" i="1"/>
  <c r="P33" i="1"/>
  <c r="P46" i="1"/>
  <c r="P57" i="1"/>
  <c r="P61" i="1"/>
  <c r="P69" i="1"/>
  <c r="P73" i="1"/>
  <c r="P81" i="1"/>
  <c r="P85" i="1"/>
  <c r="P98" i="1"/>
  <c r="P129" i="1"/>
  <c r="P145" i="1"/>
  <c r="P149" i="1"/>
  <c r="P153" i="1"/>
  <c r="P161" i="1"/>
  <c r="P166" i="1"/>
  <c r="P169" i="1"/>
  <c r="P182" i="1"/>
  <c r="P197" i="1"/>
  <c r="P221" i="1"/>
  <c r="P233" i="1"/>
  <c r="P234" i="1"/>
  <c r="P241" i="1"/>
  <c r="P245" i="1"/>
  <c r="P249" i="1"/>
  <c r="P257" i="1"/>
  <c r="P258" i="1"/>
  <c r="P273" i="1"/>
  <c r="P277" i="1"/>
  <c r="P282" i="1"/>
  <c r="P289" i="1"/>
  <c r="P309" i="1"/>
  <c r="P325" i="1"/>
  <c r="P330" i="1"/>
  <c r="P333" i="1"/>
  <c r="P349" i="1"/>
  <c r="B158" i="1"/>
  <c r="E158" i="1"/>
  <c r="B159" i="1"/>
  <c r="E159" i="1"/>
  <c r="B160" i="1"/>
  <c r="E160" i="1"/>
  <c r="B161" i="1"/>
  <c r="E161" i="1"/>
  <c r="B162" i="1"/>
  <c r="E162" i="1"/>
  <c r="B163" i="1"/>
  <c r="E163" i="1"/>
  <c r="B164" i="1"/>
  <c r="E164" i="1"/>
  <c r="B5" i="6"/>
  <c r="B9" i="6"/>
  <c r="B8" i="6"/>
  <c r="B7" i="6"/>
  <c r="B6" i="6"/>
  <c r="B9" i="5"/>
  <c r="B8" i="5"/>
  <c r="B7" i="5"/>
  <c r="I2" i="1"/>
  <c r="L2" i="1" s="1"/>
  <c r="S840" i="1"/>
  <c r="S366" i="1"/>
  <c r="S678" i="1"/>
  <c r="S193" i="1"/>
  <c r="S1006" i="1"/>
  <c r="S194" i="1"/>
  <c r="S2" i="1"/>
  <c r="S367" i="1"/>
  <c r="S522" i="1"/>
  <c r="S523" i="1"/>
  <c r="S841" i="1"/>
  <c r="S195" i="1"/>
  <c r="S1325" i="1"/>
  <c r="S842" i="1"/>
  <c r="S368" i="1"/>
  <c r="S1326" i="1"/>
  <c r="S1158" i="1"/>
  <c r="S1159" i="1"/>
  <c r="S524" i="1"/>
  <c r="S1160" i="1"/>
  <c r="S679" i="1"/>
  <c r="S369" i="1"/>
  <c r="S680" i="1"/>
  <c r="S3" i="1"/>
  <c r="S843" i="1"/>
  <c r="S1327" i="1"/>
  <c r="S1161" i="1"/>
  <c r="S1162" i="1"/>
  <c r="S525" i="1"/>
  <c r="S681" i="1"/>
  <c r="S1163" i="1"/>
  <c r="S526" i="1"/>
  <c r="S682" i="1"/>
  <c r="S1007" i="1"/>
  <c r="S1328" i="1"/>
  <c r="S844" i="1"/>
  <c r="S683" i="1"/>
  <c r="S1008" i="1"/>
  <c r="S527" i="1"/>
  <c r="S845" i="1"/>
  <c r="S196" i="1"/>
  <c r="S684" i="1"/>
  <c r="S528" i="1"/>
  <c r="S1164" i="1"/>
  <c r="S529" i="1"/>
  <c r="S370" i="1"/>
  <c r="S371" i="1"/>
  <c r="S1329" i="1"/>
  <c r="S4" i="1"/>
  <c r="S5" i="1"/>
  <c r="S1165" i="1"/>
  <c r="S372" i="1"/>
  <c r="S6" i="1"/>
  <c r="S1330" i="1"/>
  <c r="S7" i="1"/>
  <c r="S373" i="1"/>
  <c r="S1166" i="1"/>
  <c r="S846" i="1"/>
  <c r="S1009" i="1"/>
  <c r="S1010" i="1"/>
  <c r="S1167" i="1"/>
  <c r="S530" i="1"/>
  <c r="S374" i="1"/>
  <c r="S685" i="1"/>
  <c r="S686" i="1"/>
  <c r="S1168" i="1"/>
  <c r="S847" i="1"/>
  <c r="S531" i="1"/>
  <c r="S1331" i="1"/>
  <c r="S1169" i="1"/>
  <c r="S8" i="1"/>
  <c r="S1170" i="1"/>
  <c r="S1011" i="1"/>
  <c r="S375" i="1"/>
  <c r="S197" i="1"/>
  <c r="S1171" i="1"/>
  <c r="S1172" i="1"/>
  <c r="S376" i="1"/>
  <c r="S1332" i="1"/>
  <c r="S687" i="1"/>
  <c r="S198" i="1"/>
  <c r="S532" i="1"/>
  <c r="S1012" i="1"/>
  <c r="S848" i="1"/>
  <c r="S688" i="1"/>
  <c r="S1173" i="1"/>
  <c r="S533" i="1"/>
  <c r="S689" i="1"/>
  <c r="S199" i="1"/>
  <c r="S1333" i="1"/>
  <c r="S534" i="1"/>
  <c r="S200" i="1"/>
  <c r="S849" i="1"/>
  <c r="S1013" i="1"/>
  <c r="S9" i="1"/>
  <c r="S690" i="1"/>
  <c r="S535" i="1"/>
  <c r="S691" i="1"/>
  <c r="S201" i="1"/>
  <c r="S692" i="1"/>
  <c r="S1174" i="1"/>
  <c r="S1014" i="1"/>
  <c r="S202" i="1"/>
  <c r="S1334" i="1"/>
  <c r="S1015" i="1"/>
  <c r="S203" i="1"/>
  <c r="S850" i="1"/>
  <c r="S204" i="1"/>
  <c r="S693" i="1"/>
  <c r="S1175" i="1"/>
  <c r="S10" i="1"/>
  <c r="S205" i="1"/>
  <c r="S206" i="1"/>
  <c r="S1335" i="1"/>
  <c r="S1336" i="1"/>
  <c r="S1016" i="1"/>
  <c r="S851" i="1"/>
  <c r="S852" i="1"/>
  <c r="S1337" i="1"/>
  <c r="S1338" i="1"/>
  <c r="S377" i="1"/>
  <c r="S853" i="1"/>
  <c r="S854" i="1"/>
  <c r="S1017" i="1"/>
  <c r="S378" i="1"/>
  <c r="S694" i="1"/>
  <c r="S1018" i="1"/>
  <c r="S379" i="1"/>
  <c r="S1339" i="1"/>
  <c r="S1340" i="1"/>
  <c r="S380" i="1"/>
  <c r="S207" i="1"/>
  <c r="S1019" i="1"/>
  <c r="S855" i="1"/>
  <c r="S208" i="1"/>
  <c r="S11" i="1"/>
  <c r="S1341" i="1"/>
  <c r="S1176" i="1"/>
  <c r="S12" i="1"/>
  <c r="S1020" i="1"/>
  <c r="S856" i="1"/>
  <c r="S857" i="1"/>
  <c r="S1021" i="1"/>
  <c r="S1177" i="1"/>
  <c r="S13" i="1"/>
  <c r="S1022" i="1"/>
  <c r="S209" i="1"/>
  <c r="S536" i="1"/>
  <c r="S1342" i="1"/>
  <c r="S1343" i="1"/>
  <c r="S858" i="1"/>
  <c r="S210" i="1"/>
  <c r="S381" i="1"/>
  <c r="S537" i="1"/>
  <c r="S859" i="1"/>
  <c r="S1344" i="1"/>
  <c r="S695" i="1"/>
  <c r="S382" i="1"/>
  <c r="S14" i="1"/>
  <c r="S538" i="1"/>
  <c r="S860" i="1"/>
  <c r="S1023" i="1"/>
  <c r="S15" i="1"/>
  <c r="S1178" i="1"/>
  <c r="S16" i="1"/>
  <c r="S1179" i="1"/>
  <c r="S539" i="1"/>
  <c r="S383" i="1"/>
  <c r="S861" i="1"/>
  <c r="S384" i="1"/>
  <c r="S696" i="1"/>
  <c r="S697" i="1"/>
  <c r="S17" i="1"/>
  <c r="S385" i="1"/>
  <c r="S698" i="1"/>
  <c r="S699" i="1"/>
  <c r="S1345" i="1"/>
  <c r="S386" i="1"/>
  <c r="S1346" i="1"/>
  <c r="S211" i="1"/>
  <c r="S18" i="1"/>
  <c r="S1347" i="1"/>
  <c r="S19" i="1"/>
  <c r="S387" i="1"/>
  <c r="S1024" i="1"/>
  <c r="S700" i="1"/>
  <c r="S540" i="1"/>
  <c r="S862" i="1"/>
  <c r="S1348" i="1"/>
  <c r="S541" i="1"/>
  <c r="S212" i="1"/>
  <c r="S213" i="1"/>
  <c r="S863" i="1"/>
  <c r="S701" i="1"/>
  <c r="S1349" i="1"/>
  <c r="S214" i="1"/>
  <c r="S1180" i="1"/>
  <c r="S1025" i="1"/>
  <c r="S215" i="1"/>
  <c r="S20" i="1"/>
  <c r="S702" i="1"/>
  <c r="S388" i="1"/>
  <c r="S21" i="1"/>
  <c r="S216" i="1"/>
  <c r="S217" i="1"/>
  <c r="S1026" i="1"/>
  <c r="S542" i="1"/>
  <c r="S218" i="1"/>
  <c r="S389" i="1"/>
  <c r="S219" i="1"/>
  <c r="S1350" i="1"/>
  <c r="S543" i="1"/>
  <c r="S864" i="1"/>
  <c r="S703" i="1"/>
  <c r="S1181" i="1"/>
  <c r="S544" i="1"/>
  <c r="S1027" i="1"/>
  <c r="S704" i="1"/>
  <c r="S22" i="1"/>
  <c r="S705" i="1"/>
  <c r="S23" i="1"/>
  <c r="S24" i="1"/>
  <c r="S220" i="1"/>
  <c r="S1028" i="1"/>
  <c r="S1351" i="1"/>
  <c r="S545" i="1"/>
  <c r="S1029" i="1"/>
  <c r="S706" i="1"/>
  <c r="S865" i="1"/>
  <c r="S25" i="1"/>
  <c r="S221" i="1"/>
  <c r="S1030" i="1"/>
  <c r="S866" i="1"/>
  <c r="S1031" i="1"/>
  <c r="S1352" i="1"/>
  <c r="S546" i="1"/>
  <c r="S390" i="1"/>
  <c r="S1032" i="1"/>
  <c r="S547" i="1"/>
  <c r="S26" i="1"/>
  <c r="S1182" i="1"/>
  <c r="S1033" i="1"/>
  <c r="S222" i="1"/>
  <c r="S391" i="1"/>
  <c r="S392" i="1"/>
  <c r="S1353" i="1"/>
  <c r="S223" i="1"/>
  <c r="S27" i="1"/>
  <c r="S224" i="1"/>
  <c r="S548" i="1"/>
  <c r="S225" i="1"/>
  <c r="S28" i="1"/>
  <c r="S1183" i="1"/>
  <c r="S226" i="1"/>
  <c r="S867" i="1"/>
  <c r="S868" i="1"/>
  <c r="S227" i="1"/>
  <c r="S707" i="1"/>
  <c r="S869" i="1"/>
  <c r="S393" i="1"/>
  <c r="S1034" i="1"/>
  <c r="S870" i="1"/>
  <c r="S549" i="1"/>
  <c r="S29" i="1"/>
  <c r="S550" i="1"/>
  <c r="S1035" i="1"/>
  <c r="S228" i="1"/>
  <c r="S229" i="1"/>
  <c r="S871" i="1"/>
  <c r="S230" i="1"/>
  <c r="S551" i="1"/>
  <c r="S552" i="1"/>
  <c r="S708" i="1"/>
  <c r="S1036" i="1"/>
  <c r="S553" i="1"/>
  <c r="S1354" i="1"/>
  <c r="S554" i="1"/>
  <c r="S1184" i="1"/>
  <c r="S709" i="1"/>
  <c r="S710" i="1"/>
  <c r="S394" i="1"/>
  <c r="S1355" i="1"/>
  <c r="S711" i="1"/>
  <c r="S1037" i="1"/>
  <c r="S395" i="1"/>
  <c r="S1038" i="1"/>
  <c r="S231" i="1"/>
  <c r="S555" i="1"/>
  <c r="S1039" i="1"/>
  <c r="S1185" i="1"/>
  <c r="S232" i="1"/>
  <c r="S872" i="1"/>
  <c r="S30" i="1"/>
  <c r="S31" i="1"/>
  <c r="S396" i="1"/>
  <c r="S556" i="1"/>
  <c r="S712" i="1"/>
  <c r="S713" i="1"/>
  <c r="S714" i="1"/>
  <c r="S1356" i="1"/>
  <c r="S233" i="1"/>
  <c r="S1040" i="1"/>
  <c r="S557" i="1"/>
  <c r="S715" i="1"/>
  <c r="S558" i="1"/>
  <c r="S234" i="1"/>
  <c r="S235" i="1"/>
  <c r="S32" i="1"/>
  <c r="S1041" i="1"/>
  <c r="S1357" i="1"/>
  <c r="S1358" i="1"/>
  <c r="S716" i="1"/>
  <c r="S397" i="1"/>
  <c r="S236" i="1"/>
  <c r="S1186" i="1"/>
  <c r="S237" i="1"/>
  <c r="S398" i="1"/>
  <c r="S873" i="1"/>
  <c r="S33" i="1"/>
  <c r="S1187" i="1"/>
  <c r="S1042" i="1"/>
  <c r="S238" i="1"/>
  <c r="S1188" i="1"/>
  <c r="S1043" i="1"/>
  <c r="S399" i="1"/>
  <c r="S1359" i="1"/>
  <c r="S559" i="1"/>
  <c r="S874" i="1"/>
  <c r="S875" i="1"/>
  <c r="S1189" i="1"/>
  <c r="S1044" i="1"/>
  <c r="S1045" i="1"/>
  <c r="S1190" i="1"/>
  <c r="S1360" i="1"/>
  <c r="S1361" i="1"/>
  <c r="S876" i="1"/>
  <c r="S877" i="1"/>
  <c r="S1362" i="1"/>
  <c r="S878" i="1"/>
  <c r="S1046" i="1"/>
  <c r="S1047" i="1"/>
  <c r="S560" i="1"/>
  <c r="S1048" i="1"/>
  <c r="S239" i="1"/>
  <c r="S1191" i="1"/>
  <c r="S717" i="1"/>
  <c r="S1192" i="1"/>
  <c r="S879" i="1"/>
  <c r="S1049" i="1"/>
  <c r="S561" i="1"/>
  <c r="S562" i="1"/>
  <c r="S34" i="1"/>
  <c r="S1363" i="1"/>
  <c r="S400" i="1"/>
  <c r="S1193" i="1"/>
  <c r="S718" i="1"/>
  <c r="S563" i="1"/>
  <c r="S719" i="1"/>
  <c r="S35" i="1"/>
  <c r="S1364" i="1"/>
  <c r="S401" i="1"/>
  <c r="S1194" i="1"/>
  <c r="S1050" i="1"/>
  <c r="S36" i="1"/>
  <c r="S240" i="1"/>
  <c r="S241" i="1"/>
  <c r="S1051" i="1"/>
  <c r="S37" i="1"/>
  <c r="S242" i="1"/>
  <c r="S1365" i="1"/>
  <c r="S38" i="1"/>
  <c r="S880" i="1"/>
  <c r="S39" i="1"/>
  <c r="S564" i="1"/>
  <c r="S1195" i="1"/>
  <c r="S1196" i="1"/>
  <c r="S40" i="1"/>
  <c r="S1197" i="1"/>
  <c r="S402" i="1"/>
  <c r="S881" i="1"/>
  <c r="S1198" i="1"/>
  <c r="S720" i="1"/>
  <c r="S882" i="1"/>
  <c r="S243" i="1"/>
  <c r="S403" i="1"/>
  <c r="S1052" i="1"/>
  <c r="S41" i="1"/>
  <c r="S1053" i="1"/>
  <c r="S1199" i="1"/>
  <c r="S721" i="1"/>
  <c r="S404" i="1"/>
  <c r="S883" i="1"/>
  <c r="S1054" i="1"/>
  <c r="S405" i="1"/>
  <c r="S1366" i="1"/>
  <c r="S722" i="1"/>
  <c r="S244" i="1"/>
  <c r="S1200" i="1"/>
  <c r="S1055" i="1"/>
  <c r="S42" i="1"/>
  <c r="S406" i="1"/>
  <c r="S245" i="1"/>
  <c r="S246" i="1"/>
  <c r="S43" i="1"/>
  <c r="S44" i="1"/>
  <c r="S723" i="1"/>
  <c r="S565" i="1"/>
  <c r="S407" i="1"/>
  <c r="S247" i="1"/>
  <c r="S1056" i="1"/>
  <c r="S566" i="1"/>
  <c r="S45" i="1"/>
  <c r="S248" i="1"/>
  <c r="S1201" i="1"/>
  <c r="S1367" i="1"/>
  <c r="S567" i="1"/>
  <c r="S568" i="1"/>
  <c r="S408" i="1"/>
  <c r="S249" i="1"/>
  <c r="S250" i="1"/>
  <c r="S1057" i="1"/>
  <c r="S1368" i="1"/>
  <c r="S1202" i="1"/>
  <c r="S251" i="1"/>
  <c r="S46" i="1"/>
  <c r="S409" i="1"/>
  <c r="S724" i="1"/>
  <c r="S1369" i="1"/>
  <c r="S884" i="1"/>
  <c r="S410" i="1"/>
  <c r="S47" i="1"/>
  <c r="S252" i="1"/>
  <c r="S1058" i="1"/>
  <c r="S411" i="1"/>
  <c r="S1370" i="1"/>
  <c r="S1059" i="1"/>
  <c r="S569" i="1"/>
  <c r="S725" i="1"/>
  <c r="S1371" i="1"/>
  <c r="S1203" i="1"/>
  <c r="S48" i="1"/>
  <c r="S1204" i="1"/>
  <c r="S1060" i="1"/>
  <c r="S726" i="1"/>
  <c r="S1061" i="1"/>
  <c r="S570" i="1"/>
  <c r="S412" i="1"/>
  <c r="S49" i="1"/>
  <c r="S571" i="1"/>
  <c r="S253" i="1"/>
  <c r="S572" i="1"/>
  <c r="S885" i="1"/>
  <c r="S1372" i="1"/>
  <c r="S1062" i="1"/>
  <c r="S886" i="1"/>
  <c r="S887" i="1"/>
  <c r="S413" i="1"/>
  <c r="S888" i="1"/>
  <c r="S727" i="1"/>
  <c r="S1205" i="1"/>
  <c r="S1206" i="1"/>
  <c r="S728" i="1"/>
  <c r="S573" i="1"/>
  <c r="S574" i="1"/>
  <c r="S1207" i="1"/>
  <c r="S1208" i="1"/>
  <c r="S1063" i="1"/>
  <c r="S729" i="1"/>
  <c r="S414" i="1"/>
  <c r="S1064" i="1"/>
  <c r="S889" i="1"/>
  <c r="S890" i="1"/>
  <c r="S415" i="1"/>
  <c r="S1209" i="1"/>
  <c r="S891" i="1"/>
  <c r="S254" i="1"/>
  <c r="S730" i="1"/>
  <c r="S731" i="1"/>
  <c r="S732" i="1"/>
  <c r="S575" i="1"/>
  <c r="S255" i="1"/>
  <c r="S733" i="1"/>
  <c r="S50" i="1"/>
  <c r="S576" i="1"/>
  <c r="S51" i="1"/>
  <c r="S1065" i="1"/>
  <c r="S256" i="1"/>
  <c r="S1066" i="1"/>
  <c r="S734" i="1"/>
  <c r="S1373" i="1"/>
  <c r="S735" i="1"/>
  <c r="S577" i="1"/>
  <c r="S1210" i="1"/>
  <c r="S416" i="1"/>
  <c r="S417" i="1"/>
  <c r="S1211" i="1"/>
  <c r="S1212" i="1"/>
  <c r="S418" i="1"/>
  <c r="S52" i="1"/>
  <c r="S53" i="1"/>
  <c r="S1067" i="1"/>
  <c r="S419" i="1"/>
  <c r="S420" i="1"/>
  <c r="S1213" i="1"/>
  <c r="S54" i="1"/>
  <c r="S892" i="1"/>
  <c r="S578" i="1"/>
  <c r="S1374" i="1"/>
  <c r="S893" i="1"/>
  <c r="S421" i="1"/>
  <c r="S422" i="1"/>
  <c r="S1068" i="1"/>
  <c r="S1375" i="1"/>
  <c r="S1214" i="1"/>
  <c r="S55" i="1"/>
  <c r="S894" i="1"/>
  <c r="S895" i="1"/>
  <c r="S257" i="1"/>
  <c r="S56" i="1"/>
  <c r="S1215" i="1"/>
  <c r="S1069" i="1"/>
  <c r="S258" i="1"/>
  <c r="S259" i="1"/>
  <c r="S736" i="1"/>
  <c r="S260" i="1"/>
  <c r="S1376" i="1"/>
  <c r="S57" i="1"/>
  <c r="S1216" i="1"/>
  <c r="S261" i="1"/>
  <c r="S579" i="1"/>
  <c r="S896" i="1"/>
  <c r="S262" i="1"/>
  <c r="S580" i="1"/>
  <c r="S58" i="1"/>
  <c r="S1070" i="1"/>
  <c r="S897" i="1"/>
  <c r="S581" i="1"/>
  <c r="S737" i="1"/>
  <c r="S1217" i="1"/>
  <c r="S1071" i="1"/>
  <c r="S898" i="1"/>
  <c r="S263" i="1"/>
  <c r="S1377" i="1"/>
  <c r="S423" i="1"/>
  <c r="S738" i="1"/>
  <c r="S739" i="1"/>
  <c r="S1218" i="1"/>
  <c r="S740" i="1"/>
  <c r="S1378" i="1"/>
  <c r="S1219" i="1"/>
  <c r="S1220" i="1"/>
  <c r="S264" i="1"/>
  <c r="S1379" i="1"/>
  <c r="S899" i="1"/>
  <c r="S424" i="1"/>
  <c r="S59" i="1"/>
  <c r="S1072" i="1"/>
  <c r="S741" i="1"/>
  <c r="S742" i="1"/>
  <c r="S1380" i="1"/>
  <c r="S582" i="1"/>
  <c r="S1073" i="1"/>
  <c r="S425" i="1"/>
  <c r="S426" i="1"/>
  <c r="S265" i="1"/>
  <c r="S900" i="1"/>
  <c r="S60" i="1"/>
  <c r="S1381" i="1"/>
  <c r="S266" i="1"/>
  <c r="S1382" i="1"/>
  <c r="S61" i="1"/>
  <c r="S1221" i="1"/>
  <c r="S1074" i="1"/>
  <c r="S427" i="1"/>
  <c r="S901" i="1"/>
  <c r="S583" i="1"/>
  <c r="S62" i="1"/>
  <c r="S63" i="1"/>
  <c r="S1222" i="1"/>
  <c r="S1075" i="1"/>
  <c r="S743" i="1"/>
  <c r="S267" i="1"/>
  <c r="S1383" i="1"/>
  <c r="S64" i="1"/>
  <c r="S1223" i="1"/>
  <c r="S268" i="1"/>
  <c r="S269" i="1"/>
  <c r="S1384" i="1"/>
  <c r="S1224" i="1"/>
  <c r="S1385" i="1"/>
  <c r="S1076" i="1"/>
  <c r="S1386" i="1"/>
  <c r="S428" i="1"/>
  <c r="S1225" i="1"/>
  <c r="S744" i="1"/>
  <c r="S902" i="1"/>
  <c r="S429" i="1"/>
  <c r="S903" i="1"/>
  <c r="S1387" i="1"/>
  <c r="S65" i="1"/>
  <c r="S66" i="1"/>
  <c r="S67" i="1"/>
  <c r="S584" i="1"/>
  <c r="S270" i="1"/>
  <c r="S68" i="1"/>
  <c r="S1388" i="1"/>
  <c r="S585" i="1"/>
  <c r="S1389" i="1"/>
  <c r="S904" i="1"/>
  <c r="S745" i="1"/>
  <c r="S586" i="1"/>
  <c r="S1390" i="1"/>
  <c r="S271" i="1"/>
  <c r="S69" i="1"/>
  <c r="S1391" i="1"/>
  <c r="S746" i="1"/>
  <c r="S430" i="1"/>
  <c r="S747" i="1"/>
  <c r="S1077" i="1"/>
  <c r="S1392" i="1"/>
  <c r="S70" i="1"/>
  <c r="S748" i="1"/>
  <c r="S905" i="1"/>
  <c r="S1393" i="1"/>
  <c r="S272" i="1"/>
  <c r="S1078" i="1"/>
  <c r="S273" i="1"/>
  <c r="S1226" i="1"/>
  <c r="S71" i="1"/>
  <c r="S431" i="1"/>
  <c r="S749" i="1"/>
  <c r="S750" i="1"/>
  <c r="S72" i="1"/>
  <c r="S1227" i="1"/>
  <c r="S73" i="1"/>
  <c r="S274" i="1"/>
  <c r="S1394" i="1"/>
  <c r="S1228" i="1"/>
  <c r="S1395" i="1"/>
  <c r="S906" i="1"/>
  <c r="S74" i="1"/>
  <c r="S75" i="1"/>
  <c r="S432" i="1"/>
  <c r="S751" i="1"/>
  <c r="S907" i="1"/>
  <c r="S908" i="1"/>
  <c r="S1229" i="1"/>
  <c r="S752" i="1"/>
  <c r="S587" i="1"/>
  <c r="S1079" i="1"/>
  <c r="S1230" i="1"/>
  <c r="S433" i="1"/>
  <c r="S909" i="1"/>
  <c r="S76" i="1"/>
  <c r="S77" i="1"/>
  <c r="S1080" i="1"/>
  <c r="S1081" i="1"/>
  <c r="S753" i="1"/>
  <c r="S1231" i="1"/>
  <c r="S275" i="1"/>
  <c r="S1082" i="1"/>
  <c r="S1232" i="1"/>
  <c r="S276" i="1"/>
  <c r="S1396" i="1"/>
  <c r="S78" i="1"/>
  <c r="S434" i="1"/>
  <c r="S277" i="1"/>
  <c r="S1233" i="1"/>
  <c r="S1397" i="1"/>
  <c r="S588" i="1"/>
  <c r="S79" i="1"/>
  <c r="S1398" i="1"/>
  <c r="S1083" i="1"/>
  <c r="S910" i="1"/>
  <c r="S278" i="1"/>
  <c r="S279" i="1"/>
  <c r="S1084" i="1"/>
  <c r="S80" i="1"/>
  <c r="S435" i="1"/>
  <c r="S436" i="1"/>
  <c r="S754" i="1"/>
  <c r="S1399" i="1"/>
  <c r="S437" i="1"/>
  <c r="S1085" i="1"/>
  <c r="S1086" i="1"/>
  <c r="S438" i="1"/>
  <c r="S81" i="1"/>
  <c r="S589" i="1"/>
  <c r="S1400" i="1"/>
  <c r="S1401" i="1"/>
  <c r="S82" i="1"/>
  <c r="S755" i="1"/>
  <c r="S83" i="1"/>
  <c r="S1234" i="1"/>
  <c r="S756" i="1"/>
  <c r="S1402" i="1"/>
  <c r="S911" i="1"/>
  <c r="S280" i="1"/>
  <c r="S757" i="1"/>
  <c r="S590" i="1"/>
  <c r="S84" i="1"/>
  <c r="S1087" i="1"/>
  <c r="S85" i="1"/>
  <c r="S1235" i="1"/>
  <c r="S439" i="1"/>
  <c r="S758" i="1"/>
  <c r="S759" i="1"/>
  <c r="S281" i="1"/>
  <c r="S86" i="1"/>
  <c r="S87" i="1"/>
  <c r="S1236" i="1"/>
  <c r="S1237" i="1"/>
  <c r="S1238" i="1"/>
  <c r="S591" i="1"/>
  <c r="S912" i="1"/>
  <c r="S1239" i="1"/>
  <c r="S1088" i="1"/>
  <c r="S760" i="1"/>
  <c r="S913" i="1"/>
  <c r="S761" i="1"/>
  <c r="S88" i="1"/>
  <c r="S762" i="1"/>
  <c r="S763" i="1"/>
  <c r="S440" i="1"/>
  <c r="S441" i="1"/>
  <c r="S442" i="1"/>
  <c r="S1240" i="1"/>
  <c r="S89" i="1"/>
  <c r="S1089" i="1"/>
  <c r="S282" i="1"/>
  <c r="S1403" i="1"/>
  <c r="S1241" i="1"/>
  <c r="S1090" i="1"/>
  <c r="S283" i="1"/>
  <c r="S90" i="1"/>
  <c r="S443" i="1"/>
  <c r="S1091" i="1"/>
  <c r="S91" i="1"/>
  <c r="S1242" i="1"/>
  <c r="S444" i="1"/>
  <c r="S764" i="1"/>
  <c r="S914" i="1"/>
  <c r="S915" i="1"/>
  <c r="S1243" i="1"/>
  <c r="S92" i="1"/>
  <c r="S916" i="1"/>
  <c r="S765" i="1"/>
  <c r="S284" i="1"/>
  <c r="S93" i="1"/>
  <c r="S1092" i="1"/>
  <c r="S1404" i="1"/>
  <c r="S1244" i="1"/>
  <c r="S94" i="1"/>
  <c r="S95" i="1"/>
  <c r="S1405" i="1"/>
  <c r="S285" i="1"/>
  <c r="S592" i="1"/>
  <c r="S96" i="1"/>
  <c r="S593" i="1"/>
  <c r="S594" i="1"/>
  <c r="S595" i="1"/>
  <c r="S286" i="1"/>
  <c r="S1245" i="1"/>
  <c r="S445" i="1"/>
  <c r="S1246" i="1"/>
  <c r="S1247" i="1"/>
  <c r="S97" i="1"/>
  <c r="S446" i="1"/>
  <c r="S287" i="1"/>
  <c r="S1093" i="1"/>
  <c r="S1094" i="1"/>
  <c r="S1406" i="1"/>
  <c r="S288" i="1"/>
  <c r="S447" i="1"/>
  <c r="S448" i="1"/>
  <c r="S1407" i="1"/>
  <c r="S1248" i="1"/>
  <c r="S98" i="1"/>
  <c r="S917" i="1"/>
  <c r="S449" i="1"/>
  <c r="S918" i="1"/>
  <c r="S289" i="1"/>
  <c r="S919" i="1"/>
  <c r="S1249" i="1"/>
  <c r="S99" i="1"/>
  <c r="S596" i="1"/>
  <c r="S766" i="1"/>
  <c r="S100" i="1"/>
  <c r="S920" i="1"/>
  <c r="S1250" i="1"/>
  <c r="S450" i="1"/>
  <c r="S921" i="1"/>
  <c r="S1408" i="1"/>
  <c r="S922" i="1"/>
  <c r="S1251" i="1"/>
  <c r="S1252" i="1"/>
  <c r="S1095" i="1"/>
  <c r="S1096" i="1"/>
  <c r="S290" i="1"/>
  <c r="S451" i="1"/>
  <c r="S101" i="1"/>
  <c r="S1253" i="1"/>
  <c r="S1097" i="1"/>
  <c r="S597" i="1"/>
  <c r="S1254" i="1"/>
  <c r="S1409" i="1"/>
  <c r="S291" i="1"/>
  <c r="S1410" i="1"/>
  <c r="S452" i="1"/>
  <c r="S292" i="1"/>
  <c r="S767" i="1"/>
  <c r="S1098" i="1"/>
  <c r="S453" i="1"/>
  <c r="S102" i="1"/>
  <c r="S293" i="1"/>
  <c r="S294" i="1"/>
  <c r="S1099" i="1"/>
  <c r="S598" i="1"/>
  <c r="S103" i="1"/>
  <c r="S599" i="1"/>
  <c r="S923" i="1"/>
  <c r="S295" i="1"/>
  <c r="S1255" i="1"/>
  <c r="S600" i="1"/>
  <c r="S454" i="1"/>
  <c r="S296" i="1"/>
  <c r="S1100" i="1"/>
  <c r="S1411" i="1"/>
  <c r="S1256" i="1"/>
  <c r="S1101" i="1"/>
  <c r="S924" i="1"/>
  <c r="S104" i="1"/>
  <c r="S1257" i="1"/>
  <c r="S297" i="1"/>
  <c r="S1102" i="1"/>
  <c r="S1412" i="1"/>
  <c r="S925" i="1"/>
  <c r="S298" i="1"/>
  <c r="S1258" i="1"/>
  <c r="S105" i="1"/>
  <c r="S601" i="1"/>
  <c r="S926" i="1"/>
  <c r="S1259" i="1"/>
  <c r="S1260" i="1"/>
  <c r="S106" i="1"/>
  <c r="S1103" i="1"/>
  <c r="S602" i="1"/>
  <c r="S603" i="1"/>
  <c r="S604" i="1"/>
  <c r="S1104" i="1"/>
  <c r="S1413" i="1"/>
  <c r="S1414" i="1"/>
  <c r="S455" i="1"/>
  <c r="S107" i="1"/>
  <c r="S1415" i="1"/>
  <c r="S1261" i="1"/>
  <c r="S605" i="1"/>
  <c r="S108" i="1"/>
  <c r="S606" i="1"/>
  <c r="S768" i="1"/>
  <c r="S1105" i="1"/>
  <c r="S299" i="1"/>
  <c r="S456" i="1"/>
  <c r="S1262" i="1"/>
  <c r="S457" i="1"/>
  <c r="S769" i="1"/>
  <c r="S300" i="1"/>
  <c r="S1263" i="1"/>
  <c r="S1416" i="1"/>
  <c r="S458" i="1"/>
  <c r="S459" i="1"/>
  <c r="S927" i="1"/>
  <c r="S928" i="1"/>
  <c r="S1417" i="1"/>
  <c r="S301" i="1"/>
  <c r="S302" i="1"/>
  <c r="S929" i="1"/>
  <c r="S1264" i="1"/>
  <c r="S303" i="1"/>
  <c r="S607" i="1"/>
  <c r="S770" i="1"/>
  <c r="S304" i="1"/>
  <c r="S608" i="1"/>
  <c r="S109" i="1"/>
  <c r="S1106" i="1"/>
  <c r="S930" i="1"/>
  <c r="S1265" i="1"/>
  <c r="S1266" i="1"/>
  <c r="S609" i="1"/>
  <c r="S1107" i="1"/>
  <c r="S1108" i="1"/>
  <c r="S305" i="1"/>
  <c r="S110" i="1"/>
  <c r="S460" i="1"/>
  <c r="S771" i="1"/>
  <c r="S1267" i="1"/>
  <c r="S1418" i="1"/>
  <c r="S931" i="1"/>
  <c r="S1109" i="1"/>
  <c r="S1268" i="1"/>
  <c r="S772" i="1"/>
  <c r="S1419" i="1"/>
  <c r="S111" i="1"/>
  <c r="S306" i="1"/>
  <c r="S307" i="1"/>
  <c r="S1420" i="1"/>
  <c r="S932" i="1"/>
  <c r="S933" i="1"/>
  <c r="S461" i="1"/>
  <c r="S1421" i="1"/>
  <c r="S308" i="1"/>
  <c r="S1110" i="1"/>
  <c r="S1422" i="1"/>
  <c r="S309" i="1"/>
  <c r="S1423" i="1"/>
  <c r="S773" i="1"/>
  <c r="S1269" i="1"/>
  <c r="S934" i="1"/>
  <c r="S112" i="1"/>
  <c r="S935" i="1"/>
  <c r="S610" i="1"/>
  <c r="S1270" i="1"/>
  <c r="S936" i="1"/>
  <c r="S1424" i="1"/>
  <c r="S310" i="1"/>
  <c r="S1425" i="1"/>
  <c r="S311" i="1"/>
  <c r="S774" i="1"/>
  <c r="S611" i="1"/>
  <c r="S1271" i="1"/>
  <c r="S113" i="1"/>
  <c r="S1426" i="1"/>
  <c r="S612" i="1"/>
  <c r="S1111" i="1"/>
  <c r="S114" i="1"/>
  <c r="S462" i="1"/>
  <c r="S1112" i="1"/>
  <c r="S312" i="1"/>
  <c r="S1427" i="1"/>
  <c r="S463" i="1"/>
  <c r="S115" i="1"/>
  <c r="S937" i="1"/>
  <c r="S1272" i="1"/>
  <c r="S464" i="1"/>
  <c r="S1273" i="1"/>
  <c r="S1428" i="1"/>
  <c r="S116" i="1"/>
  <c r="S1429" i="1"/>
  <c r="S938" i="1"/>
  <c r="S1113" i="1"/>
  <c r="S117" i="1"/>
  <c r="S118" i="1"/>
  <c r="S1114" i="1"/>
  <c r="S119" i="1"/>
  <c r="S1274" i="1"/>
  <c r="S120" i="1"/>
  <c r="S121" i="1"/>
  <c r="S775" i="1"/>
  <c r="S939" i="1"/>
  <c r="S313" i="1"/>
  <c r="S940" i="1"/>
  <c r="S1430" i="1"/>
  <c r="S1431" i="1"/>
  <c r="S1275" i="1"/>
  <c r="S1115" i="1"/>
  <c r="S941" i="1"/>
  <c r="S1116" i="1"/>
  <c r="S1276" i="1"/>
  <c r="S1277" i="1"/>
  <c r="S465" i="1"/>
  <c r="S122" i="1"/>
  <c r="S1278" i="1"/>
  <c r="S942" i="1"/>
  <c r="S1432" i="1"/>
  <c r="S776" i="1"/>
  <c r="S123" i="1"/>
  <c r="S613" i="1"/>
  <c r="S777" i="1"/>
  <c r="S778" i="1"/>
  <c r="S943" i="1"/>
  <c r="S779" i="1"/>
  <c r="S944" i="1"/>
  <c r="S780" i="1"/>
  <c r="S614" i="1"/>
  <c r="S1433" i="1"/>
  <c r="S124" i="1"/>
  <c r="S125" i="1"/>
  <c r="S466" i="1"/>
  <c r="S1279" i="1"/>
  <c r="S1280" i="1"/>
  <c r="S615" i="1"/>
  <c r="S1434" i="1"/>
  <c r="S467" i="1"/>
  <c r="S945" i="1"/>
  <c r="S781" i="1"/>
  <c r="S782" i="1"/>
  <c r="S314" i="1"/>
  <c r="S946" i="1"/>
  <c r="S783" i="1"/>
  <c r="S1435" i="1"/>
  <c r="S1117" i="1"/>
  <c r="S1118" i="1"/>
  <c r="S1436" i="1"/>
  <c r="S784" i="1"/>
  <c r="S1437" i="1"/>
  <c r="S785" i="1"/>
  <c r="S126" i="1"/>
  <c r="S616" i="1"/>
  <c r="S315" i="1"/>
  <c r="S947" i="1"/>
  <c r="S617" i="1"/>
  <c r="S1281" i="1"/>
  <c r="S468" i="1"/>
  <c r="S786" i="1"/>
  <c r="S618" i="1"/>
  <c r="S127" i="1"/>
  <c r="S1119" i="1"/>
  <c r="S1438" i="1"/>
  <c r="S787" i="1"/>
  <c r="S1120" i="1"/>
  <c r="S619" i="1"/>
  <c r="S128" i="1"/>
  <c r="S948" i="1"/>
  <c r="S620" i="1"/>
  <c r="S129" i="1"/>
  <c r="S316" i="1"/>
  <c r="S317" i="1"/>
  <c r="S469" i="1"/>
  <c r="S470" i="1"/>
  <c r="S1282" i="1"/>
  <c r="S1283" i="1"/>
  <c r="S471" i="1"/>
  <c r="S472" i="1"/>
  <c r="S1439" i="1"/>
  <c r="S130" i="1"/>
  <c r="S1121" i="1"/>
  <c r="S621" i="1"/>
  <c r="S622" i="1"/>
  <c r="S788" i="1"/>
  <c r="S949" i="1"/>
  <c r="S623" i="1"/>
  <c r="S1284" i="1"/>
  <c r="S1285" i="1"/>
  <c r="S624" i="1"/>
  <c r="S1286" i="1"/>
  <c r="S473" i="1"/>
  <c r="S789" i="1"/>
  <c r="S1287" i="1"/>
  <c r="S131" i="1"/>
  <c r="S790" i="1"/>
  <c r="S625" i="1"/>
  <c r="S318" i="1"/>
  <c r="S474" i="1"/>
  <c r="S319" i="1"/>
  <c r="S1440" i="1"/>
  <c r="S132" i="1"/>
  <c r="S1441" i="1"/>
  <c r="S320" i="1"/>
  <c r="S1288" i="1"/>
  <c r="S1122" i="1"/>
  <c r="S321" i="1"/>
  <c r="S626" i="1"/>
  <c r="S475" i="1"/>
  <c r="S950" i="1"/>
  <c r="S791" i="1"/>
  <c r="S1289" i="1"/>
  <c r="S627" i="1"/>
  <c r="S1442" i="1"/>
  <c r="S1443" i="1"/>
  <c r="S1444" i="1"/>
  <c r="S476" i="1"/>
  <c r="S1445" i="1"/>
  <c r="S477" i="1"/>
  <c r="S133" i="1"/>
  <c r="S951" i="1"/>
  <c r="S952" i="1"/>
  <c r="S953" i="1"/>
  <c r="S1446" i="1"/>
  <c r="S792" i="1"/>
  <c r="S1123" i="1"/>
  <c r="S134" i="1"/>
  <c r="S954" i="1"/>
  <c r="S1124" i="1"/>
  <c r="S135" i="1"/>
  <c r="S322" i="1"/>
  <c r="S136" i="1"/>
  <c r="S955" i="1"/>
  <c r="S628" i="1"/>
  <c r="S1290" i="1"/>
  <c r="S1291" i="1"/>
  <c r="S629" i="1"/>
  <c r="S478" i="1"/>
  <c r="S956" i="1"/>
  <c r="S479" i="1"/>
  <c r="S957" i="1"/>
  <c r="S137" i="1"/>
  <c r="S630" i="1"/>
  <c r="S958" i="1"/>
  <c r="S480" i="1"/>
  <c r="S138" i="1"/>
  <c r="S631" i="1"/>
  <c r="S1447" i="1"/>
  <c r="S1292" i="1"/>
  <c r="S139" i="1"/>
  <c r="S959" i="1"/>
  <c r="S481" i="1"/>
  <c r="S1448" i="1"/>
  <c r="S793" i="1"/>
  <c r="S482" i="1"/>
  <c r="S1293" i="1"/>
  <c r="S632" i="1"/>
  <c r="S1449" i="1"/>
  <c r="S483" i="1"/>
  <c r="S323" i="1"/>
  <c r="S140" i="1"/>
  <c r="S1450" i="1"/>
  <c r="S794" i="1"/>
  <c r="S324" i="1"/>
  <c r="S141" i="1"/>
  <c r="S633" i="1"/>
  <c r="S142" i="1"/>
  <c r="S795" i="1"/>
  <c r="S960" i="1"/>
  <c r="S634" i="1"/>
  <c r="S325" i="1"/>
  <c r="S635" i="1"/>
  <c r="S961" i="1"/>
  <c r="S143" i="1"/>
  <c r="S796" i="1"/>
  <c r="S1125" i="1"/>
  <c r="S1451" i="1"/>
  <c r="S144" i="1"/>
  <c r="S962" i="1"/>
  <c r="S484" i="1"/>
  <c r="S963" i="1"/>
  <c r="S964" i="1"/>
  <c r="S636" i="1"/>
  <c r="S1452" i="1"/>
  <c r="S1126" i="1"/>
  <c r="S1453" i="1"/>
  <c r="S797" i="1"/>
  <c r="S326" i="1"/>
  <c r="S145" i="1"/>
  <c r="S146" i="1"/>
  <c r="S965" i="1"/>
  <c r="S147" i="1"/>
  <c r="S485" i="1"/>
  <c r="S966" i="1"/>
  <c r="S798" i="1"/>
  <c r="S1294" i="1"/>
  <c r="S486" i="1"/>
  <c r="S967" i="1"/>
  <c r="S148" i="1"/>
  <c r="S1127" i="1"/>
  <c r="S637" i="1"/>
  <c r="S799" i="1"/>
  <c r="S638" i="1"/>
  <c r="S639" i="1"/>
  <c r="S640" i="1"/>
  <c r="S800" i="1"/>
  <c r="S487" i="1"/>
  <c r="S968" i="1"/>
  <c r="S488" i="1"/>
  <c r="S1454" i="1"/>
  <c r="S1295" i="1"/>
  <c r="S327" i="1"/>
  <c r="S328" i="1"/>
  <c r="S329" i="1"/>
  <c r="S801" i="1"/>
  <c r="S1128" i="1"/>
  <c r="S330" i="1"/>
  <c r="S489" i="1"/>
  <c r="S149" i="1"/>
  <c r="S1129" i="1"/>
  <c r="S490" i="1"/>
  <c r="S1455" i="1"/>
  <c r="S802" i="1"/>
  <c r="S150" i="1"/>
  <c r="S331" i="1"/>
  <c r="S969" i="1"/>
  <c r="S1456" i="1"/>
  <c r="S1457" i="1"/>
  <c r="S970" i="1"/>
  <c r="S803" i="1"/>
  <c r="S151" i="1"/>
  <c r="S804" i="1"/>
  <c r="S152" i="1"/>
  <c r="S332" i="1"/>
  <c r="S333" i="1"/>
  <c r="S971" i="1"/>
  <c r="S972" i="1"/>
  <c r="S1130" i="1"/>
  <c r="S973" i="1"/>
  <c r="S153" i="1"/>
  <c r="S641" i="1"/>
  <c r="S491" i="1"/>
  <c r="S492" i="1"/>
  <c r="S974" i="1"/>
  <c r="S154" i="1"/>
  <c r="S1131" i="1"/>
  <c r="S155" i="1"/>
  <c r="S975" i="1"/>
  <c r="S1458" i="1"/>
  <c r="S976" i="1"/>
  <c r="S1459" i="1"/>
  <c r="S1460" i="1"/>
  <c r="S156" i="1"/>
  <c r="S1461" i="1"/>
  <c r="S1462" i="1"/>
  <c r="S157" i="1"/>
  <c r="S642" i="1"/>
  <c r="S334" i="1"/>
  <c r="S1463" i="1"/>
  <c r="S1296" i="1"/>
  <c r="S643" i="1"/>
  <c r="S493" i="1"/>
  <c r="S494" i="1"/>
  <c r="S335" i="1"/>
  <c r="S336" i="1"/>
  <c r="S977" i="1"/>
  <c r="S644" i="1"/>
  <c r="S645" i="1"/>
  <c r="S1297" i="1"/>
  <c r="S337" i="1"/>
  <c r="S646" i="1"/>
  <c r="S1464" i="1"/>
  <c r="S647" i="1"/>
  <c r="S805" i="1"/>
  <c r="S1132" i="1"/>
  <c r="S158" i="1"/>
  <c r="S648" i="1"/>
  <c r="S1298" i="1"/>
  <c r="S495" i="1"/>
  <c r="S1299" i="1"/>
  <c r="S159" i="1"/>
  <c r="S806" i="1"/>
  <c r="S338" i="1"/>
  <c r="S807" i="1"/>
  <c r="S978" i="1"/>
  <c r="S979" i="1"/>
  <c r="S496" i="1"/>
  <c r="S980" i="1"/>
  <c r="S1465" i="1"/>
  <c r="S981" i="1"/>
  <c r="S160" i="1"/>
  <c r="S497" i="1"/>
  <c r="S339" i="1"/>
  <c r="S808" i="1"/>
  <c r="S982" i="1"/>
  <c r="S1133" i="1"/>
  <c r="S1466" i="1"/>
  <c r="S1134" i="1"/>
  <c r="S649" i="1"/>
  <c r="S498" i="1"/>
  <c r="S650" i="1"/>
  <c r="S651" i="1"/>
  <c r="S983" i="1"/>
  <c r="S161" i="1"/>
  <c r="S340" i="1"/>
  <c r="S341" i="1"/>
  <c r="S809" i="1"/>
  <c r="S1135" i="1"/>
  <c r="S652" i="1"/>
  <c r="S162" i="1"/>
  <c r="S342" i="1"/>
  <c r="S499" i="1"/>
  <c r="S1136" i="1"/>
  <c r="S653" i="1"/>
  <c r="S500" i="1"/>
  <c r="S163" i="1"/>
  <c r="S984" i="1"/>
  <c r="S1137" i="1"/>
  <c r="S343" i="1"/>
  <c r="S164" i="1"/>
  <c r="S1138" i="1"/>
  <c r="S1467" i="1"/>
  <c r="S654" i="1"/>
  <c r="S1468" i="1"/>
  <c r="S810" i="1"/>
  <c r="S985" i="1"/>
  <c r="S655" i="1"/>
  <c r="S1139" i="1"/>
  <c r="S811" i="1"/>
  <c r="S501" i="1"/>
  <c r="S1469" i="1"/>
  <c r="S502" i="1"/>
  <c r="S1140" i="1"/>
  <c r="S1300" i="1"/>
  <c r="S1470" i="1"/>
  <c r="S1301" i="1"/>
  <c r="S656" i="1"/>
  <c r="S165" i="1"/>
  <c r="S986" i="1"/>
  <c r="S166" i="1"/>
  <c r="S344" i="1"/>
  <c r="S1141" i="1"/>
  <c r="S1471" i="1"/>
  <c r="S167" i="1"/>
  <c r="S1302" i="1"/>
  <c r="S345" i="1"/>
  <c r="S1142" i="1"/>
  <c r="S1472" i="1"/>
  <c r="S812" i="1"/>
  <c r="S813" i="1"/>
  <c r="S1303" i="1"/>
  <c r="S1473" i="1"/>
  <c r="S168" i="1"/>
  <c r="S1474" i="1"/>
  <c r="S1143" i="1"/>
  <c r="S503" i="1"/>
  <c r="S1475" i="1"/>
  <c r="S987" i="1"/>
  <c r="S988" i="1"/>
  <c r="S346" i="1"/>
  <c r="S169" i="1"/>
  <c r="S989" i="1"/>
  <c r="S814" i="1"/>
  <c r="S990" i="1"/>
  <c r="S347" i="1"/>
  <c r="S504" i="1"/>
  <c r="S815" i="1"/>
  <c r="S348" i="1"/>
  <c r="S816" i="1"/>
  <c r="S817" i="1"/>
  <c r="S349" i="1"/>
  <c r="S991" i="1"/>
  <c r="S657" i="1"/>
  <c r="S658" i="1"/>
  <c r="S505" i="1"/>
  <c r="S818" i="1"/>
  <c r="S659" i="1"/>
  <c r="S819" i="1"/>
  <c r="S170" i="1"/>
  <c r="S1144" i="1"/>
  <c r="S350" i="1"/>
  <c r="S660" i="1"/>
  <c r="S661" i="1"/>
  <c r="S992" i="1"/>
  <c r="S1304" i="1"/>
  <c r="S662" i="1"/>
  <c r="S171" i="1"/>
  <c r="S1305" i="1"/>
  <c r="S1306" i="1"/>
  <c r="S506" i="1"/>
  <c r="S1307" i="1"/>
  <c r="S351" i="1"/>
  <c r="S1476" i="1"/>
  <c r="S663" i="1"/>
  <c r="S1308" i="1"/>
  <c r="S664" i="1"/>
  <c r="S665" i="1"/>
  <c r="S1145" i="1"/>
  <c r="S1146" i="1"/>
  <c r="S1147" i="1"/>
  <c r="S172" i="1"/>
  <c r="S173" i="1"/>
  <c r="S993" i="1"/>
  <c r="S666" i="1"/>
  <c r="S1477" i="1"/>
  <c r="S507" i="1"/>
  <c r="S1309" i="1"/>
  <c r="S1148" i="1"/>
  <c r="S508" i="1"/>
  <c r="S820" i="1"/>
  <c r="S994" i="1"/>
  <c r="S995" i="1"/>
  <c r="S1478" i="1"/>
  <c r="S509" i="1"/>
  <c r="S667" i="1"/>
  <c r="S352" i="1"/>
  <c r="S353" i="1"/>
  <c r="S1310" i="1"/>
  <c r="S668" i="1"/>
  <c r="S821" i="1"/>
  <c r="S174" i="1"/>
  <c r="S1311" i="1"/>
  <c r="S822" i="1"/>
  <c r="S823" i="1"/>
  <c r="S354" i="1"/>
  <c r="S1479" i="1"/>
  <c r="S175" i="1"/>
  <c r="S176" i="1"/>
  <c r="S824" i="1"/>
  <c r="S510" i="1"/>
  <c r="S511" i="1"/>
  <c r="S355" i="1"/>
  <c r="S1312" i="1"/>
  <c r="S512" i="1"/>
  <c r="S1480" i="1"/>
  <c r="S1149" i="1"/>
  <c r="S825" i="1"/>
  <c r="S1313" i="1"/>
  <c r="S177" i="1"/>
  <c r="S178" i="1"/>
  <c r="S996" i="1"/>
  <c r="S1314" i="1"/>
  <c r="S356" i="1"/>
  <c r="S357" i="1"/>
  <c r="S1150" i="1"/>
  <c r="S1315" i="1"/>
  <c r="S179" i="1"/>
  <c r="S997" i="1"/>
  <c r="S1316" i="1"/>
  <c r="S513" i="1"/>
  <c r="S998" i="1"/>
  <c r="S826" i="1"/>
  <c r="S1317" i="1"/>
  <c r="S999" i="1"/>
  <c r="S827" i="1"/>
  <c r="S1318" i="1"/>
  <c r="S358" i="1"/>
  <c r="S514" i="1"/>
  <c r="S515" i="1"/>
  <c r="S516" i="1"/>
  <c r="S180" i="1"/>
  <c r="S1000" i="1"/>
  <c r="S1481" i="1"/>
  <c r="S669" i="1"/>
  <c r="S1482" i="1"/>
  <c r="S1483" i="1"/>
  <c r="S1319" i="1"/>
  <c r="S181" i="1"/>
  <c r="S359" i="1"/>
  <c r="S517" i="1"/>
  <c r="S182" i="1"/>
  <c r="S670" i="1"/>
  <c r="S828" i="1"/>
  <c r="S1484" i="1"/>
  <c r="S1151" i="1"/>
  <c r="S183" i="1"/>
  <c r="S1320" i="1"/>
  <c r="S671" i="1"/>
  <c r="S184" i="1"/>
  <c r="S829" i="1"/>
  <c r="S830" i="1"/>
  <c r="S1152" i="1"/>
  <c r="S518" i="1"/>
  <c r="S360" i="1"/>
  <c r="S831" i="1"/>
  <c r="S1153" i="1"/>
  <c r="S1154" i="1"/>
  <c r="S832" i="1"/>
  <c r="S185" i="1"/>
  <c r="S361" i="1"/>
  <c r="S833" i="1"/>
  <c r="S672" i="1"/>
  <c r="S1321" i="1"/>
  <c r="S1001" i="1"/>
  <c r="S1155" i="1"/>
  <c r="S834" i="1"/>
  <c r="S186" i="1"/>
  <c r="S362" i="1"/>
  <c r="S1485" i="1"/>
  <c r="S1486" i="1"/>
  <c r="S187" i="1"/>
  <c r="S519" i="1"/>
  <c r="S188" i="1"/>
  <c r="S363" i="1"/>
  <c r="S835" i="1"/>
  <c r="S836" i="1"/>
  <c r="S1156" i="1"/>
  <c r="S1322" i="1"/>
  <c r="S1323" i="1"/>
  <c r="S837" i="1"/>
  <c r="S1324" i="1"/>
  <c r="S1002" i="1"/>
  <c r="S520" i="1"/>
  <c r="S673" i="1"/>
  <c r="S838" i="1"/>
  <c r="S1157" i="1"/>
  <c r="S1487" i="1"/>
  <c r="S674" i="1"/>
  <c r="S1003" i="1"/>
  <c r="S189" i="1"/>
  <c r="S190" i="1"/>
  <c r="S1004" i="1"/>
  <c r="S675" i="1"/>
  <c r="S191" i="1"/>
  <c r="S676" i="1"/>
  <c r="S1488" i="1"/>
  <c r="S521" i="1"/>
  <c r="S839" i="1"/>
  <c r="S192" i="1"/>
  <c r="S1489" i="1"/>
  <c r="S1005" i="1"/>
  <c r="S1490" i="1"/>
  <c r="S364" i="1"/>
  <c r="S365" i="1"/>
  <c r="S677" i="1"/>
  <c r="R840" i="1"/>
  <c r="R366" i="1"/>
  <c r="R678" i="1"/>
  <c r="R193" i="1"/>
  <c r="R1006" i="1"/>
  <c r="R194" i="1"/>
  <c r="R2" i="1"/>
  <c r="R367" i="1"/>
  <c r="R522" i="1"/>
  <c r="R523" i="1"/>
  <c r="R841" i="1"/>
  <c r="R195" i="1"/>
  <c r="R1325" i="1"/>
  <c r="R842" i="1"/>
  <c r="R368" i="1"/>
  <c r="R1326" i="1"/>
  <c r="R1158" i="1"/>
  <c r="R1159" i="1"/>
  <c r="R524" i="1"/>
  <c r="R1160" i="1"/>
  <c r="R679" i="1"/>
  <c r="R369" i="1"/>
  <c r="R680" i="1"/>
  <c r="R3" i="1"/>
  <c r="R843" i="1"/>
  <c r="R1327" i="1"/>
  <c r="R1161" i="1"/>
  <c r="R1162" i="1"/>
  <c r="R525" i="1"/>
  <c r="R681" i="1"/>
  <c r="R1163" i="1"/>
  <c r="R526" i="1"/>
  <c r="R682" i="1"/>
  <c r="R1007" i="1"/>
  <c r="R1328" i="1"/>
  <c r="R844" i="1"/>
  <c r="R683" i="1"/>
  <c r="R1008" i="1"/>
  <c r="R527" i="1"/>
  <c r="R845" i="1"/>
  <c r="R196" i="1"/>
  <c r="R684" i="1"/>
  <c r="R528" i="1"/>
  <c r="R1164" i="1"/>
  <c r="R529" i="1"/>
  <c r="R370" i="1"/>
  <c r="R371" i="1"/>
  <c r="R1329" i="1"/>
  <c r="R4" i="1"/>
  <c r="R5" i="1"/>
  <c r="R1165" i="1"/>
  <c r="R372" i="1"/>
  <c r="R6" i="1"/>
  <c r="R1330" i="1"/>
  <c r="R7" i="1"/>
  <c r="R373" i="1"/>
  <c r="R1166" i="1"/>
  <c r="R846" i="1"/>
  <c r="R1009" i="1"/>
  <c r="R1010" i="1"/>
  <c r="R1167" i="1"/>
  <c r="R530" i="1"/>
  <c r="R374" i="1"/>
  <c r="R685" i="1"/>
  <c r="R686" i="1"/>
  <c r="R1168" i="1"/>
  <c r="R847" i="1"/>
  <c r="R531" i="1"/>
  <c r="R1331" i="1"/>
  <c r="R1169" i="1"/>
  <c r="R8" i="1"/>
  <c r="R1170" i="1"/>
  <c r="R1011" i="1"/>
  <c r="R375" i="1"/>
  <c r="R197" i="1"/>
  <c r="R1171" i="1"/>
  <c r="R1172" i="1"/>
  <c r="R376" i="1"/>
  <c r="R1332" i="1"/>
  <c r="R687" i="1"/>
  <c r="R198" i="1"/>
  <c r="R532" i="1"/>
  <c r="R1012" i="1"/>
  <c r="R848" i="1"/>
  <c r="R688" i="1"/>
  <c r="R1173" i="1"/>
  <c r="R533" i="1"/>
  <c r="R689" i="1"/>
  <c r="R199" i="1"/>
  <c r="R1333" i="1"/>
  <c r="R534" i="1"/>
  <c r="R200" i="1"/>
  <c r="R849" i="1"/>
  <c r="R1013" i="1"/>
  <c r="R9" i="1"/>
  <c r="R690" i="1"/>
  <c r="R535" i="1"/>
  <c r="R691" i="1"/>
  <c r="R201" i="1"/>
  <c r="R692" i="1"/>
  <c r="R1174" i="1"/>
  <c r="R1014" i="1"/>
  <c r="R202" i="1"/>
  <c r="R1334" i="1"/>
  <c r="R1015" i="1"/>
  <c r="R203" i="1"/>
  <c r="R850" i="1"/>
  <c r="R204" i="1"/>
  <c r="R693" i="1"/>
  <c r="R1175" i="1"/>
  <c r="R10" i="1"/>
  <c r="R205" i="1"/>
  <c r="R206" i="1"/>
  <c r="R1335" i="1"/>
  <c r="R1336" i="1"/>
  <c r="R1016" i="1"/>
  <c r="R851" i="1"/>
  <c r="R852" i="1"/>
  <c r="R1337" i="1"/>
  <c r="R1338" i="1"/>
  <c r="R377" i="1"/>
  <c r="R853" i="1"/>
  <c r="R854" i="1"/>
  <c r="R1017" i="1"/>
  <c r="R378" i="1"/>
  <c r="R694" i="1"/>
  <c r="R1018" i="1"/>
  <c r="R379" i="1"/>
  <c r="R1339" i="1"/>
  <c r="R1340" i="1"/>
  <c r="R380" i="1"/>
  <c r="R207" i="1"/>
  <c r="R1019" i="1"/>
  <c r="R855" i="1"/>
  <c r="R208" i="1"/>
  <c r="R11" i="1"/>
  <c r="R1341" i="1"/>
  <c r="R1176" i="1"/>
  <c r="R12" i="1"/>
  <c r="R1020" i="1"/>
  <c r="R856" i="1"/>
  <c r="R857" i="1"/>
  <c r="R1021" i="1"/>
  <c r="R1177" i="1"/>
  <c r="R13" i="1"/>
  <c r="R1022" i="1"/>
  <c r="R209" i="1"/>
  <c r="R536" i="1"/>
  <c r="R1342" i="1"/>
  <c r="R1343" i="1"/>
  <c r="R858" i="1"/>
  <c r="R210" i="1"/>
  <c r="R381" i="1"/>
  <c r="R537" i="1"/>
  <c r="R859" i="1"/>
  <c r="R1344" i="1"/>
  <c r="R695" i="1"/>
  <c r="R382" i="1"/>
  <c r="R14" i="1"/>
  <c r="R538" i="1"/>
  <c r="R860" i="1"/>
  <c r="R1023" i="1"/>
  <c r="R15" i="1"/>
  <c r="R1178" i="1"/>
  <c r="R16" i="1"/>
  <c r="R1179" i="1"/>
  <c r="R539" i="1"/>
  <c r="R383" i="1"/>
  <c r="R861" i="1"/>
  <c r="R384" i="1"/>
  <c r="R696" i="1"/>
  <c r="R697" i="1"/>
  <c r="R17" i="1"/>
  <c r="R385" i="1"/>
  <c r="R698" i="1"/>
  <c r="R699" i="1"/>
  <c r="R1345" i="1"/>
  <c r="R386" i="1"/>
  <c r="R1346" i="1"/>
  <c r="R211" i="1"/>
  <c r="R18" i="1"/>
  <c r="R1347" i="1"/>
  <c r="R19" i="1"/>
  <c r="R387" i="1"/>
  <c r="R1024" i="1"/>
  <c r="R700" i="1"/>
  <c r="R540" i="1"/>
  <c r="R862" i="1"/>
  <c r="R1348" i="1"/>
  <c r="R541" i="1"/>
  <c r="R212" i="1"/>
  <c r="R213" i="1"/>
  <c r="R863" i="1"/>
  <c r="R701" i="1"/>
  <c r="R1349" i="1"/>
  <c r="R214" i="1"/>
  <c r="R1180" i="1"/>
  <c r="R1025" i="1"/>
  <c r="R215" i="1"/>
  <c r="R20" i="1"/>
  <c r="R702" i="1"/>
  <c r="R388" i="1"/>
  <c r="R21" i="1"/>
  <c r="R216" i="1"/>
  <c r="R217" i="1"/>
  <c r="R1026" i="1"/>
  <c r="R542" i="1"/>
  <c r="R218" i="1"/>
  <c r="R389" i="1"/>
  <c r="R219" i="1"/>
  <c r="R1350" i="1"/>
  <c r="R543" i="1"/>
  <c r="R864" i="1"/>
  <c r="R703" i="1"/>
  <c r="R1181" i="1"/>
  <c r="R544" i="1"/>
  <c r="R1027" i="1"/>
  <c r="R704" i="1"/>
  <c r="R22" i="1"/>
  <c r="R705" i="1"/>
  <c r="R23" i="1"/>
  <c r="R24" i="1"/>
  <c r="R220" i="1"/>
  <c r="R1028" i="1"/>
  <c r="R1351" i="1"/>
  <c r="R545" i="1"/>
  <c r="R1029" i="1"/>
  <c r="R706" i="1"/>
  <c r="R865" i="1"/>
  <c r="R25" i="1"/>
  <c r="R221" i="1"/>
  <c r="R1030" i="1"/>
  <c r="R866" i="1"/>
  <c r="R1031" i="1"/>
  <c r="R1352" i="1"/>
  <c r="R546" i="1"/>
  <c r="R390" i="1"/>
  <c r="R1032" i="1"/>
  <c r="R547" i="1"/>
  <c r="R26" i="1"/>
  <c r="R1182" i="1"/>
  <c r="R1033" i="1"/>
  <c r="R222" i="1"/>
  <c r="R391" i="1"/>
  <c r="R392" i="1"/>
  <c r="R1353" i="1"/>
  <c r="R223" i="1"/>
  <c r="R27" i="1"/>
  <c r="R224" i="1"/>
  <c r="R548" i="1"/>
  <c r="R225" i="1"/>
  <c r="R28" i="1"/>
  <c r="R1183" i="1"/>
  <c r="R226" i="1"/>
  <c r="R867" i="1"/>
  <c r="R868" i="1"/>
  <c r="R227" i="1"/>
  <c r="R707" i="1"/>
  <c r="R869" i="1"/>
  <c r="R393" i="1"/>
  <c r="R1034" i="1"/>
  <c r="R870" i="1"/>
  <c r="R549" i="1"/>
  <c r="R29" i="1"/>
  <c r="R550" i="1"/>
  <c r="R1035" i="1"/>
  <c r="R228" i="1"/>
  <c r="R229" i="1"/>
  <c r="R871" i="1"/>
  <c r="R230" i="1"/>
  <c r="R551" i="1"/>
  <c r="R552" i="1"/>
  <c r="R708" i="1"/>
  <c r="R1036" i="1"/>
  <c r="R553" i="1"/>
  <c r="R1354" i="1"/>
  <c r="R554" i="1"/>
  <c r="R1184" i="1"/>
  <c r="R709" i="1"/>
  <c r="R710" i="1"/>
  <c r="R394" i="1"/>
  <c r="R1355" i="1"/>
  <c r="R711" i="1"/>
  <c r="R1037" i="1"/>
  <c r="R395" i="1"/>
  <c r="R1038" i="1"/>
  <c r="R231" i="1"/>
  <c r="R555" i="1"/>
  <c r="R1039" i="1"/>
  <c r="R1185" i="1"/>
  <c r="R232" i="1"/>
  <c r="R872" i="1"/>
  <c r="R30" i="1"/>
  <c r="R31" i="1"/>
  <c r="R396" i="1"/>
  <c r="R556" i="1"/>
  <c r="R712" i="1"/>
  <c r="R713" i="1"/>
  <c r="R714" i="1"/>
  <c r="R1356" i="1"/>
  <c r="R233" i="1"/>
  <c r="R1040" i="1"/>
  <c r="R557" i="1"/>
  <c r="R715" i="1"/>
  <c r="R558" i="1"/>
  <c r="R234" i="1"/>
  <c r="R235" i="1"/>
  <c r="R32" i="1"/>
  <c r="R1041" i="1"/>
  <c r="R1357" i="1"/>
  <c r="R1358" i="1"/>
  <c r="R716" i="1"/>
  <c r="R397" i="1"/>
  <c r="R236" i="1"/>
  <c r="R1186" i="1"/>
  <c r="R237" i="1"/>
  <c r="R398" i="1"/>
  <c r="R873" i="1"/>
  <c r="R33" i="1"/>
  <c r="R1187" i="1"/>
  <c r="R1042" i="1"/>
  <c r="R238" i="1"/>
  <c r="R1188" i="1"/>
  <c r="R1043" i="1"/>
  <c r="R399" i="1"/>
  <c r="R1359" i="1"/>
  <c r="R559" i="1"/>
  <c r="R874" i="1"/>
  <c r="R875" i="1"/>
  <c r="R1189" i="1"/>
  <c r="R1044" i="1"/>
  <c r="R1045" i="1"/>
  <c r="R1190" i="1"/>
  <c r="R1360" i="1"/>
  <c r="R1361" i="1"/>
  <c r="R876" i="1"/>
  <c r="R877" i="1"/>
  <c r="R1362" i="1"/>
  <c r="R878" i="1"/>
  <c r="R1046" i="1"/>
  <c r="R1047" i="1"/>
  <c r="R560" i="1"/>
  <c r="R1048" i="1"/>
  <c r="R239" i="1"/>
  <c r="R1191" i="1"/>
  <c r="R717" i="1"/>
  <c r="R1192" i="1"/>
  <c r="R879" i="1"/>
  <c r="R1049" i="1"/>
  <c r="R561" i="1"/>
  <c r="R562" i="1"/>
  <c r="R34" i="1"/>
  <c r="R1363" i="1"/>
  <c r="R400" i="1"/>
  <c r="R1193" i="1"/>
  <c r="R718" i="1"/>
  <c r="R563" i="1"/>
  <c r="R719" i="1"/>
  <c r="R35" i="1"/>
  <c r="R1364" i="1"/>
  <c r="R401" i="1"/>
  <c r="R1194" i="1"/>
  <c r="R1050" i="1"/>
  <c r="R36" i="1"/>
  <c r="R240" i="1"/>
  <c r="R241" i="1"/>
  <c r="R1051" i="1"/>
  <c r="R37" i="1"/>
  <c r="R242" i="1"/>
  <c r="R1365" i="1"/>
  <c r="R38" i="1"/>
  <c r="R880" i="1"/>
  <c r="R39" i="1"/>
  <c r="R564" i="1"/>
  <c r="R1195" i="1"/>
  <c r="R1196" i="1"/>
  <c r="R40" i="1"/>
  <c r="R1197" i="1"/>
  <c r="R402" i="1"/>
  <c r="R881" i="1"/>
  <c r="R1198" i="1"/>
  <c r="R720" i="1"/>
  <c r="R882" i="1"/>
  <c r="R243" i="1"/>
  <c r="R403" i="1"/>
  <c r="R1052" i="1"/>
  <c r="R41" i="1"/>
  <c r="R1053" i="1"/>
  <c r="R1199" i="1"/>
  <c r="R721" i="1"/>
  <c r="R404" i="1"/>
  <c r="R883" i="1"/>
  <c r="R1054" i="1"/>
  <c r="R405" i="1"/>
  <c r="R1366" i="1"/>
  <c r="R722" i="1"/>
  <c r="R244" i="1"/>
  <c r="R1200" i="1"/>
  <c r="R1055" i="1"/>
  <c r="R42" i="1"/>
  <c r="R406" i="1"/>
  <c r="R245" i="1"/>
  <c r="R246" i="1"/>
  <c r="R43" i="1"/>
  <c r="R44" i="1"/>
  <c r="R723" i="1"/>
  <c r="R565" i="1"/>
  <c r="R407" i="1"/>
  <c r="R247" i="1"/>
  <c r="R1056" i="1"/>
  <c r="R566" i="1"/>
  <c r="R45" i="1"/>
  <c r="R248" i="1"/>
  <c r="R1201" i="1"/>
  <c r="R1367" i="1"/>
  <c r="R567" i="1"/>
  <c r="R568" i="1"/>
  <c r="R408" i="1"/>
  <c r="R249" i="1"/>
  <c r="R250" i="1"/>
  <c r="R1057" i="1"/>
  <c r="R1368" i="1"/>
  <c r="R1202" i="1"/>
  <c r="R251" i="1"/>
  <c r="R46" i="1"/>
  <c r="R409" i="1"/>
  <c r="R724" i="1"/>
  <c r="R1369" i="1"/>
  <c r="R884" i="1"/>
  <c r="R410" i="1"/>
  <c r="R47" i="1"/>
  <c r="R252" i="1"/>
  <c r="R1058" i="1"/>
  <c r="R411" i="1"/>
  <c r="R1370" i="1"/>
  <c r="R1059" i="1"/>
  <c r="R569" i="1"/>
  <c r="R725" i="1"/>
  <c r="R1371" i="1"/>
  <c r="R1203" i="1"/>
  <c r="R48" i="1"/>
  <c r="R1204" i="1"/>
  <c r="R1060" i="1"/>
  <c r="R726" i="1"/>
  <c r="R1061" i="1"/>
  <c r="R570" i="1"/>
  <c r="R412" i="1"/>
  <c r="R49" i="1"/>
  <c r="R571" i="1"/>
  <c r="R253" i="1"/>
  <c r="R572" i="1"/>
  <c r="R885" i="1"/>
  <c r="R1372" i="1"/>
  <c r="R1062" i="1"/>
  <c r="R886" i="1"/>
  <c r="R887" i="1"/>
  <c r="R413" i="1"/>
  <c r="R888" i="1"/>
  <c r="R727" i="1"/>
  <c r="R1205" i="1"/>
  <c r="R1206" i="1"/>
  <c r="R728" i="1"/>
  <c r="R573" i="1"/>
  <c r="R574" i="1"/>
  <c r="R1207" i="1"/>
  <c r="R1208" i="1"/>
  <c r="R1063" i="1"/>
  <c r="R729" i="1"/>
  <c r="R414" i="1"/>
  <c r="R1064" i="1"/>
  <c r="R889" i="1"/>
  <c r="R890" i="1"/>
  <c r="R415" i="1"/>
  <c r="R1209" i="1"/>
  <c r="R891" i="1"/>
  <c r="R254" i="1"/>
  <c r="R730" i="1"/>
  <c r="R731" i="1"/>
  <c r="R732" i="1"/>
  <c r="R575" i="1"/>
  <c r="R255" i="1"/>
  <c r="R733" i="1"/>
  <c r="R50" i="1"/>
  <c r="R576" i="1"/>
  <c r="R51" i="1"/>
  <c r="R1065" i="1"/>
  <c r="R256" i="1"/>
  <c r="R1066" i="1"/>
  <c r="R734" i="1"/>
  <c r="R1373" i="1"/>
  <c r="R735" i="1"/>
  <c r="R577" i="1"/>
  <c r="R1210" i="1"/>
  <c r="R416" i="1"/>
  <c r="R417" i="1"/>
  <c r="R1211" i="1"/>
  <c r="R1212" i="1"/>
  <c r="R418" i="1"/>
  <c r="R52" i="1"/>
  <c r="R53" i="1"/>
  <c r="R1067" i="1"/>
  <c r="R419" i="1"/>
  <c r="R420" i="1"/>
  <c r="R1213" i="1"/>
  <c r="R54" i="1"/>
  <c r="R892" i="1"/>
  <c r="R578" i="1"/>
  <c r="R1374" i="1"/>
  <c r="R893" i="1"/>
  <c r="R421" i="1"/>
  <c r="R422" i="1"/>
  <c r="R1068" i="1"/>
  <c r="R1375" i="1"/>
  <c r="R1214" i="1"/>
  <c r="R55" i="1"/>
  <c r="R894" i="1"/>
  <c r="R895" i="1"/>
  <c r="R257" i="1"/>
  <c r="R56" i="1"/>
  <c r="R1215" i="1"/>
  <c r="R1069" i="1"/>
  <c r="R258" i="1"/>
  <c r="R259" i="1"/>
  <c r="R736" i="1"/>
  <c r="R260" i="1"/>
  <c r="R1376" i="1"/>
  <c r="R57" i="1"/>
  <c r="R1216" i="1"/>
  <c r="R261" i="1"/>
  <c r="R579" i="1"/>
  <c r="R896" i="1"/>
  <c r="R262" i="1"/>
  <c r="R580" i="1"/>
  <c r="R58" i="1"/>
  <c r="R1070" i="1"/>
  <c r="R897" i="1"/>
  <c r="R581" i="1"/>
  <c r="R737" i="1"/>
  <c r="R1217" i="1"/>
  <c r="R1071" i="1"/>
  <c r="R898" i="1"/>
  <c r="R263" i="1"/>
  <c r="R1377" i="1"/>
  <c r="R423" i="1"/>
  <c r="R738" i="1"/>
  <c r="R739" i="1"/>
  <c r="R1218" i="1"/>
  <c r="R740" i="1"/>
  <c r="R1378" i="1"/>
  <c r="R1219" i="1"/>
  <c r="R1220" i="1"/>
  <c r="R264" i="1"/>
  <c r="R1379" i="1"/>
  <c r="R899" i="1"/>
  <c r="R424" i="1"/>
  <c r="R59" i="1"/>
  <c r="R1072" i="1"/>
  <c r="R741" i="1"/>
  <c r="R742" i="1"/>
  <c r="R1380" i="1"/>
  <c r="R582" i="1"/>
  <c r="R1073" i="1"/>
  <c r="R425" i="1"/>
  <c r="R426" i="1"/>
  <c r="R265" i="1"/>
  <c r="R900" i="1"/>
  <c r="R60" i="1"/>
  <c r="R1381" i="1"/>
  <c r="R266" i="1"/>
  <c r="R1382" i="1"/>
  <c r="R61" i="1"/>
  <c r="R1221" i="1"/>
  <c r="R1074" i="1"/>
  <c r="R427" i="1"/>
  <c r="R901" i="1"/>
  <c r="R583" i="1"/>
  <c r="R62" i="1"/>
  <c r="R63" i="1"/>
  <c r="R1222" i="1"/>
  <c r="R1075" i="1"/>
  <c r="R743" i="1"/>
  <c r="R267" i="1"/>
  <c r="R1383" i="1"/>
  <c r="R64" i="1"/>
  <c r="R1223" i="1"/>
  <c r="R268" i="1"/>
  <c r="R269" i="1"/>
  <c r="R1384" i="1"/>
  <c r="R1224" i="1"/>
  <c r="R1385" i="1"/>
  <c r="R1076" i="1"/>
  <c r="R1386" i="1"/>
  <c r="R428" i="1"/>
  <c r="R1225" i="1"/>
  <c r="R744" i="1"/>
  <c r="R902" i="1"/>
  <c r="R429" i="1"/>
  <c r="R903" i="1"/>
  <c r="R1387" i="1"/>
  <c r="R65" i="1"/>
  <c r="R66" i="1"/>
  <c r="R67" i="1"/>
  <c r="R584" i="1"/>
  <c r="R270" i="1"/>
  <c r="R68" i="1"/>
  <c r="R1388" i="1"/>
  <c r="R585" i="1"/>
  <c r="R1389" i="1"/>
  <c r="R904" i="1"/>
  <c r="R745" i="1"/>
  <c r="R586" i="1"/>
  <c r="R1390" i="1"/>
  <c r="R271" i="1"/>
  <c r="R69" i="1"/>
  <c r="R1391" i="1"/>
  <c r="R746" i="1"/>
  <c r="R430" i="1"/>
  <c r="R747" i="1"/>
  <c r="R1077" i="1"/>
  <c r="R1392" i="1"/>
  <c r="R70" i="1"/>
  <c r="R748" i="1"/>
  <c r="R905" i="1"/>
  <c r="R1393" i="1"/>
  <c r="R272" i="1"/>
  <c r="R1078" i="1"/>
  <c r="R273" i="1"/>
  <c r="R1226" i="1"/>
  <c r="R71" i="1"/>
  <c r="R431" i="1"/>
  <c r="R749" i="1"/>
  <c r="R750" i="1"/>
  <c r="R72" i="1"/>
  <c r="R1227" i="1"/>
  <c r="R73" i="1"/>
  <c r="R274" i="1"/>
  <c r="R1394" i="1"/>
  <c r="R1228" i="1"/>
  <c r="R1395" i="1"/>
  <c r="R906" i="1"/>
  <c r="R74" i="1"/>
  <c r="R75" i="1"/>
  <c r="R432" i="1"/>
  <c r="R751" i="1"/>
  <c r="R907" i="1"/>
  <c r="R908" i="1"/>
  <c r="R1229" i="1"/>
  <c r="R752" i="1"/>
  <c r="R587" i="1"/>
  <c r="R1079" i="1"/>
  <c r="R1230" i="1"/>
  <c r="R433" i="1"/>
  <c r="R909" i="1"/>
  <c r="R76" i="1"/>
  <c r="R77" i="1"/>
  <c r="R1080" i="1"/>
  <c r="R1081" i="1"/>
  <c r="R753" i="1"/>
  <c r="R1231" i="1"/>
  <c r="R275" i="1"/>
  <c r="R1082" i="1"/>
  <c r="R1232" i="1"/>
  <c r="R276" i="1"/>
  <c r="R1396" i="1"/>
  <c r="R78" i="1"/>
  <c r="R434" i="1"/>
  <c r="R277" i="1"/>
  <c r="R1233" i="1"/>
  <c r="R1397" i="1"/>
  <c r="R588" i="1"/>
  <c r="R79" i="1"/>
  <c r="R1398" i="1"/>
  <c r="R1083" i="1"/>
  <c r="R910" i="1"/>
  <c r="R278" i="1"/>
  <c r="R279" i="1"/>
  <c r="R1084" i="1"/>
  <c r="R80" i="1"/>
  <c r="R435" i="1"/>
  <c r="R436" i="1"/>
  <c r="R754" i="1"/>
  <c r="R1399" i="1"/>
  <c r="R437" i="1"/>
  <c r="R1085" i="1"/>
  <c r="R1086" i="1"/>
  <c r="R438" i="1"/>
  <c r="R81" i="1"/>
  <c r="R589" i="1"/>
  <c r="R1400" i="1"/>
  <c r="R1401" i="1"/>
  <c r="R82" i="1"/>
  <c r="R755" i="1"/>
  <c r="R83" i="1"/>
  <c r="R1234" i="1"/>
  <c r="R756" i="1"/>
  <c r="R1402" i="1"/>
  <c r="R911" i="1"/>
  <c r="R280" i="1"/>
  <c r="R757" i="1"/>
  <c r="R590" i="1"/>
  <c r="R84" i="1"/>
  <c r="R1087" i="1"/>
  <c r="R85" i="1"/>
  <c r="R1235" i="1"/>
  <c r="R439" i="1"/>
  <c r="R758" i="1"/>
  <c r="R759" i="1"/>
  <c r="R281" i="1"/>
  <c r="R86" i="1"/>
  <c r="R87" i="1"/>
  <c r="R1236" i="1"/>
  <c r="R1237" i="1"/>
  <c r="R1238" i="1"/>
  <c r="R591" i="1"/>
  <c r="R912" i="1"/>
  <c r="R1239" i="1"/>
  <c r="R1088" i="1"/>
  <c r="R760" i="1"/>
  <c r="R913" i="1"/>
  <c r="R761" i="1"/>
  <c r="R88" i="1"/>
  <c r="R762" i="1"/>
  <c r="R763" i="1"/>
  <c r="R440" i="1"/>
  <c r="R441" i="1"/>
  <c r="R442" i="1"/>
  <c r="R1240" i="1"/>
  <c r="R89" i="1"/>
  <c r="R1089" i="1"/>
  <c r="R282" i="1"/>
  <c r="R1403" i="1"/>
  <c r="R1241" i="1"/>
  <c r="R1090" i="1"/>
  <c r="R283" i="1"/>
  <c r="R90" i="1"/>
  <c r="R443" i="1"/>
  <c r="R1091" i="1"/>
  <c r="R91" i="1"/>
  <c r="R1242" i="1"/>
  <c r="R444" i="1"/>
  <c r="R764" i="1"/>
  <c r="R914" i="1"/>
  <c r="R915" i="1"/>
  <c r="R1243" i="1"/>
  <c r="R92" i="1"/>
  <c r="R916" i="1"/>
  <c r="R765" i="1"/>
  <c r="R284" i="1"/>
  <c r="R93" i="1"/>
  <c r="R1092" i="1"/>
  <c r="R1404" i="1"/>
  <c r="R1244" i="1"/>
  <c r="R94" i="1"/>
  <c r="R95" i="1"/>
  <c r="R1405" i="1"/>
  <c r="R285" i="1"/>
  <c r="R592" i="1"/>
  <c r="R96" i="1"/>
  <c r="R593" i="1"/>
  <c r="R594" i="1"/>
  <c r="R595" i="1"/>
  <c r="R286" i="1"/>
  <c r="R1245" i="1"/>
  <c r="R445" i="1"/>
  <c r="R1246" i="1"/>
  <c r="R1247" i="1"/>
  <c r="R97" i="1"/>
  <c r="R446" i="1"/>
  <c r="R287" i="1"/>
  <c r="R1093" i="1"/>
  <c r="R1094" i="1"/>
  <c r="R1406" i="1"/>
  <c r="R288" i="1"/>
  <c r="R447" i="1"/>
  <c r="R448" i="1"/>
  <c r="R1407" i="1"/>
  <c r="R1248" i="1"/>
  <c r="R98" i="1"/>
  <c r="R917" i="1"/>
  <c r="R449" i="1"/>
  <c r="R918" i="1"/>
  <c r="R289" i="1"/>
  <c r="R919" i="1"/>
  <c r="R1249" i="1"/>
  <c r="R99" i="1"/>
  <c r="R596" i="1"/>
  <c r="R766" i="1"/>
  <c r="R100" i="1"/>
  <c r="R920" i="1"/>
  <c r="R1250" i="1"/>
  <c r="R450" i="1"/>
  <c r="R921" i="1"/>
  <c r="R1408" i="1"/>
  <c r="R922" i="1"/>
  <c r="R1251" i="1"/>
  <c r="R1252" i="1"/>
  <c r="R1095" i="1"/>
  <c r="R1096" i="1"/>
  <c r="R290" i="1"/>
  <c r="R451" i="1"/>
  <c r="R101" i="1"/>
  <c r="R1253" i="1"/>
  <c r="R1097" i="1"/>
  <c r="R597" i="1"/>
  <c r="R1254" i="1"/>
  <c r="R1409" i="1"/>
  <c r="R291" i="1"/>
  <c r="R1410" i="1"/>
  <c r="R452" i="1"/>
  <c r="R292" i="1"/>
  <c r="R767" i="1"/>
  <c r="R1098" i="1"/>
  <c r="R453" i="1"/>
  <c r="R102" i="1"/>
  <c r="R293" i="1"/>
  <c r="R294" i="1"/>
  <c r="R1099" i="1"/>
  <c r="R598" i="1"/>
  <c r="R103" i="1"/>
  <c r="R599" i="1"/>
  <c r="R923" i="1"/>
  <c r="R295" i="1"/>
  <c r="R1255" i="1"/>
  <c r="R600" i="1"/>
  <c r="R454" i="1"/>
  <c r="R296" i="1"/>
  <c r="R1100" i="1"/>
  <c r="R1411" i="1"/>
  <c r="R1256" i="1"/>
  <c r="R1101" i="1"/>
  <c r="R924" i="1"/>
  <c r="R104" i="1"/>
  <c r="R1257" i="1"/>
  <c r="R297" i="1"/>
  <c r="R1102" i="1"/>
  <c r="R1412" i="1"/>
  <c r="R925" i="1"/>
  <c r="R298" i="1"/>
  <c r="R1258" i="1"/>
  <c r="R105" i="1"/>
  <c r="R601" i="1"/>
  <c r="R926" i="1"/>
  <c r="R1259" i="1"/>
  <c r="R1260" i="1"/>
  <c r="R106" i="1"/>
  <c r="R1103" i="1"/>
  <c r="R602" i="1"/>
  <c r="R603" i="1"/>
  <c r="R604" i="1"/>
  <c r="R1104" i="1"/>
  <c r="R1413" i="1"/>
  <c r="R1414" i="1"/>
  <c r="R455" i="1"/>
  <c r="R107" i="1"/>
  <c r="R1415" i="1"/>
  <c r="R1261" i="1"/>
  <c r="R605" i="1"/>
  <c r="R108" i="1"/>
  <c r="R606" i="1"/>
  <c r="R768" i="1"/>
  <c r="R1105" i="1"/>
  <c r="R299" i="1"/>
  <c r="R456" i="1"/>
  <c r="R1262" i="1"/>
  <c r="R457" i="1"/>
  <c r="R769" i="1"/>
  <c r="R300" i="1"/>
  <c r="R1263" i="1"/>
  <c r="R1416" i="1"/>
  <c r="R458" i="1"/>
  <c r="R459" i="1"/>
  <c r="R927" i="1"/>
  <c r="R928" i="1"/>
  <c r="R1417" i="1"/>
  <c r="R301" i="1"/>
  <c r="R302" i="1"/>
  <c r="R929" i="1"/>
  <c r="R1264" i="1"/>
  <c r="R303" i="1"/>
  <c r="R607" i="1"/>
  <c r="R770" i="1"/>
  <c r="R304" i="1"/>
  <c r="R608" i="1"/>
  <c r="R109" i="1"/>
  <c r="R1106" i="1"/>
  <c r="R930" i="1"/>
  <c r="R1265" i="1"/>
  <c r="R1266" i="1"/>
  <c r="R609" i="1"/>
  <c r="R1107" i="1"/>
  <c r="R1108" i="1"/>
  <c r="R305" i="1"/>
  <c r="R110" i="1"/>
  <c r="R460" i="1"/>
  <c r="R771" i="1"/>
  <c r="R1267" i="1"/>
  <c r="R1418" i="1"/>
  <c r="R931" i="1"/>
  <c r="R1109" i="1"/>
  <c r="R1268" i="1"/>
  <c r="R772" i="1"/>
  <c r="R1419" i="1"/>
  <c r="R111" i="1"/>
  <c r="R306" i="1"/>
  <c r="R307" i="1"/>
  <c r="R1420" i="1"/>
  <c r="R932" i="1"/>
  <c r="R933" i="1"/>
  <c r="R461" i="1"/>
  <c r="R1421" i="1"/>
  <c r="R308" i="1"/>
  <c r="R1110" i="1"/>
  <c r="R1422" i="1"/>
  <c r="R309" i="1"/>
  <c r="R1423" i="1"/>
  <c r="R773" i="1"/>
  <c r="R1269" i="1"/>
  <c r="R934" i="1"/>
  <c r="R112" i="1"/>
  <c r="R935" i="1"/>
  <c r="R610" i="1"/>
  <c r="R1270" i="1"/>
  <c r="R936" i="1"/>
  <c r="R1424" i="1"/>
  <c r="R310" i="1"/>
  <c r="R1425" i="1"/>
  <c r="R311" i="1"/>
  <c r="R774" i="1"/>
  <c r="R611" i="1"/>
  <c r="R1271" i="1"/>
  <c r="R113" i="1"/>
  <c r="R1426" i="1"/>
  <c r="R612" i="1"/>
  <c r="R1111" i="1"/>
  <c r="R114" i="1"/>
  <c r="R462" i="1"/>
  <c r="R1112" i="1"/>
  <c r="R312" i="1"/>
  <c r="R1427" i="1"/>
  <c r="R463" i="1"/>
  <c r="R115" i="1"/>
  <c r="R937" i="1"/>
  <c r="R1272" i="1"/>
  <c r="R464" i="1"/>
  <c r="R1273" i="1"/>
  <c r="R1428" i="1"/>
  <c r="R116" i="1"/>
  <c r="R1429" i="1"/>
  <c r="R938" i="1"/>
  <c r="R1113" i="1"/>
  <c r="R117" i="1"/>
  <c r="R118" i="1"/>
  <c r="R1114" i="1"/>
  <c r="R119" i="1"/>
  <c r="R1274" i="1"/>
  <c r="R120" i="1"/>
  <c r="R121" i="1"/>
  <c r="R775" i="1"/>
  <c r="R939" i="1"/>
  <c r="R313" i="1"/>
  <c r="R940" i="1"/>
  <c r="R1430" i="1"/>
  <c r="R1431" i="1"/>
  <c r="R1275" i="1"/>
  <c r="R1115" i="1"/>
  <c r="R941" i="1"/>
  <c r="R1116" i="1"/>
  <c r="R1276" i="1"/>
  <c r="R1277" i="1"/>
  <c r="R465" i="1"/>
  <c r="R122" i="1"/>
  <c r="R1278" i="1"/>
  <c r="R942" i="1"/>
  <c r="R1432" i="1"/>
  <c r="R776" i="1"/>
  <c r="R123" i="1"/>
  <c r="R613" i="1"/>
  <c r="R777" i="1"/>
  <c r="R778" i="1"/>
  <c r="R943" i="1"/>
  <c r="R779" i="1"/>
  <c r="R944" i="1"/>
  <c r="R780" i="1"/>
  <c r="R614" i="1"/>
  <c r="R1433" i="1"/>
  <c r="R124" i="1"/>
  <c r="R125" i="1"/>
  <c r="R466" i="1"/>
  <c r="R1279" i="1"/>
  <c r="R1280" i="1"/>
  <c r="R615" i="1"/>
  <c r="R1434" i="1"/>
  <c r="R467" i="1"/>
  <c r="R945" i="1"/>
  <c r="R781" i="1"/>
  <c r="R782" i="1"/>
  <c r="R314" i="1"/>
  <c r="R946" i="1"/>
  <c r="R783" i="1"/>
  <c r="R1435" i="1"/>
  <c r="R1117" i="1"/>
  <c r="R1118" i="1"/>
  <c r="R1436" i="1"/>
  <c r="R784" i="1"/>
  <c r="R1437" i="1"/>
  <c r="R785" i="1"/>
  <c r="R126" i="1"/>
  <c r="R616" i="1"/>
  <c r="R315" i="1"/>
  <c r="R947" i="1"/>
  <c r="R617" i="1"/>
  <c r="R1281" i="1"/>
  <c r="R468" i="1"/>
  <c r="R786" i="1"/>
  <c r="R618" i="1"/>
  <c r="R127" i="1"/>
  <c r="R1119" i="1"/>
  <c r="R1438" i="1"/>
  <c r="R787" i="1"/>
  <c r="R1120" i="1"/>
  <c r="R619" i="1"/>
  <c r="R128" i="1"/>
  <c r="R948" i="1"/>
  <c r="R620" i="1"/>
  <c r="R129" i="1"/>
  <c r="R316" i="1"/>
  <c r="R317" i="1"/>
  <c r="R469" i="1"/>
  <c r="R470" i="1"/>
  <c r="R1282" i="1"/>
  <c r="R1283" i="1"/>
  <c r="R471" i="1"/>
  <c r="R472" i="1"/>
  <c r="R1439" i="1"/>
  <c r="R130" i="1"/>
  <c r="R1121" i="1"/>
  <c r="R621" i="1"/>
  <c r="R622" i="1"/>
  <c r="R788" i="1"/>
  <c r="R949" i="1"/>
  <c r="R623" i="1"/>
  <c r="R1284" i="1"/>
  <c r="R1285" i="1"/>
  <c r="R624" i="1"/>
  <c r="R1286" i="1"/>
  <c r="R473" i="1"/>
  <c r="R789" i="1"/>
  <c r="R1287" i="1"/>
  <c r="R131" i="1"/>
  <c r="R790" i="1"/>
  <c r="R625" i="1"/>
  <c r="R318" i="1"/>
  <c r="R474" i="1"/>
  <c r="R319" i="1"/>
  <c r="R1440" i="1"/>
  <c r="R132" i="1"/>
  <c r="R1441" i="1"/>
  <c r="R320" i="1"/>
  <c r="R1288" i="1"/>
  <c r="R1122" i="1"/>
  <c r="R321" i="1"/>
  <c r="R626" i="1"/>
  <c r="R475" i="1"/>
  <c r="R950" i="1"/>
  <c r="R791" i="1"/>
  <c r="R1289" i="1"/>
  <c r="R627" i="1"/>
  <c r="R1442" i="1"/>
  <c r="R1443" i="1"/>
  <c r="R1444" i="1"/>
  <c r="R476" i="1"/>
  <c r="R1445" i="1"/>
  <c r="R477" i="1"/>
  <c r="R133" i="1"/>
  <c r="R951" i="1"/>
  <c r="R952" i="1"/>
  <c r="R953" i="1"/>
  <c r="R1446" i="1"/>
  <c r="R792" i="1"/>
  <c r="R1123" i="1"/>
  <c r="R134" i="1"/>
  <c r="R954" i="1"/>
  <c r="R1124" i="1"/>
  <c r="R135" i="1"/>
  <c r="R322" i="1"/>
  <c r="R136" i="1"/>
  <c r="R955" i="1"/>
  <c r="R628" i="1"/>
  <c r="R1290" i="1"/>
  <c r="R1291" i="1"/>
  <c r="R629" i="1"/>
  <c r="R478" i="1"/>
  <c r="R956" i="1"/>
  <c r="R479" i="1"/>
  <c r="R957" i="1"/>
  <c r="R137" i="1"/>
  <c r="R630" i="1"/>
  <c r="R958" i="1"/>
  <c r="R480" i="1"/>
  <c r="R138" i="1"/>
  <c r="R631" i="1"/>
  <c r="R1447" i="1"/>
  <c r="R1292" i="1"/>
  <c r="R139" i="1"/>
  <c r="R959" i="1"/>
  <c r="R481" i="1"/>
  <c r="R1448" i="1"/>
  <c r="R793" i="1"/>
  <c r="R482" i="1"/>
  <c r="R1293" i="1"/>
  <c r="R632" i="1"/>
  <c r="R1449" i="1"/>
  <c r="R483" i="1"/>
  <c r="R323" i="1"/>
  <c r="R140" i="1"/>
  <c r="R1450" i="1"/>
  <c r="R794" i="1"/>
  <c r="R324" i="1"/>
  <c r="R141" i="1"/>
  <c r="R633" i="1"/>
  <c r="R142" i="1"/>
  <c r="R795" i="1"/>
  <c r="R960" i="1"/>
  <c r="R634" i="1"/>
  <c r="R325" i="1"/>
  <c r="R635" i="1"/>
  <c r="R961" i="1"/>
  <c r="R143" i="1"/>
  <c r="R796" i="1"/>
  <c r="R1125" i="1"/>
  <c r="R1451" i="1"/>
  <c r="R144" i="1"/>
  <c r="R962" i="1"/>
  <c r="R484" i="1"/>
  <c r="R963" i="1"/>
  <c r="R964" i="1"/>
  <c r="R636" i="1"/>
  <c r="R1452" i="1"/>
  <c r="R1126" i="1"/>
  <c r="R1453" i="1"/>
  <c r="R797" i="1"/>
  <c r="R326" i="1"/>
  <c r="R145" i="1"/>
  <c r="R146" i="1"/>
  <c r="R965" i="1"/>
  <c r="R147" i="1"/>
  <c r="R485" i="1"/>
  <c r="R966" i="1"/>
  <c r="R798" i="1"/>
  <c r="R1294" i="1"/>
  <c r="R486" i="1"/>
  <c r="R967" i="1"/>
  <c r="R148" i="1"/>
  <c r="R1127" i="1"/>
  <c r="R637" i="1"/>
  <c r="R799" i="1"/>
  <c r="R638" i="1"/>
  <c r="R639" i="1"/>
  <c r="R640" i="1"/>
  <c r="R800" i="1"/>
  <c r="R487" i="1"/>
  <c r="R968" i="1"/>
  <c r="R488" i="1"/>
  <c r="R1454" i="1"/>
  <c r="R1295" i="1"/>
  <c r="R327" i="1"/>
  <c r="R328" i="1"/>
  <c r="R329" i="1"/>
  <c r="R801" i="1"/>
  <c r="R1128" i="1"/>
  <c r="R330" i="1"/>
  <c r="R489" i="1"/>
  <c r="R149" i="1"/>
  <c r="R1129" i="1"/>
  <c r="R490" i="1"/>
  <c r="R1455" i="1"/>
  <c r="R802" i="1"/>
  <c r="R150" i="1"/>
  <c r="R331" i="1"/>
  <c r="R969" i="1"/>
  <c r="R1456" i="1"/>
  <c r="R1457" i="1"/>
  <c r="R970" i="1"/>
  <c r="R803" i="1"/>
  <c r="R151" i="1"/>
  <c r="R804" i="1"/>
  <c r="R152" i="1"/>
  <c r="R332" i="1"/>
  <c r="R333" i="1"/>
  <c r="R971" i="1"/>
  <c r="R972" i="1"/>
  <c r="R1130" i="1"/>
  <c r="R973" i="1"/>
  <c r="R153" i="1"/>
  <c r="R641" i="1"/>
  <c r="R491" i="1"/>
  <c r="R492" i="1"/>
  <c r="R974" i="1"/>
  <c r="R154" i="1"/>
  <c r="R1131" i="1"/>
  <c r="R155" i="1"/>
  <c r="R975" i="1"/>
  <c r="R1458" i="1"/>
  <c r="R976" i="1"/>
  <c r="R1459" i="1"/>
  <c r="R1460" i="1"/>
  <c r="R156" i="1"/>
  <c r="R1461" i="1"/>
  <c r="R1462" i="1"/>
  <c r="R157" i="1"/>
  <c r="R642" i="1"/>
  <c r="R334" i="1"/>
  <c r="R1463" i="1"/>
  <c r="R1296" i="1"/>
  <c r="R643" i="1"/>
  <c r="R493" i="1"/>
  <c r="R494" i="1"/>
  <c r="R335" i="1"/>
  <c r="R336" i="1"/>
  <c r="R977" i="1"/>
  <c r="R644" i="1"/>
  <c r="R645" i="1"/>
  <c r="R1297" i="1"/>
  <c r="R337" i="1"/>
  <c r="R646" i="1"/>
  <c r="R1464" i="1"/>
  <c r="R647" i="1"/>
  <c r="R805" i="1"/>
  <c r="R1132" i="1"/>
  <c r="R158" i="1"/>
  <c r="R648" i="1"/>
  <c r="R1298" i="1"/>
  <c r="R495" i="1"/>
  <c r="R1299" i="1"/>
  <c r="R159" i="1"/>
  <c r="R806" i="1"/>
  <c r="R338" i="1"/>
  <c r="R807" i="1"/>
  <c r="R978" i="1"/>
  <c r="R979" i="1"/>
  <c r="R496" i="1"/>
  <c r="R980" i="1"/>
  <c r="R1465" i="1"/>
  <c r="R981" i="1"/>
  <c r="R160" i="1"/>
  <c r="R497" i="1"/>
  <c r="R339" i="1"/>
  <c r="R808" i="1"/>
  <c r="R982" i="1"/>
  <c r="R1133" i="1"/>
  <c r="R1466" i="1"/>
  <c r="R1134" i="1"/>
  <c r="R649" i="1"/>
  <c r="R498" i="1"/>
  <c r="R650" i="1"/>
  <c r="R651" i="1"/>
  <c r="R983" i="1"/>
  <c r="R161" i="1"/>
  <c r="R340" i="1"/>
  <c r="R341" i="1"/>
  <c r="R809" i="1"/>
  <c r="R1135" i="1"/>
  <c r="R652" i="1"/>
  <c r="R162" i="1"/>
  <c r="R342" i="1"/>
  <c r="R499" i="1"/>
  <c r="R1136" i="1"/>
  <c r="R653" i="1"/>
  <c r="R500" i="1"/>
  <c r="R163" i="1"/>
  <c r="R984" i="1"/>
  <c r="R1137" i="1"/>
  <c r="R343" i="1"/>
  <c r="R164" i="1"/>
  <c r="R1138" i="1"/>
  <c r="R1467" i="1"/>
  <c r="R654" i="1"/>
  <c r="R1468" i="1"/>
  <c r="R810" i="1"/>
  <c r="R985" i="1"/>
  <c r="R655" i="1"/>
  <c r="R1139" i="1"/>
  <c r="R811" i="1"/>
  <c r="R501" i="1"/>
  <c r="R1469" i="1"/>
  <c r="R502" i="1"/>
  <c r="R1140" i="1"/>
  <c r="R1300" i="1"/>
  <c r="R1470" i="1"/>
  <c r="R1301" i="1"/>
  <c r="R656" i="1"/>
  <c r="R165" i="1"/>
  <c r="R986" i="1"/>
  <c r="R166" i="1"/>
  <c r="R344" i="1"/>
  <c r="R1141" i="1"/>
  <c r="R1471" i="1"/>
  <c r="R167" i="1"/>
  <c r="R1302" i="1"/>
  <c r="R345" i="1"/>
  <c r="R1142" i="1"/>
  <c r="R1472" i="1"/>
  <c r="R812" i="1"/>
  <c r="R813" i="1"/>
  <c r="R1303" i="1"/>
  <c r="R1473" i="1"/>
  <c r="R168" i="1"/>
  <c r="R1474" i="1"/>
  <c r="R1143" i="1"/>
  <c r="R503" i="1"/>
  <c r="R1475" i="1"/>
  <c r="R987" i="1"/>
  <c r="R988" i="1"/>
  <c r="R346" i="1"/>
  <c r="R169" i="1"/>
  <c r="R989" i="1"/>
  <c r="R814" i="1"/>
  <c r="R990" i="1"/>
  <c r="R347" i="1"/>
  <c r="R504" i="1"/>
  <c r="R815" i="1"/>
  <c r="R348" i="1"/>
  <c r="R816" i="1"/>
  <c r="R817" i="1"/>
  <c r="R349" i="1"/>
  <c r="R991" i="1"/>
  <c r="R657" i="1"/>
  <c r="R658" i="1"/>
  <c r="R505" i="1"/>
  <c r="R818" i="1"/>
  <c r="R659" i="1"/>
  <c r="R819" i="1"/>
  <c r="R170" i="1"/>
  <c r="R1144" i="1"/>
  <c r="R350" i="1"/>
  <c r="R660" i="1"/>
  <c r="R661" i="1"/>
  <c r="R992" i="1"/>
  <c r="R1304" i="1"/>
  <c r="R662" i="1"/>
  <c r="R171" i="1"/>
  <c r="R1305" i="1"/>
  <c r="R1306" i="1"/>
  <c r="R506" i="1"/>
  <c r="R1307" i="1"/>
  <c r="R351" i="1"/>
  <c r="R1476" i="1"/>
  <c r="R663" i="1"/>
  <c r="R1308" i="1"/>
  <c r="R664" i="1"/>
  <c r="R665" i="1"/>
  <c r="R1145" i="1"/>
  <c r="R1146" i="1"/>
  <c r="R1147" i="1"/>
  <c r="R172" i="1"/>
  <c r="R173" i="1"/>
  <c r="R993" i="1"/>
  <c r="R666" i="1"/>
  <c r="R1477" i="1"/>
  <c r="R507" i="1"/>
  <c r="R1309" i="1"/>
  <c r="R1148" i="1"/>
  <c r="R508" i="1"/>
  <c r="R820" i="1"/>
  <c r="R994" i="1"/>
  <c r="R995" i="1"/>
  <c r="R1478" i="1"/>
  <c r="R509" i="1"/>
  <c r="R667" i="1"/>
  <c r="R352" i="1"/>
  <c r="R353" i="1"/>
  <c r="R1310" i="1"/>
  <c r="R668" i="1"/>
  <c r="R821" i="1"/>
  <c r="R174" i="1"/>
  <c r="R1311" i="1"/>
  <c r="R822" i="1"/>
  <c r="R823" i="1"/>
  <c r="R354" i="1"/>
  <c r="R1479" i="1"/>
  <c r="R175" i="1"/>
  <c r="R176" i="1"/>
  <c r="R824" i="1"/>
  <c r="R510" i="1"/>
  <c r="R511" i="1"/>
  <c r="R355" i="1"/>
  <c r="R1312" i="1"/>
  <c r="R512" i="1"/>
  <c r="R1480" i="1"/>
  <c r="R1149" i="1"/>
  <c r="R825" i="1"/>
  <c r="R1313" i="1"/>
  <c r="R177" i="1"/>
  <c r="R178" i="1"/>
  <c r="R996" i="1"/>
  <c r="R1314" i="1"/>
  <c r="R356" i="1"/>
  <c r="R357" i="1"/>
  <c r="R1150" i="1"/>
  <c r="R1315" i="1"/>
  <c r="R179" i="1"/>
  <c r="R997" i="1"/>
  <c r="R1316" i="1"/>
  <c r="R513" i="1"/>
  <c r="R998" i="1"/>
  <c r="R826" i="1"/>
  <c r="R1317" i="1"/>
  <c r="R999" i="1"/>
  <c r="R827" i="1"/>
  <c r="R1318" i="1"/>
  <c r="R358" i="1"/>
  <c r="R514" i="1"/>
  <c r="R515" i="1"/>
  <c r="R516" i="1"/>
  <c r="R180" i="1"/>
  <c r="R1000" i="1"/>
  <c r="R1481" i="1"/>
  <c r="R669" i="1"/>
  <c r="R1482" i="1"/>
  <c r="R1483" i="1"/>
  <c r="R1319" i="1"/>
  <c r="R181" i="1"/>
  <c r="R359" i="1"/>
  <c r="R517" i="1"/>
  <c r="R182" i="1"/>
  <c r="R670" i="1"/>
  <c r="R828" i="1"/>
  <c r="R1484" i="1"/>
  <c r="R1151" i="1"/>
  <c r="R183" i="1"/>
  <c r="R1320" i="1"/>
  <c r="R671" i="1"/>
  <c r="R184" i="1"/>
  <c r="R829" i="1"/>
  <c r="R830" i="1"/>
  <c r="R1152" i="1"/>
  <c r="R518" i="1"/>
  <c r="R360" i="1"/>
  <c r="R831" i="1"/>
  <c r="R1153" i="1"/>
  <c r="R1154" i="1"/>
  <c r="R832" i="1"/>
  <c r="R185" i="1"/>
  <c r="R361" i="1"/>
  <c r="R833" i="1"/>
  <c r="R672" i="1"/>
  <c r="R1321" i="1"/>
  <c r="R1001" i="1"/>
  <c r="R1155" i="1"/>
  <c r="R834" i="1"/>
  <c r="R186" i="1"/>
  <c r="R362" i="1"/>
  <c r="R1485" i="1"/>
  <c r="R1486" i="1"/>
  <c r="R187" i="1"/>
  <c r="R519" i="1"/>
  <c r="R188" i="1"/>
  <c r="R363" i="1"/>
  <c r="R835" i="1"/>
  <c r="R836" i="1"/>
  <c r="R1156" i="1"/>
  <c r="R1322" i="1"/>
  <c r="R1323" i="1"/>
  <c r="R837" i="1"/>
  <c r="R1324" i="1"/>
  <c r="R1002" i="1"/>
  <c r="R520" i="1"/>
  <c r="R673" i="1"/>
  <c r="R838" i="1"/>
  <c r="R1157" i="1"/>
  <c r="R1487" i="1"/>
  <c r="R674" i="1"/>
  <c r="R1003" i="1"/>
  <c r="R189" i="1"/>
  <c r="R190" i="1"/>
  <c r="R1004" i="1"/>
  <c r="R675" i="1"/>
  <c r="R191" i="1"/>
  <c r="R676" i="1"/>
  <c r="R1488" i="1"/>
  <c r="R521" i="1"/>
  <c r="R839" i="1"/>
  <c r="R192" i="1"/>
  <c r="R1489" i="1"/>
  <c r="R1005" i="1"/>
  <c r="R1490" i="1"/>
  <c r="R364" i="1"/>
  <c r="R365" i="1"/>
  <c r="R677" i="1"/>
  <c r="Q914" i="1"/>
  <c r="Q112" i="1"/>
  <c r="Q784" i="1"/>
  <c r="Q490" i="1"/>
  <c r="Q341" i="1"/>
  <c r="Q1000" i="1"/>
  <c r="Q835" i="1"/>
  <c r="P841" i="1"/>
  <c r="P680" i="1"/>
  <c r="P528" i="1"/>
  <c r="P7" i="1"/>
  <c r="P533" i="1"/>
  <c r="P850" i="1"/>
  <c r="P1337" i="1"/>
  <c r="P1176" i="1"/>
  <c r="P384" i="1"/>
  <c r="P388" i="1"/>
  <c r="P1031" i="1"/>
  <c r="P1035" i="1"/>
  <c r="P713" i="1"/>
  <c r="P1189" i="1"/>
  <c r="P1363" i="1"/>
  <c r="P403" i="1"/>
  <c r="P406" i="1"/>
  <c r="P568" i="1"/>
  <c r="P1058" i="1"/>
  <c r="P571" i="1"/>
  <c r="P1207" i="1"/>
  <c r="P255" i="1"/>
  <c r="P1212" i="1"/>
  <c r="P1375" i="1"/>
  <c r="P261" i="1"/>
  <c r="P738" i="1"/>
  <c r="P582" i="1"/>
  <c r="P428" i="1"/>
  <c r="P904" i="1"/>
  <c r="P272" i="1"/>
  <c r="P1081" i="1"/>
  <c r="P1083" i="1"/>
  <c r="P1400" i="1"/>
  <c r="P439" i="1"/>
  <c r="P88" i="1"/>
  <c r="P1091" i="1"/>
  <c r="P287" i="1"/>
  <c r="P99" i="1"/>
  <c r="P101" i="1"/>
  <c r="P1099" i="1"/>
  <c r="P1257" i="1"/>
  <c r="P604" i="1"/>
  <c r="P457" i="1"/>
  <c r="P770" i="1"/>
  <c r="P1418" i="1"/>
  <c r="P1422" i="1"/>
  <c r="P611" i="1"/>
  <c r="P1273" i="1"/>
  <c r="P940" i="1"/>
  <c r="P613" i="1"/>
  <c r="P615" i="1"/>
  <c r="P1118" i="1"/>
  <c r="P468" i="1"/>
  <c r="P787" i="1"/>
  <c r="P948" i="1"/>
  <c r="P1439" i="1"/>
  <c r="P1286" i="1"/>
  <c r="P625" i="1"/>
  <c r="P1440" i="1"/>
  <c r="P1289" i="1"/>
  <c r="P953" i="1"/>
  <c r="P1124" i="1"/>
  <c r="P955" i="1"/>
  <c r="P958" i="1"/>
  <c r="P482" i="1"/>
  <c r="P140" i="1"/>
  <c r="P141" i="1"/>
  <c r="P1125" i="1"/>
  <c r="P797" i="1"/>
  <c r="P485" i="1"/>
  <c r="P486" i="1"/>
  <c r="P968" i="1"/>
  <c r="P331" i="1"/>
  <c r="P970" i="1"/>
  <c r="P1459" i="1"/>
  <c r="P642" i="1"/>
  <c r="P643" i="1"/>
  <c r="P1464" i="1"/>
  <c r="P1465" i="1"/>
  <c r="P339" i="1"/>
  <c r="P500" i="1"/>
  <c r="P1138" i="1"/>
  <c r="P810" i="1"/>
  <c r="P1301" i="1"/>
  <c r="P1142" i="1"/>
  <c r="P168" i="1"/>
  <c r="P1475" i="1"/>
  <c r="P348" i="1"/>
  <c r="P1304" i="1"/>
  <c r="P1306" i="1"/>
  <c r="P1147" i="1"/>
  <c r="P994" i="1"/>
  <c r="P353" i="1"/>
  <c r="P174" i="1"/>
  <c r="P355" i="1"/>
  <c r="P356" i="1"/>
  <c r="P1316" i="1"/>
  <c r="P1317" i="1"/>
  <c r="P669" i="1"/>
  <c r="P1151" i="1"/>
  <c r="P830" i="1"/>
  <c r="P831" i="1"/>
  <c r="P834" i="1"/>
  <c r="P1156" i="1"/>
  <c r="P520" i="1"/>
  <c r="P1487" i="1"/>
  <c r="P839" i="1"/>
  <c r="P677" i="1"/>
  <c r="O840" i="1"/>
  <c r="O366" i="1"/>
  <c r="O678" i="1"/>
  <c r="O193" i="1"/>
  <c r="O1006" i="1"/>
  <c r="O194" i="1"/>
  <c r="O2" i="1"/>
  <c r="O367" i="1"/>
  <c r="O522" i="1"/>
  <c r="O523" i="1"/>
  <c r="O841" i="1"/>
  <c r="O195" i="1"/>
  <c r="P195" i="1" s="1"/>
  <c r="O1325" i="1"/>
  <c r="O842" i="1"/>
  <c r="O368" i="1"/>
  <c r="O1326" i="1"/>
  <c r="O1158" i="1"/>
  <c r="O1159" i="1"/>
  <c r="O524" i="1"/>
  <c r="O1160" i="1"/>
  <c r="O679" i="1"/>
  <c r="O369" i="1"/>
  <c r="O680" i="1"/>
  <c r="O3" i="1"/>
  <c r="O843" i="1"/>
  <c r="O1327" i="1"/>
  <c r="O1161" i="1"/>
  <c r="O1162" i="1"/>
  <c r="O525" i="1"/>
  <c r="O681" i="1"/>
  <c r="O1163" i="1"/>
  <c r="O526" i="1"/>
  <c r="P526" i="1" s="1"/>
  <c r="O682" i="1"/>
  <c r="O1007" i="1"/>
  <c r="O1328" i="1"/>
  <c r="O844" i="1"/>
  <c r="O683" i="1"/>
  <c r="O1008" i="1"/>
  <c r="O527" i="1"/>
  <c r="O845" i="1"/>
  <c r="O196" i="1"/>
  <c r="O684" i="1"/>
  <c r="O528" i="1"/>
  <c r="O1164" i="1"/>
  <c r="P1164" i="1" s="1"/>
  <c r="O529" i="1"/>
  <c r="O370" i="1"/>
  <c r="O371" i="1"/>
  <c r="O1329" i="1"/>
  <c r="O4" i="1"/>
  <c r="O5" i="1"/>
  <c r="O1165" i="1"/>
  <c r="O372" i="1"/>
  <c r="O6" i="1"/>
  <c r="O1330" i="1"/>
  <c r="O7" i="1"/>
  <c r="O373" i="1"/>
  <c r="O1166" i="1"/>
  <c r="O846" i="1"/>
  <c r="O1009" i="1"/>
  <c r="O1010" i="1"/>
  <c r="O1167" i="1"/>
  <c r="O530" i="1"/>
  <c r="O374" i="1"/>
  <c r="O685" i="1"/>
  <c r="P685" i="1" s="1"/>
  <c r="O686" i="1"/>
  <c r="O1168" i="1"/>
  <c r="O847" i="1"/>
  <c r="O531" i="1"/>
  <c r="O1331" i="1"/>
  <c r="O1169" i="1"/>
  <c r="O8" i="1"/>
  <c r="O1170" i="1"/>
  <c r="O1011" i="1"/>
  <c r="O375" i="1"/>
  <c r="O197" i="1"/>
  <c r="O1171" i="1"/>
  <c r="P1171" i="1" s="1"/>
  <c r="O1172" i="1"/>
  <c r="O376" i="1"/>
  <c r="O1332" i="1"/>
  <c r="O687" i="1"/>
  <c r="O198" i="1"/>
  <c r="O532" i="1"/>
  <c r="O1012" i="1"/>
  <c r="O848" i="1"/>
  <c r="O688" i="1"/>
  <c r="O1173" i="1"/>
  <c r="O533" i="1"/>
  <c r="O689" i="1"/>
  <c r="O199" i="1"/>
  <c r="O1333" i="1"/>
  <c r="O534" i="1"/>
  <c r="O200" i="1"/>
  <c r="O849" i="1"/>
  <c r="O1013" i="1"/>
  <c r="O9" i="1"/>
  <c r="O690" i="1"/>
  <c r="P690" i="1" s="1"/>
  <c r="O535" i="1"/>
  <c r="O691" i="1"/>
  <c r="O201" i="1"/>
  <c r="O692" i="1"/>
  <c r="O1174" i="1"/>
  <c r="O1014" i="1"/>
  <c r="O202" i="1"/>
  <c r="O1334" i="1"/>
  <c r="O1015" i="1"/>
  <c r="O203" i="1"/>
  <c r="O850" i="1"/>
  <c r="O204" i="1"/>
  <c r="P204" i="1" s="1"/>
  <c r="O693" i="1"/>
  <c r="O1175" i="1"/>
  <c r="O10" i="1"/>
  <c r="O205" i="1"/>
  <c r="O206" i="1"/>
  <c r="O1335" i="1"/>
  <c r="O1336" i="1"/>
  <c r="O1016" i="1"/>
  <c r="O851" i="1"/>
  <c r="O852" i="1"/>
  <c r="O1337" i="1"/>
  <c r="O1338" i="1"/>
  <c r="O377" i="1"/>
  <c r="O853" i="1"/>
  <c r="O854" i="1"/>
  <c r="O1017" i="1"/>
  <c r="O378" i="1"/>
  <c r="O694" i="1"/>
  <c r="O1018" i="1"/>
  <c r="O379" i="1"/>
  <c r="P379" i="1" s="1"/>
  <c r="O1339" i="1"/>
  <c r="O1340" i="1"/>
  <c r="O380" i="1"/>
  <c r="O207" i="1"/>
  <c r="O1019" i="1"/>
  <c r="O855" i="1"/>
  <c r="O208" i="1"/>
  <c r="O11" i="1"/>
  <c r="O1341" i="1"/>
  <c r="O1176" i="1"/>
  <c r="O12" i="1"/>
  <c r="O1020" i="1"/>
  <c r="O856" i="1"/>
  <c r="O857" i="1"/>
  <c r="O1021" i="1"/>
  <c r="O1177" i="1"/>
  <c r="O13" i="1"/>
  <c r="O1022" i="1"/>
  <c r="O209" i="1"/>
  <c r="O536" i="1"/>
  <c r="O1342" i="1"/>
  <c r="O1343" i="1"/>
  <c r="O858" i="1"/>
  <c r="O210" i="1"/>
  <c r="O381" i="1"/>
  <c r="O537" i="1"/>
  <c r="O859" i="1"/>
  <c r="O1344" i="1"/>
  <c r="O695" i="1"/>
  <c r="O382" i="1"/>
  <c r="O14" i="1"/>
  <c r="O538" i="1"/>
  <c r="O860" i="1"/>
  <c r="O1023" i="1"/>
  <c r="O15" i="1"/>
  <c r="O1178" i="1"/>
  <c r="O16" i="1"/>
  <c r="O1179" i="1"/>
  <c r="O539" i="1"/>
  <c r="O383" i="1"/>
  <c r="O861" i="1"/>
  <c r="O384" i="1"/>
  <c r="O696" i="1"/>
  <c r="O697" i="1"/>
  <c r="O17" i="1"/>
  <c r="O385" i="1"/>
  <c r="O698" i="1"/>
  <c r="O699" i="1"/>
  <c r="O1345" i="1"/>
  <c r="O386" i="1"/>
  <c r="O1346" i="1"/>
  <c r="O211" i="1"/>
  <c r="O18" i="1"/>
  <c r="O1347" i="1"/>
  <c r="O19" i="1"/>
  <c r="O387" i="1"/>
  <c r="O1024" i="1"/>
  <c r="O700" i="1"/>
  <c r="O540" i="1"/>
  <c r="O862" i="1"/>
  <c r="O1348" i="1"/>
  <c r="O541" i="1"/>
  <c r="O212" i="1"/>
  <c r="O213" i="1"/>
  <c r="O863" i="1"/>
  <c r="O701" i="1"/>
  <c r="O1349" i="1"/>
  <c r="O214" i="1"/>
  <c r="O1180" i="1"/>
  <c r="O1025" i="1"/>
  <c r="O215" i="1"/>
  <c r="O20" i="1"/>
  <c r="O702" i="1"/>
  <c r="O388" i="1"/>
  <c r="O21" i="1"/>
  <c r="O216" i="1"/>
  <c r="O217" i="1"/>
  <c r="O1026" i="1"/>
  <c r="O542" i="1"/>
  <c r="O218" i="1"/>
  <c r="O389" i="1"/>
  <c r="O219" i="1"/>
  <c r="O1350" i="1"/>
  <c r="O543" i="1"/>
  <c r="O864" i="1"/>
  <c r="O703" i="1"/>
  <c r="O1181" i="1"/>
  <c r="O544" i="1"/>
  <c r="O1027" i="1"/>
  <c r="O704" i="1"/>
  <c r="O22" i="1"/>
  <c r="O705" i="1"/>
  <c r="O23" i="1"/>
  <c r="O24" i="1"/>
  <c r="O220" i="1"/>
  <c r="O1028" i="1"/>
  <c r="O1351" i="1"/>
  <c r="O545" i="1"/>
  <c r="O1029" i="1"/>
  <c r="O706" i="1"/>
  <c r="O865" i="1"/>
  <c r="O25" i="1"/>
  <c r="O221" i="1"/>
  <c r="O1030" i="1"/>
  <c r="O866" i="1"/>
  <c r="O1031" i="1"/>
  <c r="O1352" i="1"/>
  <c r="O546" i="1"/>
  <c r="O390" i="1"/>
  <c r="O1032" i="1"/>
  <c r="O547" i="1"/>
  <c r="O26" i="1"/>
  <c r="O1182" i="1"/>
  <c r="O1033" i="1"/>
  <c r="O222" i="1"/>
  <c r="O391" i="1"/>
  <c r="O392" i="1"/>
  <c r="O1353" i="1"/>
  <c r="O223" i="1"/>
  <c r="O27" i="1"/>
  <c r="O224" i="1"/>
  <c r="O548" i="1"/>
  <c r="O225" i="1"/>
  <c r="O28" i="1"/>
  <c r="O1183" i="1"/>
  <c r="O226" i="1"/>
  <c r="O867" i="1"/>
  <c r="O868" i="1"/>
  <c r="O227" i="1"/>
  <c r="O707" i="1"/>
  <c r="O869" i="1"/>
  <c r="O393" i="1"/>
  <c r="O1034" i="1"/>
  <c r="O870" i="1"/>
  <c r="O549" i="1"/>
  <c r="O29" i="1"/>
  <c r="O550" i="1"/>
  <c r="O1035" i="1"/>
  <c r="O228" i="1"/>
  <c r="O229" i="1"/>
  <c r="O871" i="1"/>
  <c r="O230" i="1"/>
  <c r="O551" i="1"/>
  <c r="O552" i="1"/>
  <c r="O708" i="1"/>
  <c r="O1036" i="1"/>
  <c r="O553" i="1"/>
  <c r="O1354" i="1"/>
  <c r="O554" i="1"/>
  <c r="O1184" i="1"/>
  <c r="O709" i="1"/>
  <c r="O710" i="1"/>
  <c r="O394" i="1"/>
  <c r="O1355" i="1"/>
  <c r="O711" i="1"/>
  <c r="O1037" i="1"/>
  <c r="O395" i="1"/>
  <c r="O1038" i="1"/>
  <c r="O231" i="1"/>
  <c r="O555" i="1"/>
  <c r="O1039" i="1"/>
  <c r="O1185" i="1"/>
  <c r="O232" i="1"/>
  <c r="O872" i="1"/>
  <c r="O30" i="1"/>
  <c r="O31" i="1"/>
  <c r="O396" i="1"/>
  <c r="O556" i="1"/>
  <c r="O712" i="1"/>
  <c r="O713" i="1"/>
  <c r="O714" i="1"/>
  <c r="O1356" i="1"/>
  <c r="O233" i="1"/>
  <c r="O1040" i="1"/>
  <c r="O557" i="1"/>
  <c r="O715" i="1"/>
  <c r="O558" i="1"/>
  <c r="O234" i="1"/>
  <c r="O235" i="1"/>
  <c r="O32" i="1"/>
  <c r="O1041" i="1"/>
  <c r="O1357" i="1"/>
  <c r="O1358" i="1"/>
  <c r="O716" i="1"/>
  <c r="O397" i="1"/>
  <c r="O236" i="1"/>
  <c r="O1186" i="1"/>
  <c r="O237" i="1"/>
  <c r="O398" i="1"/>
  <c r="O873" i="1"/>
  <c r="O33" i="1"/>
  <c r="O1187" i="1"/>
  <c r="O1042" i="1"/>
  <c r="O238" i="1"/>
  <c r="O1188" i="1"/>
  <c r="O1043" i="1"/>
  <c r="O399" i="1"/>
  <c r="O1359" i="1"/>
  <c r="O559" i="1"/>
  <c r="O874" i="1"/>
  <c r="O875" i="1"/>
  <c r="O1189" i="1"/>
  <c r="O1044" i="1"/>
  <c r="O1045" i="1"/>
  <c r="O1190" i="1"/>
  <c r="O1360" i="1"/>
  <c r="O1361" i="1"/>
  <c r="O876" i="1"/>
  <c r="O877" i="1"/>
  <c r="O1362" i="1"/>
  <c r="O878" i="1"/>
  <c r="O1046" i="1"/>
  <c r="O1047" i="1"/>
  <c r="O560" i="1"/>
  <c r="O1048" i="1"/>
  <c r="O239" i="1"/>
  <c r="O1191" i="1"/>
  <c r="O717" i="1"/>
  <c r="O1192" i="1"/>
  <c r="O879" i="1"/>
  <c r="O1049" i="1"/>
  <c r="O561" i="1"/>
  <c r="O562" i="1"/>
  <c r="O34" i="1"/>
  <c r="O1363" i="1"/>
  <c r="O400" i="1"/>
  <c r="O1193" i="1"/>
  <c r="O718" i="1"/>
  <c r="O563" i="1"/>
  <c r="O719" i="1"/>
  <c r="O35" i="1"/>
  <c r="O1364" i="1"/>
  <c r="O401" i="1"/>
  <c r="O1194" i="1"/>
  <c r="O1050" i="1"/>
  <c r="O36" i="1"/>
  <c r="O240" i="1"/>
  <c r="O241" i="1"/>
  <c r="O1051" i="1"/>
  <c r="O37" i="1"/>
  <c r="O242" i="1"/>
  <c r="O1365" i="1"/>
  <c r="O38" i="1"/>
  <c r="O880" i="1"/>
  <c r="O39" i="1"/>
  <c r="O564" i="1"/>
  <c r="O1195" i="1"/>
  <c r="O1196" i="1"/>
  <c r="O40" i="1"/>
  <c r="O1197" i="1"/>
  <c r="O402" i="1"/>
  <c r="O881" i="1"/>
  <c r="O1198" i="1"/>
  <c r="O720" i="1"/>
  <c r="O882" i="1"/>
  <c r="O243" i="1"/>
  <c r="O403" i="1"/>
  <c r="O1052" i="1"/>
  <c r="O41" i="1"/>
  <c r="O1053" i="1"/>
  <c r="O1199" i="1"/>
  <c r="O721" i="1"/>
  <c r="O404" i="1"/>
  <c r="O883" i="1"/>
  <c r="O1054" i="1"/>
  <c r="O405" i="1"/>
  <c r="O1366" i="1"/>
  <c r="O722" i="1"/>
  <c r="O244" i="1"/>
  <c r="O1200" i="1"/>
  <c r="O1055" i="1"/>
  <c r="O42" i="1"/>
  <c r="O406" i="1"/>
  <c r="O245" i="1"/>
  <c r="O246" i="1"/>
  <c r="O43" i="1"/>
  <c r="O44" i="1"/>
  <c r="O723" i="1"/>
  <c r="O565" i="1"/>
  <c r="O407" i="1"/>
  <c r="O247" i="1"/>
  <c r="O1056" i="1"/>
  <c r="O566" i="1"/>
  <c r="O45" i="1"/>
  <c r="O248" i="1"/>
  <c r="O1201" i="1"/>
  <c r="O1367" i="1"/>
  <c r="O567" i="1"/>
  <c r="O568" i="1"/>
  <c r="O408" i="1"/>
  <c r="O249" i="1"/>
  <c r="O250" i="1"/>
  <c r="O1057" i="1"/>
  <c r="O1368" i="1"/>
  <c r="O1202" i="1"/>
  <c r="O251" i="1"/>
  <c r="O46" i="1"/>
  <c r="O409" i="1"/>
  <c r="O724" i="1"/>
  <c r="O1369" i="1"/>
  <c r="O884" i="1"/>
  <c r="O410" i="1"/>
  <c r="O47" i="1"/>
  <c r="O252" i="1"/>
  <c r="O1058" i="1"/>
  <c r="O411" i="1"/>
  <c r="O1370" i="1"/>
  <c r="O1059" i="1"/>
  <c r="O569" i="1"/>
  <c r="O725" i="1"/>
  <c r="O1371" i="1"/>
  <c r="O1203" i="1"/>
  <c r="O48" i="1"/>
  <c r="O1204" i="1"/>
  <c r="O1060" i="1"/>
  <c r="O726" i="1"/>
  <c r="O1061" i="1"/>
  <c r="O570" i="1"/>
  <c r="O412" i="1"/>
  <c r="O49" i="1"/>
  <c r="O571" i="1"/>
  <c r="O253" i="1"/>
  <c r="O572" i="1"/>
  <c r="O885" i="1"/>
  <c r="O1372" i="1"/>
  <c r="O1062" i="1"/>
  <c r="O886" i="1"/>
  <c r="O887" i="1"/>
  <c r="O413" i="1"/>
  <c r="O888" i="1"/>
  <c r="O727" i="1"/>
  <c r="O1205" i="1"/>
  <c r="O1206" i="1"/>
  <c r="O728" i="1"/>
  <c r="O573" i="1"/>
  <c r="O574" i="1"/>
  <c r="O1207" i="1"/>
  <c r="O1208" i="1"/>
  <c r="O1063" i="1"/>
  <c r="O729" i="1"/>
  <c r="O414" i="1"/>
  <c r="O1064" i="1"/>
  <c r="O889" i="1"/>
  <c r="O890" i="1"/>
  <c r="O415" i="1"/>
  <c r="O1209" i="1"/>
  <c r="O891" i="1"/>
  <c r="O254" i="1"/>
  <c r="O730" i="1"/>
  <c r="O731" i="1"/>
  <c r="O732" i="1"/>
  <c r="O575" i="1"/>
  <c r="O255" i="1"/>
  <c r="O733" i="1"/>
  <c r="O50" i="1"/>
  <c r="O576" i="1"/>
  <c r="O51" i="1"/>
  <c r="O1065" i="1"/>
  <c r="O256" i="1"/>
  <c r="O1066" i="1"/>
  <c r="O734" i="1"/>
  <c r="O1373" i="1"/>
  <c r="O735" i="1"/>
  <c r="O577" i="1"/>
  <c r="O1210" i="1"/>
  <c r="O416" i="1"/>
  <c r="O417" i="1"/>
  <c r="O1211" i="1"/>
  <c r="O1212" i="1"/>
  <c r="O418" i="1"/>
  <c r="O52" i="1"/>
  <c r="O53" i="1"/>
  <c r="O1067" i="1"/>
  <c r="O419" i="1"/>
  <c r="O420" i="1"/>
  <c r="O1213" i="1"/>
  <c r="O54" i="1"/>
  <c r="O892" i="1"/>
  <c r="O578" i="1"/>
  <c r="O1374" i="1"/>
  <c r="O893" i="1"/>
  <c r="O421" i="1"/>
  <c r="O422" i="1"/>
  <c r="O1068" i="1"/>
  <c r="O1375" i="1"/>
  <c r="O1214" i="1"/>
  <c r="O55" i="1"/>
  <c r="O894" i="1"/>
  <c r="O895" i="1"/>
  <c r="O257" i="1"/>
  <c r="O56" i="1"/>
  <c r="O1215" i="1"/>
  <c r="O1069" i="1"/>
  <c r="O258" i="1"/>
  <c r="O259" i="1"/>
  <c r="O736" i="1"/>
  <c r="O260" i="1"/>
  <c r="O1376" i="1"/>
  <c r="O57" i="1"/>
  <c r="O1216" i="1"/>
  <c r="O261" i="1"/>
  <c r="O579" i="1"/>
  <c r="O896" i="1"/>
  <c r="O262" i="1"/>
  <c r="O580" i="1"/>
  <c r="O58" i="1"/>
  <c r="O1070" i="1"/>
  <c r="O897" i="1"/>
  <c r="O581" i="1"/>
  <c r="O737" i="1"/>
  <c r="O1217" i="1"/>
  <c r="O1071" i="1"/>
  <c r="O898" i="1"/>
  <c r="O263" i="1"/>
  <c r="O1377" i="1"/>
  <c r="O423" i="1"/>
  <c r="O738" i="1"/>
  <c r="O739" i="1"/>
  <c r="O1218" i="1"/>
  <c r="O740" i="1"/>
  <c r="O1378" i="1"/>
  <c r="O1219" i="1"/>
  <c r="O1220" i="1"/>
  <c r="O264" i="1"/>
  <c r="O1379" i="1"/>
  <c r="O899" i="1"/>
  <c r="O424" i="1"/>
  <c r="O59" i="1"/>
  <c r="O1072" i="1"/>
  <c r="O741" i="1"/>
  <c r="O742" i="1"/>
  <c r="O1380" i="1"/>
  <c r="O582" i="1"/>
  <c r="O1073" i="1"/>
  <c r="O425" i="1"/>
  <c r="O426" i="1"/>
  <c r="O265" i="1"/>
  <c r="O900" i="1"/>
  <c r="O60" i="1"/>
  <c r="O1381" i="1"/>
  <c r="O266" i="1"/>
  <c r="O1382" i="1"/>
  <c r="O61" i="1"/>
  <c r="O1221" i="1"/>
  <c r="O1074" i="1"/>
  <c r="O427" i="1"/>
  <c r="O901" i="1"/>
  <c r="O583" i="1"/>
  <c r="O62" i="1"/>
  <c r="O63" i="1"/>
  <c r="O1222" i="1"/>
  <c r="O1075" i="1"/>
  <c r="O743" i="1"/>
  <c r="O267" i="1"/>
  <c r="O1383" i="1"/>
  <c r="O64" i="1"/>
  <c r="O1223" i="1"/>
  <c r="O268" i="1"/>
  <c r="O269" i="1"/>
  <c r="O1384" i="1"/>
  <c r="O1224" i="1"/>
  <c r="O1385" i="1"/>
  <c r="O1076" i="1"/>
  <c r="O1386" i="1"/>
  <c r="O428" i="1"/>
  <c r="O1225" i="1"/>
  <c r="O744" i="1"/>
  <c r="O902" i="1"/>
  <c r="O429" i="1"/>
  <c r="O903" i="1"/>
  <c r="O1387" i="1"/>
  <c r="O65" i="1"/>
  <c r="O66" i="1"/>
  <c r="O67" i="1"/>
  <c r="O584" i="1"/>
  <c r="O270" i="1"/>
  <c r="O68" i="1"/>
  <c r="O1388" i="1"/>
  <c r="O585" i="1"/>
  <c r="O1389" i="1"/>
  <c r="O904" i="1"/>
  <c r="O745" i="1"/>
  <c r="O586" i="1"/>
  <c r="O1390" i="1"/>
  <c r="O271" i="1"/>
  <c r="O69" i="1"/>
  <c r="O1391" i="1"/>
  <c r="O746" i="1"/>
  <c r="O430" i="1"/>
  <c r="O747" i="1"/>
  <c r="O1077" i="1"/>
  <c r="O1392" i="1"/>
  <c r="O70" i="1"/>
  <c r="O748" i="1"/>
  <c r="O905" i="1"/>
  <c r="O1393" i="1"/>
  <c r="O272" i="1"/>
  <c r="O1078" i="1"/>
  <c r="O273" i="1"/>
  <c r="O1226" i="1"/>
  <c r="O71" i="1"/>
  <c r="O431" i="1"/>
  <c r="O749" i="1"/>
  <c r="O750" i="1"/>
  <c r="O72" i="1"/>
  <c r="O1227" i="1"/>
  <c r="O73" i="1"/>
  <c r="O274" i="1"/>
  <c r="O1394" i="1"/>
  <c r="O1228" i="1"/>
  <c r="O1395" i="1"/>
  <c r="O906" i="1"/>
  <c r="O74" i="1"/>
  <c r="O75" i="1"/>
  <c r="O432" i="1"/>
  <c r="O751" i="1"/>
  <c r="O907" i="1"/>
  <c r="O908" i="1"/>
  <c r="O1229" i="1"/>
  <c r="O752" i="1"/>
  <c r="O587" i="1"/>
  <c r="O1079" i="1"/>
  <c r="O1230" i="1"/>
  <c r="O433" i="1"/>
  <c r="O909" i="1"/>
  <c r="O76" i="1"/>
  <c r="O77" i="1"/>
  <c r="O1080" i="1"/>
  <c r="O1081" i="1"/>
  <c r="O753" i="1"/>
  <c r="O1231" i="1"/>
  <c r="O275" i="1"/>
  <c r="O1082" i="1"/>
  <c r="O1232" i="1"/>
  <c r="O276" i="1"/>
  <c r="O1396" i="1"/>
  <c r="O78" i="1"/>
  <c r="O434" i="1"/>
  <c r="O277" i="1"/>
  <c r="O1233" i="1"/>
  <c r="O1397" i="1"/>
  <c r="O588" i="1"/>
  <c r="O79" i="1"/>
  <c r="O1398" i="1"/>
  <c r="O1083" i="1"/>
  <c r="O910" i="1"/>
  <c r="O278" i="1"/>
  <c r="O279" i="1"/>
  <c r="O1084" i="1"/>
  <c r="O80" i="1"/>
  <c r="O435" i="1"/>
  <c r="O436" i="1"/>
  <c r="O754" i="1"/>
  <c r="O1399" i="1"/>
  <c r="O437" i="1"/>
  <c r="O1085" i="1"/>
  <c r="O1086" i="1"/>
  <c r="O438" i="1"/>
  <c r="O81" i="1"/>
  <c r="O589" i="1"/>
  <c r="O1400" i="1"/>
  <c r="O1401" i="1"/>
  <c r="O82" i="1"/>
  <c r="O755" i="1"/>
  <c r="O83" i="1"/>
  <c r="O1234" i="1"/>
  <c r="O756" i="1"/>
  <c r="O1402" i="1"/>
  <c r="O911" i="1"/>
  <c r="O280" i="1"/>
  <c r="O757" i="1"/>
  <c r="O590" i="1"/>
  <c r="O84" i="1"/>
  <c r="O1087" i="1"/>
  <c r="O85" i="1"/>
  <c r="O1235" i="1"/>
  <c r="O439" i="1"/>
  <c r="O758" i="1"/>
  <c r="O759" i="1"/>
  <c r="O281" i="1"/>
  <c r="O86" i="1"/>
  <c r="O87" i="1"/>
  <c r="O1236" i="1"/>
  <c r="O1237" i="1"/>
  <c r="O1238" i="1"/>
  <c r="O591" i="1"/>
  <c r="O912" i="1"/>
  <c r="O1239" i="1"/>
  <c r="O1088" i="1"/>
  <c r="O760" i="1"/>
  <c r="O913" i="1"/>
  <c r="O761" i="1"/>
  <c r="O88" i="1"/>
  <c r="O762" i="1"/>
  <c r="O763" i="1"/>
  <c r="O440" i="1"/>
  <c r="O441" i="1"/>
  <c r="O442" i="1"/>
  <c r="O1240" i="1"/>
  <c r="O89" i="1"/>
  <c r="O1089" i="1"/>
  <c r="O282" i="1"/>
  <c r="O1403" i="1"/>
  <c r="O1241" i="1"/>
  <c r="O1090" i="1"/>
  <c r="O283" i="1"/>
  <c r="O90" i="1"/>
  <c r="O443" i="1"/>
  <c r="O1091" i="1"/>
  <c r="O91" i="1"/>
  <c r="O1242" i="1"/>
  <c r="O444" i="1"/>
  <c r="O764" i="1"/>
  <c r="O914" i="1"/>
  <c r="O915" i="1"/>
  <c r="O1243" i="1"/>
  <c r="O92" i="1"/>
  <c r="O916" i="1"/>
  <c r="O765" i="1"/>
  <c r="O284" i="1"/>
  <c r="O93" i="1"/>
  <c r="O1092" i="1"/>
  <c r="O1404" i="1"/>
  <c r="O1244" i="1"/>
  <c r="O94" i="1"/>
  <c r="O95" i="1"/>
  <c r="O1405" i="1"/>
  <c r="O285" i="1"/>
  <c r="O592" i="1"/>
  <c r="O96" i="1"/>
  <c r="O593" i="1"/>
  <c r="O594" i="1"/>
  <c r="O595" i="1"/>
  <c r="O286" i="1"/>
  <c r="O1245" i="1"/>
  <c r="O445" i="1"/>
  <c r="O1246" i="1"/>
  <c r="O1247" i="1"/>
  <c r="O97" i="1"/>
  <c r="O446" i="1"/>
  <c r="O287" i="1"/>
  <c r="O1093" i="1"/>
  <c r="O1094" i="1"/>
  <c r="O1406" i="1"/>
  <c r="O288" i="1"/>
  <c r="O447" i="1"/>
  <c r="O448" i="1"/>
  <c r="O1407" i="1"/>
  <c r="O1248" i="1"/>
  <c r="O98" i="1"/>
  <c r="O917" i="1"/>
  <c r="O449" i="1"/>
  <c r="O918" i="1"/>
  <c r="O289" i="1"/>
  <c r="O919" i="1"/>
  <c r="O1249" i="1"/>
  <c r="O99" i="1"/>
  <c r="O596" i="1"/>
  <c r="O766" i="1"/>
  <c r="O100" i="1"/>
  <c r="O920" i="1"/>
  <c r="O1250" i="1"/>
  <c r="O450" i="1"/>
  <c r="O921" i="1"/>
  <c r="O1408" i="1"/>
  <c r="O922" i="1"/>
  <c r="O1251" i="1"/>
  <c r="O1252" i="1"/>
  <c r="O1095" i="1"/>
  <c r="O1096" i="1"/>
  <c r="O290" i="1"/>
  <c r="O451" i="1"/>
  <c r="O101" i="1"/>
  <c r="O1253" i="1"/>
  <c r="O1097" i="1"/>
  <c r="O597" i="1"/>
  <c r="O1254" i="1"/>
  <c r="O1409" i="1"/>
  <c r="O291" i="1"/>
  <c r="O1410" i="1"/>
  <c r="O452" i="1"/>
  <c r="O292" i="1"/>
  <c r="O767" i="1"/>
  <c r="O1098" i="1"/>
  <c r="O453" i="1"/>
  <c r="O102" i="1"/>
  <c r="O293" i="1"/>
  <c r="O294" i="1"/>
  <c r="O1099" i="1"/>
  <c r="O598" i="1"/>
  <c r="O103" i="1"/>
  <c r="O599" i="1"/>
  <c r="O923" i="1"/>
  <c r="O295" i="1"/>
  <c r="O1255" i="1"/>
  <c r="O600" i="1"/>
  <c r="O454" i="1"/>
  <c r="O296" i="1"/>
  <c r="O1100" i="1"/>
  <c r="O1411" i="1"/>
  <c r="O1256" i="1"/>
  <c r="O1101" i="1"/>
  <c r="O924" i="1"/>
  <c r="O104" i="1"/>
  <c r="O1257" i="1"/>
  <c r="O297" i="1"/>
  <c r="O1102" i="1"/>
  <c r="O1412" i="1"/>
  <c r="O925" i="1"/>
  <c r="O298" i="1"/>
  <c r="O1258" i="1"/>
  <c r="O105" i="1"/>
  <c r="O601" i="1"/>
  <c r="O926" i="1"/>
  <c r="O1259" i="1"/>
  <c r="O1260" i="1"/>
  <c r="O106" i="1"/>
  <c r="O1103" i="1"/>
  <c r="O602" i="1"/>
  <c r="O603" i="1"/>
  <c r="O604" i="1"/>
  <c r="O1104" i="1"/>
  <c r="O1413" i="1"/>
  <c r="O1414" i="1"/>
  <c r="O455" i="1"/>
  <c r="O107" i="1"/>
  <c r="O1415" i="1"/>
  <c r="O1261" i="1"/>
  <c r="O605" i="1"/>
  <c r="O108" i="1"/>
  <c r="O606" i="1"/>
  <c r="O768" i="1"/>
  <c r="O1105" i="1"/>
  <c r="O299" i="1"/>
  <c r="O456" i="1"/>
  <c r="O1262" i="1"/>
  <c r="O457" i="1"/>
  <c r="O769" i="1"/>
  <c r="O300" i="1"/>
  <c r="O1263" i="1"/>
  <c r="O1416" i="1"/>
  <c r="O458" i="1"/>
  <c r="O459" i="1"/>
  <c r="O927" i="1"/>
  <c r="O928" i="1"/>
  <c r="O1417" i="1"/>
  <c r="O301" i="1"/>
  <c r="O302" i="1"/>
  <c r="O929" i="1"/>
  <c r="O1264" i="1"/>
  <c r="O303" i="1"/>
  <c r="O607" i="1"/>
  <c r="O770" i="1"/>
  <c r="O304" i="1"/>
  <c r="O608" i="1"/>
  <c r="O109" i="1"/>
  <c r="O1106" i="1"/>
  <c r="O930" i="1"/>
  <c r="O1265" i="1"/>
  <c r="O1266" i="1"/>
  <c r="O609" i="1"/>
  <c r="O1107" i="1"/>
  <c r="O1108" i="1"/>
  <c r="O305" i="1"/>
  <c r="O110" i="1"/>
  <c r="O460" i="1"/>
  <c r="O771" i="1"/>
  <c r="O1267" i="1"/>
  <c r="O1418" i="1"/>
  <c r="O931" i="1"/>
  <c r="O1109" i="1"/>
  <c r="O1268" i="1"/>
  <c r="O772" i="1"/>
  <c r="O1419" i="1"/>
  <c r="O111" i="1"/>
  <c r="O306" i="1"/>
  <c r="O307" i="1"/>
  <c r="O1420" i="1"/>
  <c r="O932" i="1"/>
  <c r="O933" i="1"/>
  <c r="O461" i="1"/>
  <c r="O1421" i="1"/>
  <c r="O308" i="1"/>
  <c r="O1110" i="1"/>
  <c r="O1422" i="1"/>
  <c r="O309" i="1"/>
  <c r="O1423" i="1"/>
  <c r="O773" i="1"/>
  <c r="O1269" i="1"/>
  <c r="O934" i="1"/>
  <c r="O112" i="1"/>
  <c r="O935" i="1"/>
  <c r="O610" i="1"/>
  <c r="O1270" i="1"/>
  <c r="O936" i="1"/>
  <c r="O1424" i="1"/>
  <c r="O310" i="1"/>
  <c r="O1425" i="1"/>
  <c r="O311" i="1"/>
  <c r="O774" i="1"/>
  <c r="O611" i="1"/>
  <c r="O1271" i="1"/>
  <c r="O113" i="1"/>
  <c r="O1426" i="1"/>
  <c r="O612" i="1"/>
  <c r="O1111" i="1"/>
  <c r="O114" i="1"/>
  <c r="O462" i="1"/>
  <c r="O1112" i="1"/>
  <c r="O312" i="1"/>
  <c r="O1427" i="1"/>
  <c r="O463" i="1"/>
  <c r="O115" i="1"/>
  <c r="O937" i="1"/>
  <c r="O1272" i="1"/>
  <c r="O464" i="1"/>
  <c r="O1273" i="1"/>
  <c r="O1428" i="1"/>
  <c r="O116" i="1"/>
  <c r="O1429" i="1"/>
  <c r="O938" i="1"/>
  <c r="O1113" i="1"/>
  <c r="O117" i="1"/>
  <c r="O118" i="1"/>
  <c r="O1114" i="1"/>
  <c r="O119" i="1"/>
  <c r="O1274" i="1"/>
  <c r="O120" i="1"/>
  <c r="O121" i="1"/>
  <c r="O775" i="1"/>
  <c r="O939" i="1"/>
  <c r="O313" i="1"/>
  <c r="O940" i="1"/>
  <c r="O1430" i="1"/>
  <c r="O1431" i="1"/>
  <c r="O1275" i="1"/>
  <c r="O1115" i="1"/>
  <c r="O941" i="1"/>
  <c r="O1116" i="1"/>
  <c r="O1276" i="1"/>
  <c r="O1277" i="1"/>
  <c r="O465" i="1"/>
  <c r="O122" i="1"/>
  <c r="O1278" i="1"/>
  <c r="O942" i="1"/>
  <c r="O1432" i="1"/>
  <c r="O776" i="1"/>
  <c r="O123" i="1"/>
  <c r="O613" i="1"/>
  <c r="O777" i="1"/>
  <c r="O778" i="1"/>
  <c r="O943" i="1"/>
  <c r="O779" i="1"/>
  <c r="O944" i="1"/>
  <c r="O780" i="1"/>
  <c r="O614" i="1"/>
  <c r="O1433" i="1"/>
  <c r="O124" i="1"/>
  <c r="O125" i="1"/>
  <c r="O466" i="1"/>
  <c r="O1279" i="1"/>
  <c r="O1280" i="1"/>
  <c r="O615" i="1"/>
  <c r="O1434" i="1"/>
  <c r="O467" i="1"/>
  <c r="O945" i="1"/>
  <c r="O781" i="1"/>
  <c r="O782" i="1"/>
  <c r="O314" i="1"/>
  <c r="O946" i="1"/>
  <c r="O783" i="1"/>
  <c r="O1435" i="1"/>
  <c r="O1117" i="1"/>
  <c r="O1118" i="1"/>
  <c r="O1436" i="1"/>
  <c r="P1436" i="1" s="1"/>
  <c r="O784" i="1"/>
  <c r="O1437" i="1"/>
  <c r="O785" i="1"/>
  <c r="O126" i="1"/>
  <c r="O616" i="1"/>
  <c r="O315" i="1"/>
  <c r="O947" i="1"/>
  <c r="O617" i="1"/>
  <c r="O1281" i="1"/>
  <c r="O468" i="1"/>
  <c r="O786" i="1"/>
  <c r="O618" i="1"/>
  <c r="O127" i="1"/>
  <c r="O1119" i="1"/>
  <c r="O1438" i="1"/>
  <c r="O787" i="1"/>
  <c r="O1120" i="1"/>
  <c r="O619" i="1"/>
  <c r="O128" i="1"/>
  <c r="O948" i="1"/>
  <c r="O620" i="1"/>
  <c r="O129" i="1"/>
  <c r="O316" i="1"/>
  <c r="O317" i="1"/>
  <c r="O469" i="1"/>
  <c r="O470" i="1"/>
  <c r="O1282" i="1"/>
  <c r="O1283" i="1"/>
  <c r="O471" i="1"/>
  <c r="O472" i="1"/>
  <c r="O1439" i="1"/>
  <c r="O130" i="1"/>
  <c r="O1121" i="1"/>
  <c r="O621" i="1"/>
  <c r="O622" i="1"/>
  <c r="O788" i="1"/>
  <c r="P788" i="1" s="1"/>
  <c r="O949" i="1"/>
  <c r="O623" i="1"/>
  <c r="O1284" i="1"/>
  <c r="O1285" i="1"/>
  <c r="O624" i="1"/>
  <c r="O1286" i="1"/>
  <c r="O473" i="1"/>
  <c r="O789" i="1"/>
  <c r="O1287" i="1"/>
  <c r="O131" i="1"/>
  <c r="O790" i="1"/>
  <c r="O625" i="1"/>
  <c r="O318" i="1"/>
  <c r="O474" i="1"/>
  <c r="O319" i="1"/>
  <c r="O1440" i="1"/>
  <c r="O132" i="1"/>
  <c r="O1441" i="1"/>
  <c r="O320" i="1"/>
  <c r="O1288" i="1"/>
  <c r="O1122" i="1"/>
  <c r="O321" i="1"/>
  <c r="O626" i="1"/>
  <c r="O475" i="1"/>
  <c r="O950" i="1"/>
  <c r="O791" i="1"/>
  <c r="O1289" i="1"/>
  <c r="O627" i="1"/>
  <c r="P627" i="1" s="1"/>
  <c r="O1442" i="1"/>
  <c r="O1443" i="1"/>
  <c r="O1444" i="1"/>
  <c r="O476" i="1"/>
  <c r="P476" i="1" s="1"/>
  <c r="O1445" i="1"/>
  <c r="O477" i="1"/>
  <c r="O133" i="1"/>
  <c r="O951" i="1"/>
  <c r="O952" i="1"/>
  <c r="O953" i="1"/>
  <c r="O1446" i="1"/>
  <c r="O792" i="1"/>
  <c r="O1123" i="1"/>
  <c r="O134" i="1"/>
  <c r="O954" i="1"/>
  <c r="O1124" i="1"/>
  <c r="O135" i="1"/>
  <c r="O322" i="1"/>
  <c r="O136" i="1"/>
  <c r="O955" i="1"/>
  <c r="O628" i="1"/>
  <c r="O1290" i="1"/>
  <c r="O1291" i="1"/>
  <c r="O629" i="1"/>
  <c r="O478" i="1"/>
  <c r="O956" i="1"/>
  <c r="O479" i="1"/>
  <c r="O957" i="1"/>
  <c r="O137" i="1"/>
  <c r="O630" i="1"/>
  <c r="O958" i="1"/>
  <c r="O480" i="1"/>
  <c r="P480" i="1" s="1"/>
  <c r="O138" i="1"/>
  <c r="O631" i="1"/>
  <c r="O1447" i="1"/>
  <c r="O1292" i="1"/>
  <c r="P1292" i="1" s="1"/>
  <c r="O139" i="1"/>
  <c r="O959" i="1"/>
  <c r="O481" i="1"/>
  <c r="O1448" i="1"/>
  <c r="O793" i="1"/>
  <c r="O482" i="1"/>
  <c r="O1293" i="1"/>
  <c r="O632" i="1"/>
  <c r="O1449" i="1"/>
  <c r="O483" i="1"/>
  <c r="O323" i="1"/>
  <c r="O140" i="1"/>
  <c r="O1450" i="1"/>
  <c r="O794" i="1"/>
  <c r="O324" i="1"/>
  <c r="O141" i="1"/>
  <c r="O633" i="1"/>
  <c r="O142" i="1"/>
  <c r="O795" i="1"/>
  <c r="O960" i="1"/>
  <c r="O634" i="1"/>
  <c r="O325" i="1"/>
  <c r="O635" i="1"/>
  <c r="O961" i="1"/>
  <c r="O143" i="1"/>
  <c r="O796" i="1"/>
  <c r="O1125" i="1"/>
  <c r="O1451" i="1"/>
  <c r="P1451" i="1" s="1"/>
  <c r="O144" i="1"/>
  <c r="O962" i="1"/>
  <c r="O484" i="1"/>
  <c r="O963" i="1"/>
  <c r="P963" i="1" s="1"/>
  <c r="O964" i="1"/>
  <c r="O636" i="1"/>
  <c r="O1452" i="1"/>
  <c r="O1126" i="1"/>
  <c r="O1453" i="1"/>
  <c r="O797" i="1"/>
  <c r="O326" i="1"/>
  <c r="O145" i="1"/>
  <c r="O146" i="1"/>
  <c r="O965" i="1"/>
  <c r="O147" i="1"/>
  <c r="O485" i="1"/>
  <c r="O966" i="1"/>
  <c r="O798" i="1"/>
  <c r="O1294" i="1"/>
  <c r="O486" i="1"/>
  <c r="O967" i="1"/>
  <c r="O148" i="1"/>
  <c r="O1127" i="1"/>
  <c r="O637" i="1"/>
  <c r="O799" i="1"/>
  <c r="O638" i="1"/>
  <c r="O639" i="1"/>
  <c r="O640" i="1"/>
  <c r="O800" i="1"/>
  <c r="O487" i="1"/>
  <c r="O968" i="1"/>
  <c r="O488" i="1"/>
  <c r="P488" i="1" s="1"/>
  <c r="O1454" i="1"/>
  <c r="O1295" i="1"/>
  <c r="O327" i="1"/>
  <c r="O328" i="1"/>
  <c r="P328" i="1" s="1"/>
  <c r="O329" i="1"/>
  <c r="O801" i="1"/>
  <c r="O1128" i="1"/>
  <c r="O330" i="1"/>
  <c r="O489" i="1"/>
  <c r="O149" i="1"/>
  <c r="O1129" i="1"/>
  <c r="O490" i="1"/>
  <c r="O1455" i="1"/>
  <c r="O802" i="1"/>
  <c r="O150" i="1"/>
  <c r="O331" i="1"/>
  <c r="O969" i="1"/>
  <c r="O1456" i="1"/>
  <c r="O1457" i="1"/>
  <c r="O970" i="1"/>
  <c r="O803" i="1"/>
  <c r="O151" i="1"/>
  <c r="O804" i="1"/>
  <c r="O152" i="1"/>
  <c r="O332" i="1"/>
  <c r="O333" i="1"/>
  <c r="O971" i="1"/>
  <c r="O972" i="1"/>
  <c r="O1130" i="1"/>
  <c r="O973" i="1"/>
  <c r="O153" i="1"/>
  <c r="O641" i="1"/>
  <c r="P641" i="1" s="1"/>
  <c r="O491" i="1"/>
  <c r="O492" i="1"/>
  <c r="O974" i="1"/>
  <c r="O154" i="1"/>
  <c r="O1131" i="1"/>
  <c r="O155" i="1"/>
  <c r="O975" i="1"/>
  <c r="O1458" i="1"/>
  <c r="O976" i="1"/>
  <c r="O1459" i="1"/>
  <c r="O1460" i="1"/>
  <c r="O156" i="1"/>
  <c r="O1461" i="1"/>
  <c r="O1462" i="1"/>
  <c r="O157" i="1"/>
  <c r="O642" i="1"/>
  <c r="O334" i="1"/>
  <c r="O1463" i="1"/>
  <c r="O1296" i="1"/>
  <c r="O643" i="1"/>
  <c r="O493" i="1"/>
  <c r="O494" i="1"/>
  <c r="O335" i="1"/>
  <c r="O336" i="1"/>
  <c r="O977" i="1"/>
  <c r="O644" i="1"/>
  <c r="O645" i="1"/>
  <c r="O1297" i="1"/>
  <c r="O337" i="1"/>
  <c r="O646" i="1"/>
  <c r="O1464" i="1"/>
  <c r="O647" i="1"/>
  <c r="P647" i="1" s="1"/>
  <c r="O805" i="1"/>
  <c r="O1132" i="1"/>
  <c r="O158" i="1"/>
  <c r="O648" i="1"/>
  <c r="P648" i="1" s="1"/>
  <c r="O1298" i="1"/>
  <c r="O495" i="1"/>
  <c r="O1299" i="1"/>
  <c r="O159" i="1"/>
  <c r="O806" i="1"/>
  <c r="O338" i="1"/>
  <c r="O807" i="1"/>
  <c r="O978" i="1"/>
  <c r="O979" i="1"/>
  <c r="O496" i="1"/>
  <c r="O980" i="1"/>
  <c r="O1465" i="1"/>
  <c r="O981" i="1"/>
  <c r="O160" i="1"/>
  <c r="O497" i="1"/>
  <c r="O339" i="1"/>
  <c r="O808" i="1"/>
  <c r="O982" i="1"/>
  <c r="O1133" i="1"/>
  <c r="O1466" i="1"/>
  <c r="O1134" i="1"/>
  <c r="O649" i="1"/>
  <c r="O498" i="1"/>
  <c r="O650" i="1"/>
  <c r="O651" i="1"/>
  <c r="O983" i="1"/>
  <c r="O161" i="1"/>
  <c r="O340" i="1"/>
  <c r="P340" i="1" s="1"/>
  <c r="O341" i="1"/>
  <c r="O809" i="1"/>
  <c r="O1135" i="1"/>
  <c r="O652" i="1"/>
  <c r="P652" i="1" s="1"/>
  <c r="O162" i="1"/>
  <c r="O342" i="1"/>
  <c r="O499" i="1"/>
  <c r="O1136" i="1"/>
  <c r="O653" i="1"/>
  <c r="O500" i="1"/>
  <c r="O163" i="1"/>
  <c r="O984" i="1"/>
  <c r="O1137" i="1"/>
  <c r="O343" i="1"/>
  <c r="O164" i="1"/>
  <c r="O1138" i="1"/>
  <c r="O1467" i="1"/>
  <c r="O654" i="1"/>
  <c r="O1468" i="1"/>
  <c r="O810" i="1"/>
  <c r="O985" i="1"/>
  <c r="O655" i="1"/>
  <c r="O1139" i="1"/>
  <c r="O811" i="1"/>
  <c r="O501" i="1"/>
  <c r="O1469" i="1"/>
  <c r="O502" i="1"/>
  <c r="O1140" i="1"/>
  <c r="O1300" i="1"/>
  <c r="O1470" i="1"/>
  <c r="O1301" i="1"/>
  <c r="O656" i="1"/>
  <c r="P656" i="1" s="1"/>
  <c r="O165" i="1"/>
  <c r="O986" i="1"/>
  <c r="O166" i="1"/>
  <c r="O344" i="1"/>
  <c r="P344" i="1" s="1"/>
  <c r="O1141" i="1"/>
  <c r="O1471" i="1"/>
  <c r="O167" i="1"/>
  <c r="O1302" i="1"/>
  <c r="O345" i="1"/>
  <c r="O1142" i="1"/>
  <c r="O1472" i="1"/>
  <c r="O812" i="1"/>
  <c r="O813" i="1"/>
  <c r="O1303" i="1"/>
  <c r="O1473" i="1"/>
  <c r="O168" i="1"/>
  <c r="O1474" i="1"/>
  <c r="O1143" i="1"/>
  <c r="O503" i="1"/>
  <c r="O1475" i="1"/>
  <c r="O987" i="1"/>
  <c r="O988" i="1"/>
  <c r="O346" i="1"/>
  <c r="O169" i="1"/>
  <c r="O989" i="1"/>
  <c r="O814" i="1"/>
  <c r="O990" i="1"/>
  <c r="O347" i="1"/>
  <c r="O504" i="1"/>
  <c r="O815" i="1"/>
  <c r="O348" i="1"/>
  <c r="O816" i="1"/>
  <c r="P816" i="1" s="1"/>
  <c r="O817" i="1"/>
  <c r="O349" i="1"/>
  <c r="O991" i="1"/>
  <c r="O657" i="1"/>
  <c r="P657" i="1" s="1"/>
  <c r="O658" i="1"/>
  <c r="O505" i="1"/>
  <c r="O818" i="1"/>
  <c r="O659" i="1"/>
  <c r="O819" i="1"/>
  <c r="O170" i="1"/>
  <c r="O1144" i="1"/>
  <c r="O350" i="1"/>
  <c r="O660" i="1"/>
  <c r="O661" i="1"/>
  <c r="O992" i="1"/>
  <c r="O1304" i="1"/>
  <c r="O662" i="1"/>
  <c r="O171" i="1"/>
  <c r="O1305" i="1"/>
  <c r="O1306" i="1"/>
  <c r="O506" i="1"/>
  <c r="O1307" i="1"/>
  <c r="O351" i="1"/>
  <c r="O1476" i="1"/>
  <c r="O663" i="1"/>
  <c r="O1308" i="1"/>
  <c r="O664" i="1"/>
  <c r="O665" i="1"/>
  <c r="O1145" i="1"/>
  <c r="O1146" i="1"/>
  <c r="O1147" i="1"/>
  <c r="O172" i="1"/>
  <c r="P172" i="1" s="1"/>
  <c r="O173" i="1"/>
  <c r="O993" i="1"/>
  <c r="O666" i="1"/>
  <c r="O1477" i="1"/>
  <c r="P1477" i="1" s="1"/>
  <c r="O507" i="1"/>
  <c r="O1309" i="1"/>
  <c r="O1148" i="1"/>
  <c r="O508" i="1"/>
  <c r="O820" i="1"/>
  <c r="O994" i="1"/>
  <c r="O995" i="1"/>
  <c r="O1478" i="1"/>
  <c r="O509" i="1"/>
  <c r="O667" i="1"/>
  <c r="O352" i="1"/>
  <c r="O353" i="1"/>
  <c r="O1310" i="1"/>
  <c r="O668" i="1"/>
  <c r="O821" i="1"/>
  <c r="O174" i="1"/>
  <c r="O1311" i="1"/>
  <c r="O822" i="1"/>
  <c r="O823" i="1"/>
  <c r="O354" i="1"/>
  <c r="O1479" i="1"/>
  <c r="O175" i="1"/>
  <c r="O176" i="1"/>
  <c r="O824" i="1"/>
  <c r="O510" i="1"/>
  <c r="O511" i="1"/>
  <c r="O355" i="1"/>
  <c r="O1312" i="1"/>
  <c r="P1312" i="1" s="1"/>
  <c r="O512" i="1"/>
  <c r="O1480" i="1"/>
  <c r="O1149" i="1"/>
  <c r="O825" i="1"/>
  <c r="P825" i="1" s="1"/>
  <c r="O1313" i="1"/>
  <c r="O177" i="1"/>
  <c r="O178" i="1"/>
  <c r="O996" i="1"/>
  <c r="O1314" i="1"/>
  <c r="O356" i="1"/>
  <c r="O357" i="1"/>
  <c r="O1150" i="1"/>
  <c r="O1315" i="1"/>
  <c r="O179" i="1"/>
  <c r="O997" i="1"/>
  <c r="O1316" i="1"/>
  <c r="O513" i="1"/>
  <c r="O998" i="1"/>
  <c r="O826" i="1"/>
  <c r="O1317" i="1"/>
  <c r="O999" i="1"/>
  <c r="O827" i="1"/>
  <c r="O1318" i="1"/>
  <c r="O358" i="1"/>
  <c r="O514" i="1"/>
  <c r="O515" i="1"/>
  <c r="O516" i="1"/>
  <c r="O180" i="1"/>
  <c r="O1000" i="1"/>
  <c r="O1481" i="1"/>
  <c r="O669" i="1"/>
  <c r="O1482" i="1"/>
  <c r="P1482" i="1" s="1"/>
  <c r="O1483" i="1"/>
  <c r="O1319" i="1"/>
  <c r="O181" i="1"/>
  <c r="O359" i="1"/>
  <c r="P359" i="1" s="1"/>
  <c r="O517" i="1"/>
  <c r="O182" i="1"/>
  <c r="O670" i="1"/>
  <c r="O828" i="1"/>
  <c r="O1484" i="1"/>
  <c r="O1151" i="1"/>
  <c r="O183" i="1"/>
  <c r="O1320" i="1"/>
  <c r="O671" i="1"/>
  <c r="O184" i="1"/>
  <c r="O829" i="1"/>
  <c r="O830" i="1"/>
  <c r="O1152" i="1"/>
  <c r="O518" i="1"/>
  <c r="O360" i="1"/>
  <c r="O831" i="1"/>
  <c r="O1153" i="1"/>
  <c r="O1154" i="1"/>
  <c r="O832" i="1"/>
  <c r="O185" i="1"/>
  <c r="O361" i="1"/>
  <c r="O833" i="1"/>
  <c r="O672" i="1"/>
  <c r="O1321" i="1"/>
  <c r="O1001" i="1"/>
  <c r="O1155" i="1"/>
  <c r="O834" i="1"/>
  <c r="O186" i="1"/>
  <c r="O362" i="1"/>
  <c r="O1485" i="1"/>
  <c r="O1486" i="1"/>
  <c r="O187" i="1"/>
  <c r="P187" i="1" s="1"/>
  <c r="O519" i="1"/>
  <c r="O188" i="1"/>
  <c r="O363" i="1"/>
  <c r="O835" i="1"/>
  <c r="O836" i="1"/>
  <c r="O1156" i="1"/>
  <c r="O1322" i="1"/>
  <c r="O1323" i="1"/>
  <c r="O837" i="1"/>
  <c r="O1324" i="1"/>
  <c r="O1002" i="1"/>
  <c r="O520" i="1"/>
  <c r="O673" i="1"/>
  <c r="O838" i="1"/>
  <c r="O1157" i="1"/>
  <c r="O1487" i="1"/>
  <c r="O674" i="1"/>
  <c r="O1003" i="1"/>
  <c r="O189" i="1"/>
  <c r="O190" i="1"/>
  <c r="O1004" i="1"/>
  <c r="O675" i="1"/>
  <c r="O191" i="1"/>
  <c r="O676" i="1"/>
  <c r="O1488" i="1"/>
  <c r="O521" i="1"/>
  <c r="O839" i="1"/>
  <c r="O192" i="1"/>
  <c r="P192" i="1" s="1"/>
  <c r="O1489" i="1"/>
  <c r="O1005" i="1"/>
  <c r="O1490" i="1"/>
  <c r="P1490" i="1" s="1"/>
  <c r="O364" i="1"/>
  <c r="P364" i="1" s="1"/>
  <c r="O365" i="1"/>
  <c r="P365" i="1" s="1"/>
  <c r="O677" i="1"/>
  <c r="N677" i="1"/>
  <c r="N840" i="1"/>
  <c r="P840" i="1" s="1"/>
  <c r="N366" i="1"/>
  <c r="P366" i="1" s="1"/>
  <c r="N678" i="1"/>
  <c r="P678" i="1" s="1"/>
  <c r="N1006" i="1"/>
  <c r="P1006" i="1" s="1"/>
  <c r="N367" i="1"/>
  <c r="N522" i="1"/>
  <c r="P522" i="1" s="1"/>
  <c r="N523" i="1"/>
  <c r="P523" i="1" s="1"/>
  <c r="N841" i="1"/>
  <c r="N1325" i="1"/>
  <c r="P1325" i="1" s="1"/>
  <c r="N842" i="1"/>
  <c r="P842" i="1" s="1"/>
  <c r="N368" i="1"/>
  <c r="P368" i="1" s="1"/>
  <c r="N1326" i="1"/>
  <c r="N1158" i="1"/>
  <c r="P1158" i="1" s="1"/>
  <c r="N1159" i="1"/>
  <c r="P1159" i="1" s="1"/>
  <c r="N524" i="1"/>
  <c r="P524" i="1" s="1"/>
  <c r="N1160" i="1"/>
  <c r="N679" i="1"/>
  <c r="P679" i="1" s="1"/>
  <c r="N369" i="1"/>
  <c r="P369" i="1" s="1"/>
  <c r="N680" i="1"/>
  <c r="N843" i="1"/>
  <c r="P843" i="1" s="1"/>
  <c r="N1327" i="1"/>
  <c r="P1327" i="1" s="1"/>
  <c r="N1161" i="1"/>
  <c r="P1161" i="1" s="1"/>
  <c r="N1162" i="1"/>
  <c r="N525" i="1"/>
  <c r="P525" i="1" s="1"/>
  <c r="N681" i="1"/>
  <c r="P681" i="1" s="1"/>
  <c r="N1163" i="1"/>
  <c r="P1163" i="1" s="1"/>
  <c r="N526" i="1"/>
  <c r="N682" i="1"/>
  <c r="P682" i="1" s="1"/>
  <c r="N1007" i="1"/>
  <c r="P1007" i="1" s="1"/>
  <c r="N1328" i="1"/>
  <c r="P1328" i="1" s="1"/>
  <c r="N844" i="1"/>
  <c r="N683" i="1"/>
  <c r="P683" i="1" s="1"/>
  <c r="N1008" i="1"/>
  <c r="P1008" i="1" s="1"/>
  <c r="N527" i="1"/>
  <c r="P527" i="1" s="1"/>
  <c r="N845" i="1"/>
  <c r="P196" i="1"/>
  <c r="N684" i="1"/>
  <c r="P684" i="1" s="1"/>
  <c r="N528" i="1"/>
  <c r="N1164" i="1"/>
  <c r="N529" i="1"/>
  <c r="P529" i="1" s="1"/>
  <c r="N370" i="1"/>
  <c r="P370" i="1" s="1"/>
  <c r="N371" i="1"/>
  <c r="P371" i="1" s="1"/>
  <c r="N1329" i="1"/>
  <c r="P4" i="1"/>
  <c r="N1165" i="1"/>
  <c r="P1165" i="1" s="1"/>
  <c r="N372" i="1"/>
  <c r="N1330" i="1"/>
  <c r="P1330" i="1" s="1"/>
  <c r="N373" i="1"/>
  <c r="N1166" i="1"/>
  <c r="P1166" i="1" s="1"/>
  <c r="N846" i="1"/>
  <c r="P846" i="1" s="1"/>
  <c r="N1009" i="1"/>
  <c r="P1009" i="1" s="1"/>
  <c r="N1010" i="1"/>
  <c r="N1167" i="1"/>
  <c r="P1167" i="1" s="1"/>
  <c r="N530" i="1"/>
  <c r="P530" i="1" s="1"/>
  <c r="N374" i="1"/>
  <c r="P374" i="1" s="1"/>
  <c r="N685" i="1"/>
  <c r="N686" i="1"/>
  <c r="P686" i="1" s="1"/>
  <c r="N1168" i="1"/>
  <c r="P1168" i="1" s="1"/>
  <c r="N847" i="1"/>
  <c r="P847" i="1" s="1"/>
  <c r="N531" i="1"/>
  <c r="N1331" i="1"/>
  <c r="P1331" i="1" s="1"/>
  <c r="N1169" i="1"/>
  <c r="P1169" i="1" s="1"/>
  <c r="P8" i="1"/>
  <c r="N1170" i="1"/>
  <c r="N1011" i="1"/>
  <c r="P1011" i="1" s="1"/>
  <c r="N375" i="1"/>
  <c r="P375" i="1" s="1"/>
  <c r="N1171" i="1"/>
  <c r="N1172" i="1"/>
  <c r="P1172" i="1" s="1"/>
  <c r="N376" i="1"/>
  <c r="P376" i="1" s="1"/>
  <c r="N1332" i="1"/>
  <c r="P1332" i="1" s="1"/>
  <c r="N687" i="1"/>
  <c r="N532" i="1"/>
  <c r="P532" i="1" s="1"/>
  <c r="N1012" i="1"/>
  <c r="P1012" i="1" s="1"/>
  <c r="N848" i="1"/>
  <c r="N688" i="1"/>
  <c r="P688" i="1" s="1"/>
  <c r="N1173" i="1"/>
  <c r="P1173" i="1" s="1"/>
  <c r="N533" i="1"/>
  <c r="N689" i="1"/>
  <c r="P199" i="1"/>
  <c r="N1333" i="1"/>
  <c r="P1333" i="1" s="1"/>
  <c r="N534" i="1"/>
  <c r="P534" i="1" s="1"/>
  <c r="N849" i="1"/>
  <c r="P849" i="1" s="1"/>
  <c r="N1013" i="1"/>
  <c r="P1013" i="1" s="1"/>
  <c r="P9" i="1"/>
  <c r="N690" i="1"/>
  <c r="N535" i="1"/>
  <c r="P535" i="1" s="1"/>
  <c r="N691" i="1"/>
  <c r="P691" i="1" s="1"/>
  <c r="P201" i="1"/>
  <c r="N692" i="1"/>
  <c r="N1174" i="1"/>
  <c r="P1174" i="1" s="1"/>
  <c r="N1014" i="1"/>
  <c r="P1014" i="1" s="1"/>
  <c r="P202" i="1"/>
  <c r="N1334" i="1"/>
  <c r="N1015" i="1"/>
  <c r="P1015" i="1" s="1"/>
  <c r="P203" i="1"/>
  <c r="N850" i="1"/>
  <c r="N693" i="1"/>
  <c r="P693" i="1" s="1"/>
  <c r="N1175" i="1"/>
  <c r="P1175" i="1" s="1"/>
  <c r="N1335" i="1"/>
  <c r="P1335" i="1" s="1"/>
  <c r="N1336" i="1"/>
  <c r="P1336" i="1" s="1"/>
  <c r="N1016" i="1"/>
  <c r="N851" i="1"/>
  <c r="P851" i="1" s="1"/>
  <c r="N852" i="1"/>
  <c r="P852" i="1" s="1"/>
  <c r="N1337" i="1"/>
  <c r="N1338" i="1"/>
  <c r="N377" i="1"/>
  <c r="P377" i="1" s="1"/>
  <c r="N853" i="1"/>
  <c r="P853" i="1" s="1"/>
  <c r="N854" i="1"/>
  <c r="P854" i="1" s="1"/>
  <c r="N1017" i="1"/>
  <c r="N378" i="1"/>
  <c r="P378" i="1" s="1"/>
  <c r="N694" i="1"/>
  <c r="P694" i="1" s="1"/>
  <c r="N1018" i="1"/>
  <c r="P1018" i="1" s="1"/>
  <c r="N379" i="1"/>
  <c r="N1339" i="1"/>
  <c r="P1339" i="1" s="1"/>
  <c r="N1340" i="1"/>
  <c r="P1340" i="1" s="1"/>
  <c r="N380" i="1"/>
  <c r="P380" i="1" s="1"/>
  <c r="N1019" i="1"/>
  <c r="P1019" i="1" s="1"/>
  <c r="N855" i="1"/>
  <c r="P855" i="1" s="1"/>
  <c r="P208" i="1"/>
  <c r="N1341" i="1"/>
  <c r="P1341" i="1" s="1"/>
  <c r="N1176" i="1"/>
  <c r="P12" i="1"/>
  <c r="N1020" i="1"/>
  <c r="N856" i="1"/>
  <c r="P856" i="1" s="1"/>
  <c r="N857" i="1"/>
  <c r="P857" i="1" s="1"/>
  <c r="N1021" i="1"/>
  <c r="P1021" i="1" s="1"/>
  <c r="N1177" i="1"/>
  <c r="N1022" i="1"/>
  <c r="P1022" i="1" s="1"/>
  <c r="P209" i="1"/>
  <c r="N536" i="1"/>
  <c r="N1342" i="1"/>
  <c r="P1342" i="1" s="1"/>
  <c r="N1343" i="1"/>
  <c r="P1343" i="1" s="1"/>
  <c r="N858" i="1"/>
  <c r="P858" i="1" s="1"/>
  <c r="N381" i="1"/>
  <c r="P381" i="1" s="1"/>
  <c r="N537" i="1"/>
  <c r="P537" i="1" s="1"/>
  <c r="N859" i="1"/>
  <c r="P859" i="1" s="1"/>
  <c r="N1344" i="1"/>
  <c r="N695" i="1"/>
  <c r="P695" i="1" s="1"/>
  <c r="N382" i="1"/>
  <c r="P382" i="1" s="1"/>
  <c r="N538" i="1"/>
  <c r="N860" i="1"/>
  <c r="P860" i="1" s="1"/>
  <c r="N1023" i="1"/>
  <c r="P1023" i="1" s="1"/>
  <c r="P15" i="1"/>
  <c r="N1178" i="1"/>
  <c r="P16" i="1"/>
  <c r="N1179" i="1"/>
  <c r="P1179" i="1" s="1"/>
  <c r="N539" i="1"/>
  <c r="P539" i="1" s="1"/>
  <c r="N383" i="1"/>
  <c r="N861" i="1"/>
  <c r="P861" i="1" s="1"/>
  <c r="N384" i="1"/>
  <c r="N696" i="1"/>
  <c r="P696" i="1" s="1"/>
  <c r="N697" i="1"/>
  <c r="N385" i="1"/>
  <c r="P385" i="1" s="1"/>
  <c r="N698" i="1"/>
  <c r="P698" i="1" s="1"/>
  <c r="N699" i="1"/>
  <c r="N1345" i="1"/>
  <c r="P1345" i="1" s="1"/>
  <c r="N386" i="1"/>
  <c r="P386" i="1" s="1"/>
  <c r="N1346" i="1"/>
  <c r="P1346" i="1" s="1"/>
  <c r="P18" i="1"/>
  <c r="N1347" i="1"/>
  <c r="P1347" i="1" s="1"/>
  <c r="P19" i="1"/>
  <c r="N387" i="1"/>
  <c r="N1024" i="1"/>
  <c r="P1024" i="1" s="1"/>
  <c r="N700" i="1"/>
  <c r="P700" i="1" s="1"/>
  <c r="N540" i="1"/>
  <c r="P540" i="1" s="1"/>
  <c r="N862" i="1"/>
  <c r="N1348" i="1"/>
  <c r="P1348" i="1" s="1"/>
  <c r="N541" i="1"/>
  <c r="P541" i="1" s="1"/>
  <c r="P212" i="1"/>
  <c r="N863" i="1"/>
  <c r="P863" i="1" s="1"/>
  <c r="N701" i="1"/>
  <c r="P701" i="1" s="1"/>
  <c r="N1349" i="1"/>
  <c r="P1349" i="1" s="1"/>
  <c r="N1180" i="1"/>
  <c r="P1180" i="1" s="1"/>
  <c r="N1025" i="1"/>
  <c r="P1025" i="1" s="1"/>
  <c r="P215" i="1"/>
  <c r="N702" i="1"/>
  <c r="P702" i="1" s="1"/>
  <c r="N388" i="1"/>
  <c r="P21" i="1"/>
  <c r="P217" i="1"/>
  <c r="N1026" i="1"/>
  <c r="P1026" i="1" s="1"/>
  <c r="N542" i="1"/>
  <c r="P542" i="1" s="1"/>
  <c r="N389" i="1"/>
  <c r="P389" i="1" s="1"/>
  <c r="P219" i="1"/>
  <c r="N1350" i="1"/>
  <c r="P1350" i="1" s="1"/>
  <c r="N543" i="1"/>
  <c r="N864" i="1"/>
  <c r="P864" i="1" s="1"/>
  <c r="N703" i="1"/>
  <c r="P703" i="1" s="1"/>
  <c r="N1181" i="1"/>
  <c r="P1181" i="1" s="1"/>
  <c r="N544" i="1"/>
  <c r="N1027" i="1"/>
  <c r="P1027" i="1" s="1"/>
  <c r="N704" i="1"/>
  <c r="P704" i="1" s="1"/>
  <c r="N705" i="1"/>
  <c r="P23" i="1"/>
  <c r="P24" i="1"/>
  <c r="P220" i="1"/>
  <c r="N1028" i="1"/>
  <c r="N1351" i="1"/>
  <c r="P1351" i="1" s="1"/>
  <c r="N545" i="1"/>
  <c r="P545" i="1" s="1"/>
  <c r="N1029" i="1"/>
  <c r="P1029" i="1" s="1"/>
  <c r="N706" i="1"/>
  <c r="N865" i="1"/>
  <c r="P865" i="1" s="1"/>
  <c r="P25" i="1"/>
  <c r="N1030" i="1"/>
  <c r="N866" i="1"/>
  <c r="P866" i="1" s="1"/>
  <c r="N1031" i="1"/>
  <c r="N1352" i="1"/>
  <c r="P1352" i="1" s="1"/>
  <c r="N546" i="1"/>
  <c r="N390" i="1"/>
  <c r="P390" i="1" s="1"/>
  <c r="N1032" i="1"/>
  <c r="P1032" i="1" s="1"/>
  <c r="N547" i="1"/>
  <c r="P547" i="1" s="1"/>
  <c r="N1182" i="1"/>
  <c r="P1182" i="1" s="1"/>
  <c r="N1033" i="1"/>
  <c r="P1033" i="1" s="1"/>
  <c r="N391" i="1"/>
  <c r="N392" i="1"/>
  <c r="P392" i="1" s="1"/>
  <c r="N1353" i="1"/>
  <c r="P1353" i="1" s="1"/>
  <c r="P223" i="1"/>
  <c r="P224" i="1"/>
  <c r="N548" i="1"/>
  <c r="P548" i="1" s="1"/>
  <c r="P225" i="1"/>
  <c r="N1183" i="1"/>
  <c r="P1183" i="1" s="1"/>
  <c r="N867" i="1"/>
  <c r="P867" i="1" s="1"/>
  <c r="N868" i="1"/>
  <c r="P227" i="1"/>
  <c r="N707" i="1"/>
  <c r="P707" i="1" s="1"/>
  <c r="N869" i="1"/>
  <c r="P869" i="1" s="1"/>
  <c r="N393" i="1"/>
  <c r="N1034" i="1"/>
  <c r="P1034" i="1" s="1"/>
  <c r="N870" i="1"/>
  <c r="P870" i="1" s="1"/>
  <c r="N549" i="1"/>
  <c r="P549" i="1" s="1"/>
  <c r="N550" i="1"/>
  <c r="P550" i="1" s="1"/>
  <c r="N1035" i="1"/>
  <c r="P228" i="1"/>
  <c r="N871" i="1"/>
  <c r="P871" i="1" s="1"/>
  <c r="N551" i="1"/>
  <c r="P551" i="1" s="1"/>
  <c r="N552" i="1"/>
  <c r="N708" i="1"/>
  <c r="P708" i="1" s="1"/>
  <c r="N1036" i="1"/>
  <c r="P1036" i="1" s="1"/>
  <c r="N553" i="1"/>
  <c r="P553" i="1" s="1"/>
  <c r="N1354" i="1"/>
  <c r="N554" i="1"/>
  <c r="P554" i="1" s="1"/>
  <c r="N1184" i="1"/>
  <c r="P1184" i="1" s="1"/>
  <c r="N709" i="1"/>
  <c r="P709" i="1" s="1"/>
  <c r="N710" i="1"/>
  <c r="N394" i="1"/>
  <c r="P394" i="1" s="1"/>
  <c r="N1355" i="1"/>
  <c r="P1355" i="1" s="1"/>
  <c r="N711" i="1"/>
  <c r="P711" i="1" s="1"/>
  <c r="N1037" i="1"/>
  <c r="N395" i="1"/>
  <c r="P395" i="1" s="1"/>
  <c r="N1038" i="1"/>
  <c r="P1038" i="1" s="1"/>
  <c r="P231" i="1"/>
  <c r="N555" i="1"/>
  <c r="N1039" i="1"/>
  <c r="P1039" i="1" s="1"/>
  <c r="N1185" i="1"/>
  <c r="P1185" i="1" s="1"/>
  <c r="P232" i="1"/>
  <c r="N872" i="1"/>
  <c r="P31" i="1"/>
  <c r="N396" i="1"/>
  <c r="P396" i="1" s="1"/>
  <c r="N556" i="1"/>
  <c r="N712" i="1"/>
  <c r="P712" i="1" s="1"/>
  <c r="N713" i="1"/>
  <c r="N714" i="1"/>
  <c r="P714" i="1" s="1"/>
  <c r="N1356" i="1"/>
  <c r="N1040" i="1"/>
  <c r="P1040" i="1" s="1"/>
  <c r="N557" i="1"/>
  <c r="P557" i="1" s="1"/>
  <c r="N715" i="1"/>
  <c r="N558" i="1"/>
  <c r="P558" i="1" s="1"/>
  <c r="P235" i="1"/>
  <c r="N1041" i="1"/>
  <c r="P1041" i="1" s="1"/>
  <c r="N1357" i="1"/>
  <c r="P1357" i="1" s="1"/>
  <c r="N1358" i="1"/>
  <c r="P1358" i="1" s="1"/>
  <c r="N716" i="1"/>
  <c r="N397" i="1"/>
  <c r="P397" i="1" s="1"/>
  <c r="P236" i="1"/>
  <c r="N1186" i="1"/>
  <c r="P1186" i="1" s="1"/>
  <c r="N398" i="1"/>
  <c r="P398" i="1" s="1"/>
  <c r="N873" i="1"/>
  <c r="P873" i="1" s="1"/>
  <c r="N1187" i="1"/>
  <c r="N1042" i="1"/>
  <c r="P1042" i="1" s="1"/>
  <c r="N1188" i="1"/>
  <c r="P1188" i="1" s="1"/>
  <c r="N1043" i="1"/>
  <c r="N399" i="1"/>
  <c r="P399" i="1" s="1"/>
  <c r="N1359" i="1"/>
  <c r="P1359" i="1" s="1"/>
  <c r="N559" i="1"/>
  <c r="P559" i="1" s="1"/>
  <c r="N874" i="1"/>
  <c r="N875" i="1"/>
  <c r="P875" i="1" s="1"/>
  <c r="N1189" i="1"/>
  <c r="N1044" i="1"/>
  <c r="P1044" i="1" s="1"/>
  <c r="N1045" i="1"/>
  <c r="N1190" i="1"/>
  <c r="P1190" i="1" s="1"/>
  <c r="N1360" i="1"/>
  <c r="P1360" i="1" s="1"/>
  <c r="N1361" i="1"/>
  <c r="P1361" i="1" s="1"/>
  <c r="N876" i="1"/>
  <c r="N877" i="1"/>
  <c r="P877" i="1" s="1"/>
  <c r="N1362" i="1"/>
  <c r="P1362" i="1" s="1"/>
  <c r="N878" i="1"/>
  <c r="P878" i="1" s="1"/>
  <c r="N1046" i="1"/>
  <c r="N1047" i="1"/>
  <c r="P1047" i="1" s="1"/>
  <c r="N560" i="1"/>
  <c r="P560" i="1" s="1"/>
  <c r="N1048" i="1"/>
  <c r="P1048" i="1" s="1"/>
  <c r="N1191" i="1"/>
  <c r="P1191" i="1" s="1"/>
  <c r="N717" i="1"/>
  <c r="P717" i="1" s="1"/>
  <c r="N1192" i="1"/>
  <c r="P1192" i="1" s="1"/>
  <c r="N879" i="1"/>
  <c r="N1049" i="1"/>
  <c r="P1049" i="1" s="1"/>
  <c r="N561" i="1"/>
  <c r="P561" i="1" s="1"/>
  <c r="N562" i="1"/>
  <c r="P562" i="1" s="1"/>
  <c r="N1363" i="1"/>
  <c r="N400" i="1"/>
  <c r="P400" i="1" s="1"/>
  <c r="N1193" i="1"/>
  <c r="P1193" i="1" s="1"/>
  <c r="N718" i="1"/>
  <c r="N563" i="1"/>
  <c r="P563" i="1" s="1"/>
  <c r="N719" i="1"/>
  <c r="P719" i="1" s="1"/>
  <c r="P35" i="1"/>
  <c r="N1364" i="1"/>
  <c r="N401" i="1"/>
  <c r="P401" i="1" s="1"/>
  <c r="N1194" i="1"/>
  <c r="P1194" i="1" s="1"/>
  <c r="N1050" i="1"/>
  <c r="P1050" i="1" s="1"/>
  <c r="P240" i="1"/>
  <c r="N1051" i="1"/>
  <c r="P1051" i="1" s="1"/>
  <c r="N1365" i="1"/>
  <c r="P1365" i="1" s="1"/>
  <c r="N880" i="1"/>
  <c r="P39" i="1"/>
  <c r="N564" i="1"/>
  <c r="P564" i="1" s="1"/>
  <c r="N1195" i="1"/>
  <c r="P1195" i="1" s="1"/>
  <c r="N1196" i="1"/>
  <c r="P40" i="1"/>
  <c r="N1197" i="1"/>
  <c r="P1197" i="1" s="1"/>
  <c r="N402" i="1"/>
  <c r="P402" i="1" s="1"/>
  <c r="N881" i="1"/>
  <c r="N1198" i="1"/>
  <c r="P1198" i="1" s="1"/>
  <c r="N720" i="1"/>
  <c r="P720" i="1" s="1"/>
  <c r="N882" i="1"/>
  <c r="P882" i="1" s="1"/>
  <c r="N403" i="1"/>
  <c r="N1052" i="1"/>
  <c r="P1052" i="1" s="1"/>
  <c r="P41" i="1"/>
  <c r="N1053" i="1"/>
  <c r="N1199" i="1"/>
  <c r="P1199" i="1" s="1"/>
  <c r="N721" i="1"/>
  <c r="P721" i="1" s="1"/>
  <c r="N404" i="1"/>
  <c r="P404" i="1" s="1"/>
  <c r="N883" i="1"/>
  <c r="N1054" i="1"/>
  <c r="P1054" i="1" s="1"/>
  <c r="N405" i="1"/>
  <c r="P405" i="1" s="1"/>
  <c r="N1366" i="1"/>
  <c r="P1366" i="1" s="1"/>
  <c r="N722" i="1"/>
  <c r="P244" i="1"/>
  <c r="N1200" i="1"/>
  <c r="P1200" i="1" s="1"/>
  <c r="N1055" i="1"/>
  <c r="P1055" i="1" s="1"/>
  <c r="N406" i="1"/>
  <c r="P44" i="1"/>
  <c r="N723" i="1"/>
  <c r="P723" i="1" s="1"/>
  <c r="N565" i="1"/>
  <c r="P565" i="1" s="1"/>
  <c r="N407" i="1"/>
  <c r="P247" i="1"/>
  <c r="N1056" i="1"/>
  <c r="P1056" i="1" s="1"/>
  <c r="N566" i="1"/>
  <c r="P566" i="1" s="1"/>
  <c r="P248" i="1"/>
  <c r="N1201" i="1"/>
  <c r="P1201" i="1" s="1"/>
  <c r="N1367" i="1"/>
  <c r="P1367" i="1" s="1"/>
  <c r="N567" i="1"/>
  <c r="N568" i="1"/>
  <c r="N408" i="1"/>
  <c r="P408" i="1" s="1"/>
  <c r="N1057" i="1"/>
  <c r="P1057" i="1" s="1"/>
  <c r="N1368" i="1"/>
  <c r="P1368" i="1" s="1"/>
  <c r="N1202" i="1"/>
  <c r="P1202" i="1" s="1"/>
  <c r="N409" i="1"/>
  <c r="P409" i="1" s="1"/>
  <c r="N724" i="1"/>
  <c r="P724" i="1" s="1"/>
  <c r="N1369" i="1"/>
  <c r="N884" i="1"/>
  <c r="P884" i="1" s="1"/>
  <c r="N410" i="1"/>
  <c r="P410" i="1" s="1"/>
  <c r="P47" i="1"/>
  <c r="N1058" i="1"/>
  <c r="N411" i="1"/>
  <c r="P411" i="1" s="1"/>
  <c r="N1370" i="1"/>
  <c r="P1370" i="1" s="1"/>
  <c r="N1059" i="1"/>
  <c r="N569" i="1"/>
  <c r="P569" i="1" s="1"/>
  <c r="N725" i="1"/>
  <c r="P725" i="1" s="1"/>
  <c r="N1371" i="1"/>
  <c r="P1371" i="1" s="1"/>
  <c r="N1203" i="1"/>
  <c r="P48" i="1"/>
  <c r="N1204" i="1"/>
  <c r="P1204" i="1" s="1"/>
  <c r="N1060" i="1"/>
  <c r="P1060" i="1" s="1"/>
  <c r="N726" i="1"/>
  <c r="N1061" i="1"/>
  <c r="P1061" i="1" s="1"/>
  <c r="N570" i="1"/>
  <c r="P570" i="1" s="1"/>
  <c r="N412" i="1"/>
  <c r="P412" i="1" s="1"/>
  <c r="N571" i="1"/>
  <c r="P253" i="1"/>
  <c r="N572" i="1"/>
  <c r="P572" i="1" s="1"/>
  <c r="N885" i="1"/>
  <c r="N1372" i="1"/>
  <c r="P1372" i="1" s="1"/>
  <c r="N1062" i="1"/>
  <c r="P1062" i="1" s="1"/>
  <c r="N886" i="1"/>
  <c r="P886" i="1" s="1"/>
  <c r="N887" i="1"/>
  <c r="N413" i="1"/>
  <c r="P413" i="1" s="1"/>
  <c r="N888" i="1"/>
  <c r="P888" i="1" s="1"/>
  <c r="N727" i="1"/>
  <c r="P727" i="1" s="1"/>
  <c r="N1205" i="1"/>
  <c r="N1206" i="1"/>
  <c r="P1206" i="1" s="1"/>
  <c r="N728" i="1"/>
  <c r="P728" i="1" s="1"/>
  <c r="N573" i="1"/>
  <c r="P573" i="1" s="1"/>
  <c r="N574" i="1"/>
  <c r="N1207" i="1"/>
  <c r="N1208" i="1"/>
  <c r="P1208" i="1" s="1"/>
  <c r="N1063" i="1"/>
  <c r="P1063" i="1" s="1"/>
  <c r="N729" i="1"/>
  <c r="N414" i="1"/>
  <c r="P414" i="1" s="1"/>
  <c r="N1064" i="1"/>
  <c r="P1064" i="1" s="1"/>
  <c r="N889" i="1"/>
  <c r="P889" i="1" s="1"/>
  <c r="N890" i="1"/>
  <c r="N415" i="1"/>
  <c r="P415" i="1" s="1"/>
  <c r="N1209" i="1"/>
  <c r="P1209" i="1" s="1"/>
  <c r="N891" i="1"/>
  <c r="P891" i="1" s="1"/>
  <c r="N730" i="1"/>
  <c r="P730" i="1" s="1"/>
  <c r="N731" i="1"/>
  <c r="P731" i="1" s="1"/>
  <c r="N732" i="1"/>
  <c r="P732" i="1" s="1"/>
  <c r="N575" i="1"/>
  <c r="N733" i="1"/>
  <c r="P733" i="1" s="1"/>
  <c r="N576" i="1"/>
  <c r="P51" i="1"/>
  <c r="N1065" i="1"/>
  <c r="P1065" i="1" s="1"/>
  <c r="P256" i="1"/>
  <c r="N1066" i="1"/>
  <c r="N734" i="1"/>
  <c r="P734" i="1" s="1"/>
  <c r="N1373" i="1"/>
  <c r="P1373" i="1" s="1"/>
  <c r="N735" i="1"/>
  <c r="P735" i="1" s="1"/>
  <c r="N577" i="1"/>
  <c r="N1210" i="1"/>
  <c r="P1210" i="1" s="1"/>
  <c r="N416" i="1"/>
  <c r="P416" i="1" s="1"/>
  <c r="N417" i="1"/>
  <c r="P417" i="1" s="1"/>
  <c r="N1211" i="1"/>
  <c r="N1212" i="1"/>
  <c r="N418" i="1"/>
  <c r="P418" i="1" s="1"/>
  <c r="P52" i="1"/>
  <c r="N1067" i="1"/>
  <c r="P1067" i="1" s="1"/>
  <c r="N419" i="1"/>
  <c r="P419" i="1" s="1"/>
  <c r="N420" i="1"/>
  <c r="P420" i="1" s="1"/>
  <c r="N1213" i="1"/>
  <c r="P54" i="1"/>
  <c r="N892" i="1"/>
  <c r="P892" i="1" s="1"/>
  <c r="N578" i="1"/>
  <c r="P578" i="1" s="1"/>
  <c r="N1374" i="1"/>
  <c r="N893" i="1"/>
  <c r="P893" i="1" s="1"/>
  <c r="N421" i="1"/>
  <c r="P421" i="1" s="1"/>
  <c r="N422" i="1"/>
  <c r="P422" i="1" s="1"/>
  <c r="N1068" i="1"/>
  <c r="N1375" i="1"/>
  <c r="N1214" i="1"/>
  <c r="P1214" i="1" s="1"/>
  <c r="P55" i="1"/>
  <c r="N894" i="1"/>
  <c r="N895" i="1"/>
  <c r="P895" i="1" s="1"/>
  <c r="P56" i="1"/>
  <c r="N1215" i="1"/>
  <c r="N1069" i="1"/>
  <c r="P1069" i="1" s="1"/>
  <c r="P259" i="1"/>
  <c r="N736" i="1"/>
  <c r="P260" i="1"/>
  <c r="N1376" i="1"/>
  <c r="P1376" i="1" s="1"/>
  <c r="N1216" i="1"/>
  <c r="N579" i="1"/>
  <c r="P579" i="1" s="1"/>
  <c r="N896" i="1"/>
  <c r="P896" i="1" s="1"/>
  <c r="N580" i="1"/>
  <c r="P580" i="1" s="1"/>
  <c r="N1070" i="1"/>
  <c r="P1070" i="1" s="1"/>
  <c r="N897" i="1"/>
  <c r="N581" i="1"/>
  <c r="P581" i="1" s="1"/>
  <c r="N737" i="1"/>
  <c r="P737" i="1" s="1"/>
  <c r="N1217" i="1"/>
  <c r="P1217" i="1" s="1"/>
  <c r="N1071" i="1"/>
  <c r="N898" i="1"/>
  <c r="P898" i="1" s="1"/>
  <c r="P263" i="1"/>
  <c r="N1377" i="1"/>
  <c r="P1377" i="1" s="1"/>
  <c r="N423" i="1"/>
  <c r="N738" i="1"/>
  <c r="N739" i="1"/>
  <c r="P739" i="1" s="1"/>
  <c r="N1218" i="1"/>
  <c r="P1218" i="1" s="1"/>
  <c r="N740" i="1"/>
  <c r="N1378" i="1"/>
  <c r="P1378" i="1" s="1"/>
  <c r="N1219" i="1"/>
  <c r="P1219" i="1" s="1"/>
  <c r="N1220" i="1"/>
  <c r="P1220" i="1" s="1"/>
  <c r="N1379" i="1"/>
  <c r="P1379" i="1" s="1"/>
  <c r="N899" i="1"/>
  <c r="P899" i="1" s="1"/>
  <c r="N424" i="1"/>
  <c r="P424" i="1" s="1"/>
  <c r="N1072" i="1"/>
  <c r="P1072" i="1" s="1"/>
  <c r="N741" i="1"/>
  <c r="P741" i="1" s="1"/>
  <c r="N742" i="1"/>
  <c r="P742" i="1" s="1"/>
  <c r="N1380" i="1"/>
  <c r="N582" i="1"/>
  <c r="N1073" i="1"/>
  <c r="P1073" i="1" s="1"/>
  <c r="N425" i="1"/>
  <c r="P425" i="1" s="1"/>
  <c r="N426" i="1"/>
  <c r="P265" i="1"/>
  <c r="N900" i="1"/>
  <c r="P900" i="1" s="1"/>
  <c r="P60" i="1"/>
  <c r="N1381" i="1"/>
  <c r="P266" i="1"/>
  <c r="N1382" i="1"/>
  <c r="P1382" i="1" s="1"/>
  <c r="N1221" i="1"/>
  <c r="N1074" i="1"/>
  <c r="P1074" i="1" s="1"/>
  <c r="N427" i="1"/>
  <c r="P427" i="1" s="1"/>
  <c r="N901" i="1"/>
  <c r="P901" i="1" s="1"/>
  <c r="N583" i="1"/>
  <c r="P63" i="1"/>
  <c r="N1222" i="1"/>
  <c r="P1222" i="1" s="1"/>
  <c r="N1075" i="1"/>
  <c r="N743" i="1"/>
  <c r="P743" i="1" s="1"/>
  <c r="P267" i="1"/>
  <c r="N1383" i="1"/>
  <c r="P1383" i="1" s="1"/>
  <c r="N1223" i="1"/>
  <c r="P1223" i="1" s="1"/>
  <c r="P268" i="1"/>
  <c r="P269" i="1"/>
  <c r="N1384" i="1"/>
  <c r="N1224" i="1"/>
  <c r="P1224" i="1" s="1"/>
  <c r="N1385" i="1"/>
  <c r="P1385" i="1" s="1"/>
  <c r="N1076" i="1"/>
  <c r="P1076" i="1" s="1"/>
  <c r="N1386" i="1"/>
  <c r="N428" i="1"/>
  <c r="N1225" i="1"/>
  <c r="P1225" i="1" s="1"/>
  <c r="N744" i="1"/>
  <c r="P744" i="1" s="1"/>
  <c r="N902" i="1"/>
  <c r="N429" i="1"/>
  <c r="P429" i="1" s="1"/>
  <c r="N903" i="1"/>
  <c r="P903" i="1" s="1"/>
  <c r="N1387" i="1"/>
  <c r="P1387" i="1" s="1"/>
  <c r="P67" i="1"/>
  <c r="N584" i="1"/>
  <c r="P584" i="1" s="1"/>
  <c r="P68" i="1"/>
  <c r="N1388" i="1"/>
  <c r="P1388" i="1" s="1"/>
  <c r="N585" i="1"/>
  <c r="P585" i="1" s="1"/>
  <c r="N1389" i="1"/>
  <c r="N904" i="1"/>
  <c r="N745" i="1"/>
  <c r="P745" i="1" s="1"/>
  <c r="N586" i="1"/>
  <c r="P586" i="1" s="1"/>
  <c r="N1390" i="1"/>
  <c r="P271" i="1"/>
  <c r="N1391" i="1"/>
  <c r="P1391" i="1" s="1"/>
  <c r="N746" i="1"/>
  <c r="N430" i="1"/>
  <c r="P430" i="1" s="1"/>
  <c r="N747" i="1"/>
  <c r="P747" i="1" s="1"/>
  <c r="N1077" i="1"/>
  <c r="P1077" i="1" s="1"/>
  <c r="N1392" i="1"/>
  <c r="N748" i="1"/>
  <c r="P748" i="1" s="1"/>
  <c r="N905" i="1"/>
  <c r="P905" i="1" s="1"/>
  <c r="N1393" i="1"/>
  <c r="N1078" i="1"/>
  <c r="P1078" i="1" s="1"/>
  <c r="N1226" i="1"/>
  <c r="P71" i="1"/>
  <c r="N431" i="1"/>
  <c r="P431" i="1" s="1"/>
  <c r="N749" i="1"/>
  <c r="P749" i="1" s="1"/>
  <c r="N750" i="1"/>
  <c r="P72" i="1"/>
  <c r="N1227" i="1"/>
  <c r="P1227" i="1" s="1"/>
  <c r="N1394" i="1"/>
  <c r="P1394" i="1" s="1"/>
  <c r="N1228" i="1"/>
  <c r="P1228" i="1" s="1"/>
  <c r="N1395" i="1"/>
  <c r="P1395" i="1" s="1"/>
  <c r="N906" i="1"/>
  <c r="P75" i="1"/>
  <c r="N432" i="1"/>
  <c r="P432" i="1" s="1"/>
  <c r="N751" i="1"/>
  <c r="N907" i="1"/>
  <c r="P907" i="1" s="1"/>
  <c r="N908" i="1"/>
  <c r="P908" i="1" s="1"/>
  <c r="N1229" i="1"/>
  <c r="P1229" i="1" s="1"/>
  <c r="N752" i="1"/>
  <c r="N587" i="1"/>
  <c r="P587" i="1" s="1"/>
  <c r="N1079" i="1"/>
  <c r="P1079" i="1" s="1"/>
  <c r="N1230" i="1"/>
  <c r="P1230" i="1" s="1"/>
  <c r="N433" i="1"/>
  <c r="N909" i="1"/>
  <c r="P909" i="1" s="1"/>
  <c r="P76" i="1"/>
  <c r="P77" i="1"/>
  <c r="N1080" i="1"/>
  <c r="N1081" i="1"/>
  <c r="N753" i="1"/>
  <c r="P753" i="1" s="1"/>
  <c r="N1231" i="1"/>
  <c r="P1231" i="1" s="1"/>
  <c r="N1082" i="1"/>
  <c r="P1082" i="1" s="1"/>
  <c r="N1232" i="1"/>
  <c r="P1232" i="1" s="1"/>
  <c r="P276" i="1"/>
  <c r="N1396" i="1"/>
  <c r="N434" i="1"/>
  <c r="P434" i="1" s="1"/>
  <c r="N1233" i="1"/>
  <c r="N1397" i="1"/>
  <c r="P1397" i="1" s="1"/>
  <c r="N588" i="1"/>
  <c r="P588" i="1" s="1"/>
  <c r="P79" i="1"/>
  <c r="N1398" i="1"/>
  <c r="N1083" i="1"/>
  <c r="N910" i="1"/>
  <c r="P910" i="1" s="1"/>
  <c r="N1084" i="1"/>
  <c r="P1084" i="1" s="1"/>
  <c r="P80" i="1"/>
  <c r="N435" i="1"/>
  <c r="P435" i="1" s="1"/>
  <c r="N436" i="1"/>
  <c r="N754" i="1"/>
  <c r="P754" i="1" s="1"/>
  <c r="N1399" i="1"/>
  <c r="P1399" i="1" s="1"/>
  <c r="N437" i="1"/>
  <c r="P437" i="1" s="1"/>
  <c r="N1085" i="1"/>
  <c r="N1086" i="1"/>
  <c r="P1086" i="1" s="1"/>
  <c r="N438" i="1"/>
  <c r="P438" i="1" s="1"/>
  <c r="N589" i="1"/>
  <c r="N1400" i="1"/>
  <c r="N1401" i="1"/>
  <c r="P1401" i="1" s="1"/>
  <c r="N755" i="1"/>
  <c r="P83" i="1"/>
  <c r="N1234" i="1"/>
  <c r="P1234" i="1" s="1"/>
  <c r="N756" i="1"/>
  <c r="P756" i="1" s="1"/>
  <c r="N1402" i="1"/>
  <c r="N911" i="1"/>
  <c r="P911" i="1" s="1"/>
  <c r="P280" i="1"/>
  <c r="N757" i="1"/>
  <c r="P757" i="1" s="1"/>
  <c r="N590" i="1"/>
  <c r="P84" i="1"/>
  <c r="N1087" i="1"/>
  <c r="P1087" i="1" s="1"/>
  <c r="N1235" i="1"/>
  <c r="N439" i="1"/>
  <c r="N758" i="1"/>
  <c r="P758" i="1" s="1"/>
  <c r="N759" i="1"/>
  <c r="P759" i="1" s="1"/>
  <c r="P87" i="1"/>
  <c r="N1236" i="1"/>
  <c r="P1236" i="1" s="1"/>
  <c r="N1237" i="1"/>
  <c r="N1238" i="1"/>
  <c r="P1238" i="1" s="1"/>
  <c r="N591" i="1"/>
  <c r="P591" i="1" s="1"/>
  <c r="N912" i="1"/>
  <c r="P912" i="1" s="1"/>
  <c r="N1239" i="1"/>
  <c r="N1088" i="1"/>
  <c r="P1088" i="1" s="1"/>
  <c r="N760" i="1"/>
  <c r="P760" i="1" s="1"/>
  <c r="N913" i="1"/>
  <c r="P913" i="1" s="1"/>
  <c r="N761" i="1"/>
  <c r="N762" i="1"/>
  <c r="P762" i="1" s="1"/>
  <c r="N763" i="1"/>
  <c r="P763" i="1" s="1"/>
  <c r="N440" i="1"/>
  <c r="N441" i="1"/>
  <c r="P441" i="1" s="1"/>
  <c r="N442" i="1"/>
  <c r="P442" i="1" s="1"/>
  <c r="N1240" i="1"/>
  <c r="P1240" i="1" s="1"/>
  <c r="N1089" i="1"/>
  <c r="P1089" i="1" s="1"/>
  <c r="N1403" i="1"/>
  <c r="P1403" i="1" s="1"/>
  <c r="N1241" i="1"/>
  <c r="N1090" i="1"/>
  <c r="P1090" i="1" s="1"/>
  <c r="P283" i="1"/>
  <c r="N443" i="1"/>
  <c r="N1091" i="1"/>
  <c r="P91" i="1"/>
  <c r="N1242" i="1"/>
  <c r="P1242" i="1" s="1"/>
  <c r="N444" i="1"/>
  <c r="N764" i="1"/>
  <c r="P764" i="1" s="1"/>
  <c r="N914" i="1"/>
  <c r="P914" i="1" s="1"/>
  <c r="N915" i="1"/>
  <c r="P915" i="1" s="1"/>
  <c r="N1243" i="1"/>
  <c r="P92" i="1"/>
  <c r="N916" i="1"/>
  <c r="P916" i="1" s="1"/>
  <c r="N765" i="1"/>
  <c r="P765" i="1" s="1"/>
  <c r="P93" i="1"/>
  <c r="N1092" i="1"/>
  <c r="P1092" i="1" s="1"/>
  <c r="N1404" i="1"/>
  <c r="P1404" i="1" s="1"/>
  <c r="N1244" i="1"/>
  <c r="P95" i="1"/>
  <c r="N1405" i="1"/>
  <c r="P1405" i="1" s="1"/>
  <c r="N592" i="1"/>
  <c r="P592" i="1" s="1"/>
  <c r="P96" i="1"/>
  <c r="N593" i="1"/>
  <c r="P593" i="1" s="1"/>
  <c r="N594" i="1"/>
  <c r="N595" i="1"/>
  <c r="P595" i="1" s="1"/>
  <c r="N1245" i="1"/>
  <c r="P1245" i="1" s="1"/>
  <c r="N445" i="1"/>
  <c r="N1246" i="1"/>
  <c r="P1246" i="1" s="1"/>
  <c r="N1247" i="1"/>
  <c r="P1247" i="1" s="1"/>
  <c r="P97" i="1"/>
  <c r="N446" i="1"/>
  <c r="N1093" i="1"/>
  <c r="P1093" i="1" s="1"/>
  <c r="N1094" i="1"/>
  <c r="P1094" i="1" s="1"/>
  <c r="N1406" i="1"/>
  <c r="P288" i="1"/>
  <c r="N447" i="1"/>
  <c r="P447" i="1" s="1"/>
  <c r="N448" i="1"/>
  <c r="P448" i="1" s="1"/>
  <c r="N1407" i="1"/>
  <c r="N1248" i="1"/>
  <c r="P1248" i="1" s="1"/>
  <c r="N917" i="1"/>
  <c r="P917" i="1" s="1"/>
  <c r="N449" i="1"/>
  <c r="N918" i="1"/>
  <c r="P918" i="1" s="1"/>
  <c r="N919" i="1"/>
  <c r="P919" i="1" s="1"/>
  <c r="N1249" i="1"/>
  <c r="N596" i="1"/>
  <c r="P596" i="1" s="1"/>
  <c r="N766" i="1"/>
  <c r="P766" i="1" s="1"/>
  <c r="N920" i="1"/>
  <c r="P920" i="1" s="1"/>
  <c r="N1250" i="1"/>
  <c r="P1250" i="1" s="1"/>
  <c r="N450" i="1"/>
  <c r="P450" i="1" s="1"/>
  <c r="N921" i="1"/>
  <c r="N1408" i="1"/>
  <c r="P1408" i="1" s="1"/>
  <c r="N922" i="1"/>
  <c r="P922" i="1" s="1"/>
  <c r="N1251" i="1"/>
  <c r="P1251" i="1" s="1"/>
  <c r="N1252" i="1"/>
  <c r="N1095" i="1"/>
  <c r="P1095" i="1" s="1"/>
  <c r="N1096" i="1"/>
  <c r="P1096" i="1" s="1"/>
  <c r="P290" i="1"/>
  <c r="N451" i="1"/>
  <c r="N1253" i="1"/>
  <c r="P1253" i="1" s="1"/>
  <c r="N1097" i="1"/>
  <c r="P1097" i="1" s="1"/>
  <c r="N597" i="1"/>
  <c r="N1254" i="1"/>
  <c r="P1254" i="1" s="1"/>
  <c r="N1409" i="1"/>
  <c r="P1409" i="1" s="1"/>
  <c r="P291" i="1"/>
  <c r="N1410" i="1"/>
  <c r="N452" i="1"/>
  <c r="P452" i="1" s="1"/>
  <c r="P292" i="1"/>
  <c r="N767" i="1"/>
  <c r="P767" i="1" s="1"/>
  <c r="N1098" i="1"/>
  <c r="N453" i="1"/>
  <c r="P453" i="1" s="1"/>
  <c r="P293" i="1"/>
  <c r="N1099" i="1"/>
  <c r="N598" i="1"/>
  <c r="P598" i="1" s="1"/>
  <c r="N599" i="1"/>
  <c r="N923" i="1"/>
  <c r="P923" i="1" s="1"/>
  <c r="P295" i="1"/>
  <c r="N1255" i="1"/>
  <c r="N600" i="1"/>
  <c r="N454" i="1"/>
  <c r="P454" i="1" s="1"/>
  <c r="P296" i="1"/>
  <c r="N1100" i="1"/>
  <c r="N1411" i="1"/>
  <c r="N1256" i="1"/>
  <c r="P1256" i="1" s="1"/>
  <c r="N1101" i="1"/>
  <c r="P1101" i="1" s="1"/>
  <c r="N924" i="1"/>
  <c r="N1257" i="1"/>
  <c r="P297" i="1"/>
  <c r="N1102" i="1"/>
  <c r="N1412" i="1"/>
  <c r="N925" i="1"/>
  <c r="P925" i="1" s="1"/>
  <c r="N1258" i="1"/>
  <c r="N601" i="1"/>
  <c r="P601" i="1" s="1"/>
  <c r="N926" i="1"/>
  <c r="P926" i="1" s="1"/>
  <c r="N1259" i="1"/>
  <c r="N1260" i="1"/>
  <c r="N1103" i="1"/>
  <c r="P1103" i="1" s="1"/>
  <c r="N602" i="1"/>
  <c r="N603" i="1"/>
  <c r="N604" i="1"/>
  <c r="N1104" i="1"/>
  <c r="P1104" i="1" s="1"/>
  <c r="N1413" i="1"/>
  <c r="N1414" i="1"/>
  <c r="N455" i="1"/>
  <c r="P455" i="1" s="1"/>
  <c r="P107" i="1"/>
  <c r="N1415" i="1"/>
  <c r="N1261" i="1"/>
  <c r="N605" i="1"/>
  <c r="P605" i="1" s="1"/>
  <c r="P108" i="1"/>
  <c r="N606" i="1"/>
  <c r="N768" i="1"/>
  <c r="N1105" i="1"/>
  <c r="P1105" i="1" s="1"/>
  <c r="P299" i="1"/>
  <c r="N456" i="1"/>
  <c r="N1262" i="1"/>
  <c r="N457" i="1"/>
  <c r="N769" i="1"/>
  <c r="P769" i="1" s="1"/>
  <c r="N1263" i="1"/>
  <c r="N1416" i="1"/>
  <c r="P1416" i="1" s="1"/>
  <c r="N458" i="1"/>
  <c r="P458" i="1" s="1"/>
  <c r="N459" i="1"/>
  <c r="N927" i="1"/>
  <c r="N928" i="1"/>
  <c r="P928" i="1" s="1"/>
  <c r="N1417" i="1"/>
  <c r="P1417" i="1" s="1"/>
  <c r="N929" i="1"/>
  <c r="P929" i="1" s="1"/>
  <c r="N1264" i="1"/>
  <c r="P1264" i="1" s="1"/>
  <c r="N607" i="1"/>
  <c r="N770" i="1"/>
  <c r="P304" i="1"/>
  <c r="N608" i="1"/>
  <c r="N1106" i="1"/>
  <c r="P1106" i="1" s="1"/>
  <c r="N930" i="1"/>
  <c r="P930" i="1" s="1"/>
  <c r="N1265" i="1"/>
  <c r="N1266" i="1"/>
  <c r="N609" i="1"/>
  <c r="P609" i="1" s="1"/>
  <c r="N1107" i="1"/>
  <c r="P1107" i="1" s="1"/>
  <c r="N1108" i="1"/>
  <c r="N460" i="1"/>
  <c r="P460" i="1" s="1"/>
  <c r="N771" i="1"/>
  <c r="N1267" i="1"/>
  <c r="N1418" i="1"/>
  <c r="N931" i="1"/>
  <c r="P931" i="1" s="1"/>
  <c r="N1109" i="1"/>
  <c r="N1268" i="1"/>
  <c r="N772" i="1"/>
  <c r="P772" i="1" s="1"/>
  <c r="N1419" i="1"/>
  <c r="P1419" i="1" s="1"/>
  <c r="P307" i="1"/>
  <c r="N1420" i="1"/>
  <c r="P1420" i="1" s="1"/>
  <c r="N932" i="1"/>
  <c r="N933" i="1"/>
  <c r="N461" i="1"/>
  <c r="P461" i="1" s="1"/>
  <c r="N1421" i="1"/>
  <c r="P1421" i="1" s="1"/>
  <c r="N1110" i="1"/>
  <c r="N1422" i="1"/>
  <c r="N1423" i="1"/>
  <c r="N773" i="1"/>
  <c r="N1269" i="1"/>
  <c r="P1269" i="1" s="1"/>
  <c r="N934" i="1"/>
  <c r="P934" i="1" s="1"/>
  <c r="N935" i="1"/>
  <c r="N610" i="1"/>
  <c r="P610" i="1" s="1"/>
  <c r="N1270" i="1"/>
  <c r="P1270" i="1" s="1"/>
  <c r="N936" i="1"/>
  <c r="N1424" i="1"/>
  <c r="N1425" i="1"/>
  <c r="P1425" i="1" s="1"/>
  <c r="N774" i="1"/>
  <c r="N611" i="1"/>
  <c r="N1271" i="1"/>
  <c r="P1271" i="1" s="1"/>
  <c r="N1426" i="1"/>
  <c r="N612" i="1"/>
  <c r="P612" i="1" s="1"/>
  <c r="N1111" i="1"/>
  <c r="P1111" i="1" s="1"/>
  <c r="N462" i="1"/>
  <c r="N1112" i="1"/>
  <c r="P1112" i="1" s="1"/>
  <c r="P312" i="1"/>
  <c r="N1427" i="1"/>
  <c r="N463" i="1"/>
  <c r="P115" i="1"/>
  <c r="N937" i="1"/>
  <c r="P937" i="1" s="1"/>
  <c r="N1272" i="1"/>
  <c r="N464" i="1"/>
  <c r="N1273" i="1"/>
  <c r="N1428" i="1"/>
  <c r="P1428" i="1" s="1"/>
  <c r="N1429" i="1"/>
  <c r="N938" i="1"/>
  <c r="P938" i="1" s="1"/>
  <c r="N1113" i="1"/>
  <c r="P1113" i="1" s="1"/>
  <c r="N1114" i="1"/>
  <c r="P1114" i="1" s="1"/>
  <c r="P119" i="1"/>
  <c r="N1274" i="1"/>
  <c r="P121" i="1"/>
  <c r="N775" i="1"/>
  <c r="P775" i="1" s="1"/>
  <c r="N939" i="1"/>
  <c r="N940" i="1"/>
  <c r="N1430" i="1"/>
  <c r="P1430" i="1" s="1"/>
  <c r="N1431" i="1"/>
  <c r="N1275" i="1"/>
  <c r="N1115" i="1"/>
  <c r="P1115" i="1" s="1"/>
  <c r="N941" i="1"/>
  <c r="P941" i="1" s="1"/>
  <c r="N1116" i="1"/>
  <c r="N1276" i="1"/>
  <c r="N1277" i="1"/>
  <c r="P1277" i="1" s="1"/>
  <c r="N465" i="1"/>
  <c r="P465" i="1" s="1"/>
  <c r="N1278" i="1"/>
  <c r="N942" i="1"/>
  <c r="P942" i="1" s="1"/>
  <c r="N1432" i="1"/>
  <c r="P1432" i="1" s="1"/>
  <c r="N776" i="1"/>
  <c r="N613" i="1"/>
  <c r="N777" i="1"/>
  <c r="P777" i="1" s="1"/>
  <c r="N778" i="1"/>
  <c r="N943" i="1"/>
  <c r="N779" i="1"/>
  <c r="P779" i="1" s="1"/>
  <c r="N944" i="1"/>
  <c r="P944" i="1" s="1"/>
  <c r="N780" i="1"/>
  <c r="N614" i="1"/>
  <c r="N1433" i="1"/>
  <c r="P1433" i="1" s="1"/>
  <c r="P124" i="1"/>
  <c r="N466" i="1"/>
  <c r="N1279" i="1"/>
  <c r="P1279" i="1" s="1"/>
  <c r="N1280" i="1"/>
  <c r="P1280" i="1" s="1"/>
  <c r="N615" i="1"/>
  <c r="N1434" i="1"/>
  <c r="N467" i="1"/>
  <c r="P467" i="1" s="1"/>
  <c r="N945" i="1"/>
  <c r="P945" i="1" s="1"/>
  <c r="N781" i="1"/>
  <c r="P781" i="1" s="1"/>
  <c r="N782" i="1"/>
  <c r="N946" i="1"/>
  <c r="P946" i="1" s="1"/>
  <c r="N783" i="1"/>
  <c r="P783" i="1" s="1"/>
  <c r="N1435" i="1"/>
  <c r="N1117" i="1"/>
  <c r="P1117" i="1" s="1"/>
  <c r="N1118" i="1"/>
  <c r="N1436" i="1"/>
  <c r="N784" i="1"/>
  <c r="N1437" i="1"/>
  <c r="P1437" i="1" s="1"/>
  <c r="N785" i="1"/>
  <c r="P785" i="1" s="1"/>
  <c r="N616" i="1"/>
  <c r="P315" i="1"/>
  <c r="N947" i="1"/>
  <c r="P947" i="1" s="1"/>
  <c r="N617" i="1"/>
  <c r="P617" i="1" s="1"/>
  <c r="N1281" i="1"/>
  <c r="N468" i="1"/>
  <c r="N786" i="1"/>
  <c r="P786" i="1" s="1"/>
  <c r="N618" i="1"/>
  <c r="P618" i="1" s="1"/>
  <c r="N1119" i="1"/>
  <c r="P1119" i="1" s="1"/>
  <c r="N1438" i="1"/>
  <c r="P1438" i="1" s="1"/>
  <c r="N787" i="1"/>
  <c r="N1120" i="1"/>
  <c r="N619" i="1"/>
  <c r="P619" i="1" s="1"/>
  <c r="P128" i="1"/>
  <c r="N948" i="1"/>
  <c r="N620" i="1"/>
  <c r="P316" i="1"/>
  <c r="P317" i="1"/>
  <c r="N469" i="1"/>
  <c r="N470" i="1"/>
  <c r="P470" i="1" s="1"/>
  <c r="N1282" i="1"/>
  <c r="P1282" i="1" s="1"/>
  <c r="N1283" i="1"/>
  <c r="P1283" i="1" s="1"/>
  <c r="N471" i="1"/>
  <c r="N472" i="1"/>
  <c r="P472" i="1" s="1"/>
  <c r="N1439" i="1"/>
  <c r="N1121" i="1"/>
  <c r="N621" i="1"/>
  <c r="P621" i="1" s="1"/>
  <c r="N622" i="1"/>
  <c r="P622" i="1" s="1"/>
  <c r="N788" i="1"/>
  <c r="N949" i="1"/>
  <c r="N623" i="1"/>
  <c r="P623" i="1" s="1"/>
  <c r="N1284" i="1"/>
  <c r="P1284" i="1" s="1"/>
  <c r="N1285" i="1"/>
  <c r="P1285" i="1" s="1"/>
  <c r="N624" i="1"/>
  <c r="N1286" i="1"/>
  <c r="N473" i="1"/>
  <c r="P473" i="1" s="1"/>
  <c r="N789" i="1"/>
  <c r="P789" i="1" s="1"/>
  <c r="N1287" i="1"/>
  <c r="P131" i="1"/>
  <c r="N790" i="1"/>
  <c r="P790" i="1" s="1"/>
  <c r="N625" i="1"/>
  <c r="N474" i="1"/>
  <c r="P474" i="1" s="1"/>
  <c r="P319" i="1"/>
  <c r="N1440" i="1"/>
  <c r="N1441" i="1"/>
  <c r="P1441" i="1" s="1"/>
  <c r="P320" i="1"/>
  <c r="N1288" i="1"/>
  <c r="P1288" i="1" s="1"/>
  <c r="N1122" i="1"/>
  <c r="P321" i="1"/>
  <c r="N626" i="1"/>
  <c r="P626" i="1" s="1"/>
  <c r="N475" i="1"/>
  <c r="P475" i="1" s="1"/>
  <c r="N950" i="1"/>
  <c r="N791" i="1"/>
  <c r="P791" i="1" s="1"/>
  <c r="N1289" i="1"/>
  <c r="N627" i="1"/>
  <c r="N1442" i="1"/>
  <c r="N1443" i="1"/>
  <c r="P1443" i="1" s="1"/>
  <c r="N1444" i="1"/>
  <c r="P1444" i="1" s="1"/>
  <c r="N476" i="1"/>
  <c r="N1445" i="1"/>
  <c r="N477" i="1"/>
  <c r="P477" i="1" s="1"/>
  <c r="P133" i="1"/>
  <c r="N951" i="1"/>
  <c r="P951" i="1" s="1"/>
  <c r="N952" i="1"/>
  <c r="N953" i="1"/>
  <c r="N1446" i="1"/>
  <c r="P1446" i="1" s="1"/>
  <c r="N792" i="1"/>
  <c r="P792" i="1" s="1"/>
  <c r="N1123" i="1"/>
  <c r="N954" i="1"/>
  <c r="P954" i="1" s="1"/>
  <c r="N1124" i="1"/>
  <c r="P136" i="1"/>
  <c r="N955" i="1"/>
  <c r="N628" i="1"/>
  <c r="N1290" i="1"/>
  <c r="P1290" i="1" s="1"/>
  <c r="N1291" i="1"/>
  <c r="P1291" i="1" s="1"/>
  <c r="N629" i="1"/>
  <c r="P629" i="1" s="1"/>
  <c r="N478" i="1"/>
  <c r="N956" i="1"/>
  <c r="P956" i="1" s="1"/>
  <c r="N479" i="1"/>
  <c r="P479" i="1" s="1"/>
  <c r="N957" i="1"/>
  <c r="P957" i="1" s="1"/>
  <c r="N630" i="1"/>
  <c r="P630" i="1" s="1"/>
  <c r="N958" i="1"/>
  <c r="N480" i="1"/>
  <c r="N631" i="1"/>
  <c r="P631" i="1" s="1"/>
  <c r="N1447" i="1"/>
  <c r="P1447" i="1" s="1"/>
  <c r="N1292" i="1"/>
  <c r="N959" i="1"/>
  <c r="P959" i="1" s="1"/>
  <c r="N481" i="1"/>
  <c r="P481" i="1" s="1"/>
  <c r="N1448" i="1"/>
  <c r="P1448" i="1" s="1"/>
  <c r="N793" i="1"/>
  <c r="N482" i="1"/>
  <c r="N1293" i="1"/>
  <c r="P1293" i="1" s="1"/>
  <c r="N632" i="1"/>
  <c r="P632" i="1" s="1"/>
  <c r="N1449" i="1"/>
  <c r="N483" i="1"/>
  <c r="P483" i="1" s="1"/>
  <c r="P323" i="1"/>
  <c r="N1450" i="1"/>
  <c r="N794" i="1"/>
  <c r="P794" i="1" s="1"/>
  <c r="P324" i="1"/>
  <c r="N633" i="1"/>
  <c r="N795" i="1"/>
  <c r="P795" i="1" s="1"/>
  <c r="N960" i="1"/>
  <c r="P960" i="1" s="1"/>
  <c r="N634" i="1"/>
  <c r="N635" i="1"/>
  <c r="P635" i="1" s="1"/>
  <c r="N961" i="1"/>
  <c r="P961" i="1" s="1"/>
  <c r="N796" i="1"/>
  <c r="P796" i="1" s="1"/>
  <c r="N1125" i="1"/>
  <c r="N1451" i="1"/>
  <c r="N962" i="1"/>
  <c r="P962" i="1" s="1"/>
  <c r="N484" i="1"/>
  <c r="P484" i="1" s="1"/>
  <c r="N963" i="1"/>
  <c r="N964" i="1"/>
  <c r="N636" i="1"/>
  <c r="P636" i="1" s="1"/>
  <c r="N1452" i="1"/>
  <c r="P1452" i="1" s="1"/>
  <c r="N1126" i="1"/>
  <c r="P1126" i="1" s="1"/>
  <c r="N1453" i="1"/>
  <c r="N797" i="1"/>
  <c r="N965" i="1"/>
  <c r="P965" i="1" s="1"/>
  <c r="P147" i="1"/>
  <c r="N485" i="1"/>
  <c r="N966" i="1"/>
  <c r="N798" i="1"/>
  <c r="P798" i="1" s="1"/>
  <c r="N1294" i="1"/>
  <c r="P1294" i="1" s="1"/>
  <c r="N486" i="1"/>
  <c r="N967" i="1"/>
  <c r="P148" i="1"/>
  <c r="N1127" i="1"/>
  <c r="P1127" i="1" s="1"/>
  <c r="N637" i="1"/>
  <c r="P637" i="1" s="1"/>
  <c r="N799" i="1"/>
  <c r="N638" i="1"/>
  <c r="P638" i="1" s="1"/>
  <c r="N639" i="1"/>
  <c r="P639" i="1" s="1"/>
  <c r="N640" i="1"/>
  <c r="P640" i="1" s="1"/>
  <c r="N800" i="1"/>
  <c r="N487" i="1"/>
  <c r="P487" i="1" s="1"/>
  <c r="N968" i="1"/>
  <c r="N488" i="1"/>
  <c r="N1454" i="1"/>
  <c r="N1295" i="1"/>
  <c r="P1295" i="1" s="1"/>
  <c r="P327" i="1"/>
  <c r="N801" i="1"/>
  <c r="P801" i="1" s="1"/>
  <c r="N1128" i="1"/>
  <c r="P1128" i="1" s="1"/>
  <c r="N489" i="1"/>
  <c r="N1129" i="1"/>
  <c r="P1129" i="1" s="1"/>
  <c r="N490" i="1"/>
  <c r="P490" i="1" s="1"/>
  <c r="N1455" i="1"/>
  <c r="N802" i="1"/>
  <c r="P802" i="1" s="1"/>
  <c r="N969" i="1"/>
  <c r="N1456" i="1"/>
  <c r="P1456" i="1" s="1"/>
  <c r="N1457" i="1"/>
  <c r="P1457" i="1" s="1"/>
  <c r="N970" i="1"/>
  <c r="N803" i="1"/>
  <c r="P151" i="1"/>
  <c r="N804" i="1"/>
  <c r="P804" i="1" s="1"/>
  <c r="P152" i="1"/>
  <c r="N971" i="1"/>
  <c r="P971" i="1" s="1"/>
  <c r="N972" i="1"/>
  <c r="P972" i="1" s="1"/>
  <c r="N1130" i="1"/>
  <c r="N973" i="1"/>
  <c r="P973" i="1" s="1"/>
  <c r="N641" i="1"/>
  <c r="N491" i="1"/>
  <c r="N492" i="1"/>
  <c r="P492" i="1" s="1"/>
  <c r="N974" i="1"/>
  <c r="P974" i="1" s="1"/>
  <c r="N1131" i="1"/>
  <c r="P155" i="1"/>
  <c r="N975" i="1"/>
  <c r="P975" i="1" s="1"/>
  <c r="N1458" i="1"/>
  <c r="P1458" i="1" s="1"/>
  <c r="N976" i="1"/>
  <c r="N1459" i="1"/>
  <c r="N1460" i="1"/>
  <c r="P1460" i="1" s="1"/>
  <c r="P156" i="1"/>
  <c r="N1461" i="1"/>
  <c r="N1462" i="1"/>
  <c r="P1462" i="1" s="1"/>
  <c r="P157" i="1"/>
  <c r="N642" i="1"/>
  <c r="N1463" i="1"/>
  <c r="P1463" i="1" s="1"/>
  <c r="N1296" i="1"/>
  <c r="P1296" i="1" s="1"/>
  <c r="N643" i="1"/>
  <c r="N493" i="1"/>
  <c r="N494" i="1"/>
  <c r="P494" i="1" s="1"/>
  <c r="P335" i="1"/>
  <c r="P336" i="1"/>
  <c r="N977" i="1"/>
  <c r="N644" i="1"/>
  <c r="P644" i="1" s="1"/>
  <c r="N645" i="1"/>
  <c r="P645" i="1" s="1"/>
  <c r="N1297" i="1"/>
  <c r="P1297" i="1" s="1"/>
  <c r="N646" i="1"/>
  <c r="P646" i="1" s="1"/>
  <c r="N1464" i="1"/>
  <c r="N647" i="1"/>
  <c r="N805" i="1"/>
  <c r="N1132" i="1"/>
  <c r="P1132" i="1" s="1"/>
  <c r="N648" i="1"/>
  <c r="N1298" i="1"/>
  <c r="N495" i="1"/>
  <c r="P495" i="1" s="1"/>
  <c r="N1299" i="1"/>
  <c r="P1299" i="1" s="1"/>
  <c r="P159" i="1"/>
  <c r="N806" i="1"/>
  <c r="N807" i="1"/>
  <c r="P807" i="1" s="1"/>
  <c r="N978" i="1"/>
  <c r="P978" i="1" s="1"/>
  <c r="N979" i="1"/>
  <c r="N496" i="1"/>
  <c r="P496" i="1" s="1"/>
  <c r="N980" i="1"/>
  <c r="P980" i="1" s="1"/>
  <c r="N1465" i="1"/>
  <c r="N981" i="1"/>
  <c r="P160" i="1"/>
  <c r="N497" i="1"/>
  <c r="P497" i="1" s="1"/>
  <c r="N808" i="1"/>
  <c r="N982" i="1"/>
  <c r="P982" i="1" s="1"/>
  <c r="N1133" i="1"/>
  <c r="P1133" i="1" s="1"/>
  <c r="N1466" i="1"/>
  <c r="P1466" i="1" s="1"/>
  <c r="N1134" i="1"/>
  <c r="N649" i="1"/>
  <c r="P649" i="1" s="1"/>
  <c r="N498" i="1"/>
  <c r="P498" i="1" s="1"/>
  <c r="N650" i="1"/>
  <c r="P650" i="1" s="1"/>
  <c r="N651" i="1"/>
  <c r="N983" i="1"/>
  <c r="P983" i="1" s="1"/>
  <c r="N809" i="1"/>
  <c r="P809" i="1" s="1"/>
  <c r="N1135" i="1"/>
  <c r="P1135" i="1" s="1"/>
  <c r="N652" i="1"/>
  <c r="N499" i="1"/>
  <c r="P499" i="1" s="1"/>
  <c r="N1136" i="1"/>
  <c r="P1136" i="1" s="1"/>
  <c r="N653" i="1"/>
  <c r="N500" i="1"/>
  <c r="P163" i="1"/>
  <c r="N984" i="1"/>
  <c r="P984" i="1" s="1"/>
  <c r="N1137" i="1"/>
  <c r="P343" i="1"/>
  <c r="P164" i="1"/>
  <c r="N1138" i="1"/>
  <c r="N1467" i="1"/>
  <c r="N654" i="1"/>
  <c r="P654" i="1" s="1"/>
  <c r="N1468" i="1"/>
  <c r="P1468" i="1" s="1"/>
  <c r="N810" i="1"/>
  <c r="N985" i="1"/>
  <c r="N655" i="1"/>
  <c r="P655" i="1" s="1"/>
  <c r="N1139" i="1"/>
  <c r="P1139" i="1" s="1"/>
  <c r="N811" i="1"/>
  <c r="P811" i="1" s="1"/>
  <c r="N501" i="1"/>
  <c r="N1469" i="1"/>
  <c r="P1469" i="1" s="1"/>
  <c r="N502" i="1"/>
  <c r="P502" i="1" s="1"/>
  <c r="N1140" i="1"/>
  <c r="P1140" i="1" s="1"/>
  <c r="N1300" i="1"/>
  <c r="N1470" i="1"/>
  <c r="P1470" i="1" s="1"/>
  <c r="N1301" i="1"/>
  <c r="N656" i="1"/>
  <c r="N986" i="1"/>
  <c r="P986" i="1" s="1"/>
  <c r="N1141" i="1"/>
  <c r="N1471" i="1"/>
  <c r="P1471" i="1" s="1"/>
  <c r="P167" i="1"/>
  <c r="N1302" i="1"/>
  <c r="P1302" i="1" s="1"/>
  <c r="N1142" i="1"/>
  <c r="N1472" i="1"/>
  <c r="P1472" i="1" s="1"/>
  <c r="N812" i="1"/>
  <c r="P812" i="1" s="1"/>
  <c r="N813" i="1"/>
  <c r="N1303" i="1"/>
  <c r="P1303" i="1" s="1"/>
  <c r="N1473" i="1"/>
  <c r="P1473" i="1" s="1"/>
  <c r="N1474" i="1"/>
  <c r="N1143" i="1"/>
  <c r="P1143" i="1" s="1"/>
  <c r="N503" i="1"/>
  <c r="P503" i="1" s="1"/>
  <c r="N1475" i="1"/>
  <c r="N987" i="1"/>
  <c r="N988" i="1"/>
  <c r="P988" i="1" s="1"/>
  <c r="N989" i="1"/>
  <c r="N814" i="1"/>
  <c r="P814" i="1" s="1"/>
  <c r="N990" i="1"/>
  <c r="P990" i="1" s="1"/>
  <c r="P347" i="1"/>
  <c r="N504" i="1"/>
  <c r="N815" i="1"/>
  <c r="P815" i="1" s="1"/>
  <c r="N816" i="1"/>
  <c r="N817" i="1"/>
  <c r="N991" i="1"/>
  <c r="P991" i="1" s="1"/>
  <c r="N657" i="1"/>
  <c r="N658" i="1"/>
  <c r="N505" i="1"/>
  <c r="P505" i="1" s="1"/>
  <c r="N818" i="1"/>
  <c r="P818" i="1" s="1"/>
  <c r="N659" i="1"/>
  <c r="P659" i="1" s="1"/>
  <c r="N819" i="1"/>
  <c r="N1144" i="1"/>
  <c r="P1144" i="1" s="1"/>
  <c r="N660" i="1"/>
  <c r="N661" i="1"/>
  <c r="P661" i="1" s="1"/>
  <c r="N992" i="1"/>
  <c r="P992" i="1" s="1"/>
  <c r="N1304" i="1"/>
  <c r="N662" i="1"/>
  <c r="P171" i="1"/>
  <c r="N1305" i="1"/>
  <c r="P1305" i="1" s="1"/>
  <c r="N1306" i="1"/>
  <c r="N506" i="1"/>
  <c r="N1307" i="1"/>
  <c r="P1307" i="1" s="1"/>
  <c r="P351" i="1"/>
  <c r="N1476" i="1"/>
  <c r="P1476" i="1" s="1"/>
  <c r="N663" i="1"/>
  <c r="N1308" i="1"/>
  <c r="P1308" i="1" s="1"/>
  <c r="N664" i="1"/>
  <c r="P664" i="1" s="1"/>
  <c r="N665" i="1"/>
  <c r="P665" i="1" s="1"/>
  <c r="N1145" i="1"/>
  <c r="N1146" i="1"/>
  <c r="P1146" i="1" s="1"/>
  <c r="N1147" i="1"/>
  <c r="N993" i="1"/>
  <c r="P993" i="1" s="1"/>
  <c r="N666" i="1"/>
  <c r="P666" i="1" s="1"/>
  <c r="N1477" i="1"/>
  <c r="N507" i="1"/>
  <c r="N1309" i="1"/>
  <c r="P1309" i="1" s="1"/>
  <c r="N1148" i="1"/>
  <c r="P1148" i="1" s="1"/>
  <c r="N508" i="1"/>
  <c r="P508" i="1" s="1"/>
  <c r="N820" i="1"/>
  <c r="N994" i="1"/>
  <c r="N995" i="1"/>
  <c r="P995" i="1" s="1"/>
  <c r="N1478" i="1"/>
  <c r="P1478" i="1" s="1"/>
  <c r="N509" i="1"/>
  <c r="N667" i="1"/>
  <c r="P667" i="1" s="1"/>
  <c r="P352" i="1"/>
  <c r="N1310" i="1"/>
  <c r="N668" i="1"/>
  <c r="P668" i="1" s="1"/>
  <c r="N821" i="1"/>
  <c r="P821" i="1" s="1"/>
  <c r="N1311" i="1"/>
  <c r="N822" i="1"/>
  <c r="P822" i="1" s="1"/>
  <c r="N823" i="1"/>
  <c r="P823" i="1" s="1"/>
  <c r="N1479" i="1"/>
  <c r="P175" i="1"/>
  <c r="P176" i="1"/>
  <c r="N824" i="1"/>
  <c r="P824" i="1" s="1"/>
  <c r="N510" i="1"/>
  <c r="N511" i="1"/>
  <c r="P511" i="1" s="1"/>
  <c r="N1312" i="1"/>
  <c r="N512" i="1"/>
  <c r="N1480" i="1"/>
  <c r="P1480" i="1" s="1"/>
  <c r="N1149" i="1"/>
  <c r="P1149" i="1" s="1"/>
  <c r="N825" i="1"/>
  <c r="N1313" i="1"/>
  <c r="P177" i="1"/>
  <c r="N996" i="1"/>
  <c r="P996" i="1" s="1"/>
  <c r="N1314" i="1"/>
  <c r="P357" i="1"/>
  <c r="N1150" i="1"/>
  <c r="P1150" i="1" s="1"/>
  <c r="N1315" i="1"/>
  <c r="P179" i="1"/>
  <c r="N997" i="1"/>
  <c r="P997" i="1" s="1"/>
  <c r="N1316" i="1"/>
  <c r="N513" i="1"/>
  <c r="N998" i="1"/>
  <c r="P998" i="1" s="1"/>
  <c r="N826" i="1"/>
  <c r="P826" i="1" s="1"/>
  <c r="N1317" i="1"/>
  <c r="N999" i="1"/>
  <c r="N827" i="1"/>
  <c r="P827" i="1" s="1"/>
  <c r="N1318" i="1"/>
  <c r="P1318" i="1" s="1"/>
  <c r="N514" i="1"/>
  <c r="N515" i="1"/>
  <c r="P515" i="1" s="1"/>
  <c r="N516" i="1"/>
  <c r="P516" i="1" s="1"/>
  <c r="P180" i="1"/>
  <c r="N1000" i="1"/>
  <c r="N1481" i="1"/>
  <c r="P1481" i="1" s="1"/>
  <c r="N669" i="1"/>
  <c r="N1482" i="1"/>
  <c r="N1483" i="1"/>
  <c r="N1319" i="1"/>
  <c r="P1319" i="1" s="1"/>
  <c r="P181" i="1"/>
  <c r="N517" i="1"/>
  <c r="N670" i="1"/>
  <c r="P670" i="1" s="1"/>
  <c r="N828" i="1"/>
  <c r="P828" i="1" s="1"/>
  <c r="N1484" i="1"/>
  <c r="N1151" i="1"/>
  <c r="P183" i="1"/>
  <c r="N1320" i="1"/>
  <c r="P1320" i="1" s="1"/>
  <c r="N671" i="1"/>
  <c r="P184" i="1"/>
  <c r="N829" i="1"/>
  <c r="P829" i="1" s="1"/>
  <c r="N830" i="1"/>
  <c r="N1152" i="1"/>
  <c r="N518" i="1"/>
  <c r="P518" i="1" s="1"/>
  <c r="P360" i="1"/>
  <c r="N831" i="1"/>
  <c r="N1153" i="1"/>
  <c r="N1154" i="1"/>
  <c r="P1154" i="1" s="1"/>
  <c r="N832" i="1"/>
  <c r="P832" i="1" s="1"/>
  <c r="P185" i="1"/>
  <c r="N833" i="1"/>
  <c r="P833" i="1" s="1"/>
  <c r="N672" i="1"/>
  <c r="P672" i="1" s="1"/>
  <c r="N1321" i="1"/>
  <c r="P1321" i="1" s="1"/>
  <c r="N1001" i="1"/>
  <c r="N1155" i="1"/>
  <c r="P1155" i="1" s="1"/>
  <c r="N834" i="1"/>
  <c r="N1485" i="1"/>
  <c r="P1485" i="1" s="1"/>
  <c r="N1486" i="1"/>
  <c r="P1486" i="1" s="1"/>
  <c r="N519" i="1"/>
  <c r="P188" i="1"/>
  <c r="P363" i="1"/>
  <c r="N835" i="1"/>
  <c r="P835" i="1" s="1"/>
  <c r="N836" i="1"/>
  <c r="N1156" i="1"/>
  <c r="N1322" i="1"/>
  <c r="P1322" i="1" s="1"/>
  <c r="N1323" i="1"/>
  <c r="P1323" i="1" s="1"/>
  <c r="N837" i="1"/>
  <c r="N1324" i="1"/>
  <c r="P1324" i="1" s="1"/>
  <c r="N1002" i="1"/>
  <c r="P1002" i="1" s="1"/>
  <c r="N520" i="1"/>
  <c r="N673" i="1"/>
  <c r="N838" i="1"/>
  <c r="P838" i="1" s="1"/>
  <c r="N1157" i="1"/>
  <c r="P1157" i="1" s="1"/>
  <c r="N1487" i="1"/>
  <c r="N674" i="1"/>
  <c r="N1003" i="1"/>
  <c r="P1003" i="1" s="1"/>
  <c r="P189" i="1"/>
  <c r="P190" i="1"/>
  <c r="N1004" i="1"/>
  <c r="N675" i="1"/>
  <c r="P675" i="1" s="1"/>
  <c r="P191" i="1"/>
  <c r="N676" i="1"/>
  <c r="P676" i="1" s="1"/>
  <c r="N1488" i="1"/>
  <c r="N521" i="1"/>
  <c r="P521" i="1" s="1"/>
  <c r="N839" i="1"/>
  <c r="N1489" i="1"/>
  <c r="N1005" i="1"/>
  <c r="P1005" i="1" s="1"/>
  <c r="M840" i="1"/>
  <c r="M366" i="1"/>
  <c r="M678" i="1"/>
  <c r="M193" i="1"/>
  <c r="M1006" i="1"/>
  <c r="M194" i="1"/>
  <c r="M2" i="1"/>
  <c r="M367" i="1"/>
  <c r="M522" i="1"/>
  <c r="M523" i="1"/>
  <c r="M841" i="1"/>
  <c r="M195" i="1"/>
  <c r="M1325" i="1"/>
  <c r="M842" i="1"/>
  <c r="M368" i="1"/>
  <c r="M1326" i="1"/>
  <c r="M1158" i="1"/>
  <c r="M1159" i="1"/>
  <c r="M524" i="1"/>
  <c r="M1160" i="1"/>
  <c r="M679" i="1"/>
  <c r="M369" i="1"/>
  <c r="M680" i="1"/>
  <c r="M3" i="1"/>
  <c r="M843" i="1"/>
  <c r="M1327" i="1"/>
  <c r="M1161" i="1"/>
  <c r="M1162" i="1"/>
  <c r="M525" i="1"/>
  <c r="M681" i="1"/>
  <c r="M1163" i="1"/>
  <c r="M526" i="1"/>
  <c r="M682" i="1"/>
  <c r="M1007" i="1"/>
  <c r="M1328" i="1"/>
  <c r="M844" i="1"/>
  <c r="M683" i="1"/>
  <c r="M1008" i="1"/>
  <c r="M527" i="1"/>
  <c r="M845" i="1"/>
  <c r="M196" i="1"/>
  <c r="M684" i="1"/>
  <c r="M528" i="1"/>
  <c r="M1164" i="1"/>
  <c r="M529" i="1"/>
  <c r="M370" i="1"/>
  <c r="M371" i="1"/>
  <c r="M1329" i="1"/>
  <c r="M4" i="1"/>
  <c r="M5" i="1"/>
  <c r="M1165" i="1"/>
  <c r="M372" i="1"/>
  <c r="M6" i="1"/>
  <c r="M1330" i="1"/>
  <c r="M7" i="1"/>
  <c r="M373" i="1"/>
  <c r="M1166" i="1"/>
  <c r="M846" i="1"/>
  <c r="M1009" i="1"/>
  <c r="M1010" i="1"/>
  <c r="M1167" i="1"/>
  <c r="M530" i="1"/>
  <c r="M374" i="1"/>
  <c r="M685" i="1"/>
  <c r="M686" i="1"/>
  <c r="M1168" i="1"/>
  <c r="M847" i="1"/>
  <c r="M531" i="1"/>
  <c r="M1331" i="1"/>
  <c r="M1169" i="1"/>
  <c r="M8" i="1"/>
  <c r="M1170" i="1"/>
  <c r="M1011" i="1"/>
  <c r="M375" i="1"/>
  <c r="M197" i="1"/>
  <c r="M1171" i="1"/>
  <c r="M1172" i="1"/>
  <c r="M376" i="1"/>
  <c r="M1332" i="1"/>
  <c r="M687" i="1"/>
  <c r="M198" i="1"/>
  <c r="M532" i="1"/>
  <c r="M1012" i="1"/>
  <c r="M848" i="1"/>
  <c r="M688" i="1"/>
  <c r="M1173" i="1"/>
  <c r="M533" i="1"/>
  <c r="M689" i="1"/>
  <c r="M199" i="1"/>
  <c r="M1333" i="1"/>
  <c r="M534" i="1"/>
  <c r="M200" i="1"/>
  <c r="M849" i="1"/>
  <c r="M1013" i="1"/>
  <c r="M9" i="1"/>
  <c r="M690" i="1"/>
  <c r="M535" i="1"/>
  <c r="M691" i="1"/>
  <c r="M201" i="1"/>
  <c r="M692" i="1"/>
  <c r="M1174" i="1"/>
  <c r="M1014" i="1"/>
  <c r="M202" i="1"/>
  <c r="M1334" i="1"/>
  <c r="M1015" i="1"/>
  <c r="M203" i="1"/>
  <c r="M850" i="1"/>
  <c r="M204" i="1"/>
  <c r="M693" i="1"/>
  <c r="M1175" i="1"/>
  <c r="M10" i="1"/>
  <c r="M205" i="1"/>
  <c r="M206" i="1"/>
  <c r="M1335" i="1"/>
  <c r="M1336" i="1"/>
  <c r="M1016" i="1"/>
  <c r="M851" i="1"/>
  <c r="M852" i="1"/>
  <c r="M1337" i="1"/>
  <c r="M1338" i="1"/>
  <c r="M377" i="1"/>
  <c r="M853" i="1"/>
  <c r="M854" i="1"/>
  <c r="M1017" i="1"/>
  <c r="M378" i="1"/>
  <c r="M694" i="1"/>
  <c r="M1018" i="1"/>
  <c r="M379" i="1"/>
  <c r="M1339" i="1"/>
  <c r="M1340" i="1"/>
  <c r="M380" i="1"/>
  <c r="M207" i="1"/>
  <c r="M1019" i="1"/>
  <c r="M855" i="1"/>
  <c r="M208" i="1"/>
  <c r="M11" i="1"/>
  <c r="M1341" i="1"/>
  <c r="M1176" i="1"/>
  <c r="M12" i="1"/>
  <c r="M1020" i="1"/>
  <c r="M856" i="1"/>
  <c r="M857" i="1"/>
  <c r="M1021" i="1"/>
  <c r="M1177" i="1"/>
  <c r="M13" i="1"/>
  <c r="M1022" i="1"/>
  <c r="M209" i="1"/>
  <c r="M536" i="1"/>
  <c r="M1342" i="1"/>
  <c r="M1343" i="1"/>
  <c r="M858" i="1"/>
  <c r="M210" i="1"/>
  <c r="M381" i="1"/>
  <c r="M537" i="1"/>
  <c r="M859" i="1"/>
  <c r="M1344" i="1"/>
  <c r="M695" i="1"/>
  <c r="M382" i="1"/>
  <c r="M14" i="1"/>
  <c r="M538" i="1"/>
  <c r="M860" i="1"/>
  <c r="M1023" i="1"/>
  <c r="M15" i="1"/>
  <c r="M1178" i="1"/>
  <c r="M16" i="1"/>
  <c r="M1179" i="1"/>
  <c r="M539" i="1"/>
  <c r="M383" i="1"/>
  <c r="M861" i="1"/>
  <c r="M384" i="1"/>
  <c r="M696" i="1"/>
  <c r="M697" i="1"/>
  <c r="M17" i="1"/>
  <c r="M385" i="1"/>
  <c r="M698" i="1"/>
  <c r="M699" i="1"/>
  <c r="M1345" i="1"/>
  <c r="M386" i="1"/>
  <c r="M1346" i="1"/>
  <c r="M211" i="1"/>
  <c r="M18" i="1"/>
  <c r="M1347" i="1"/>
  <c r="M19" i="1"/>
  <c r="M387" i="1"/>
  <c r="M1024" i="1"/>
  <c r="M700" i="1"/>
  <c r="M540" i="1"/>
  <c r="M862" i="1"/>
  <c r="M1348" i="1"/>
  <c r="M541" i="1"/>
  <c r="M212" i="1"/>
  <c r="M213" i="1"/>
  <c r="M863" i="1"/>
  <c r="M701" i="1"/>
  <c r="M1349" i="1"/>
  <c r="M214" i="1"/>
  <c r="M1180" i="1"/>
  <c r="M1025" i="1"/>
  <c r="M215" i="1"/>
  <c r="M20" i="1"/>
  <c r="M702" i="1"/>
  <c r="M388" i="1"/>
  <c r="M21" i="1"/>
  <c r="M216" i="1"/>
  <c r="M217" i="1"/>
  <c r="M1026" i="1"/>
  <c r="M542" i="1"/>
  <c r="M218" i="1"/>
  <c r="M389" i="1"/>
  <c r="M219" i="1"/>
  <c r="M1350" i="1"/>
  <c r="M543" i="1"/>
  <c r="M864" i="1"/>
  <c r="M703" i="1"/>
  <c r="M1181" i="1"/>
  <c r="M544" i="1"/>
  <c r="M1027" i="1"/>
  <c r="M704" i="1"/>
  <c r="M22" i="1"/>
  <c r="M705" i="1"/>
  <c r="M23" i="1"/>
  <c r="M24" i="1"/>
  <c r="M220" i="1"/>
  <c r="M1028" i="1"/>
  <c r="M1351" i="1"/>
  <c r="M545" i="1"/>
  <c r="M1029" i="1"/>
  <c r="M706" i="1"/>
  <c r="M865" i="1"/>
  <c r="M25" i="1"/>
  <c r="M221" i="1"/>
  <c r="M1030" i="1"/>
  <c r="M866" i="1"/>
  <c r="M1031" i="1"/>
  <c r="M1352" i="1"/>
  <c r="M546" i="1"/>
  <c r="M390" i="1"/>
  <c r="M1032" i="1"/>
  <c r="M547" i="1"/>
  <c r="M26" i="1"/>
  <c r="M1182" i="1"/>
  <c r="M1033" i="1"/>
  <c r="M222" i="1"/>
  <c r="M391" i="1"/>
  <c r="M392" i="1"/>
  <c r="M1353" i="1"/>
  <c r="M223" i="1"/>
  <c r="M27" i="1"/>
  <c r="M224" i="1"/>
  <c r="M548" i="1"/>
  <c r="M225" i="1"/>
  <c r="M28" i="1"/>
  <c r="M1183" i="1"/>
  <c r="M226" i="1"/>
  <c r="M867" i="1"/>
  <c r="M868" i="1"/>
  <c r="M227" i="1"/>
  <c r="M707" i="1"/>
  <c r="M869" i="1"/>
  <c r="M393" i="1"/>
  <c r="M1034" i="1"/>
  <c r="M870" i="1"/>
  <c r="M549" i="1"/>
  <c r="M29" i="1"/>
  <c r="M550" i="1"/>
  <c r="M1035" i="1"/>
  <c r="M228" i="1"/>
  <c r="M229" i="1"/>
  <c r="M871" i="1"/>
  <c r="M230" i="1"/>
  <c r="M551" i="1"/>
  <c r="M552" i="1"/>
  <c r="M708" i="1"/>
  <c r="M1036" i="1"/>
  <c r="M553" i="1"/>
  <c r="M1354" i="1"/>
  <c r="M554" i="1"/>
  <c r="M1184" i="1"/>
  <c r="M709" i="1"/>
  <c r="M710" i="1"/>
  <c r="M394" i="1"/>
  <c r="M1355" i="1"/>
  <c r="M711" i="1"/>
  <c r="M1037" i="1"/>
  <c r="M395" i="1"/>
  <c r="M1038" i="1"/>
  <c r="M231" i="1"/>
  <c r="M555" i="1"/>
  <c r="M1039" i="1"/>
  <c r="M1185" i="1"/>
  <c r="M232" i="1"/>
  <c r="M872" i="1"/>
  <c r="M30" i="1"/>
  <c r="M31" i="1"/>
  <c r="M396" i="1"/>
  <c r="M556" i="1"/>
  <c r="M712" i="1"/>
  <c r="M713" i="1"/>
  <c r="M714" i="1"/>
  <c r="M1356" i="1"/>
  <c r="M233" i="1"/>
  <c r="M1040" i="1"/>
  <c r="M557" i="1"/>
  <c r="M715" i="1"/>
  <c r="M558" i="1"/>
  <c r="M234" i="1"/>
  <c r="M235" i="1"/>
  <c r="M32" i="1"/>
  <c r="M1041" i="1"/>
  <c r="M1357" i="1"/>
  <c r="M1358" i="1"/>
  <c r="M716" i="1"/>
  <c r="M397" i="1"/>
  <c r="M236" i="1"/>
  <c r="M1186" i="1"/>
  <c r="M237" i="1"/>
  <c r="M398" i="1"/>
  <c r="M873" i="1"/>
  <c r="M33" i="1"/>
  <c r="M1187" i="1"/>
  <c r="M1042" i="1"/>
  <c r="M238" i="1"/>
  <c r="M1188" i="1"/>
  <c r="M1043" i="1"/>
  <c r="M399" i="1"/>
  <c r="M1359" i="1"/>
  <c r="M559" i="1"/>
  <c r="M874" i="1"/>
  <c r="M875" i="1"/>
  <c r="M1189" i="1"/>
  <c r="M1044" i="1"/>
  <c r="M1045" i="1"/>
  <c r="M1190" i="1"/>
  <c r="M1360" i="1"/>
  <c r="M1361" i="1"/>
  <c r="M876" i="1"/>
  <c r="M877" i="1"/>
  <c r="M1362" i="1"/>
  <c r="M878" i="1"/>
  <c r="M1046" i="1"/>
  <c r="M1047" i="1"/>
  <c r="M560" i="1"/>
  <c r="M1048" i="1"/>
  <c r="M239" i="1"/>
  <c r="M1191" i="1"/>
  <c r="M717" i="1"/>
  <c r="M1192" i="1"/>
  <c r="M879" i="1"/>
  <c r="M1049" i="1"/>
  <c r="M561" i="1"/>
  <c r="M562" i="1"/>
  <c r="M34" i="1"/>
  <c r="M1363" i="1"/>
  <c r="M400" i="1"/>
  <c r="M1193" i="1"/>
  <c r="M718" i="1"/>
  <c r="M563" i="1"/>
  <c r="M719" i="1"/>
  <c r="M35" i="1"/>
  <c r="M1364" i="1"/>
  <c r="M401" i="1"/>
  <c r="M1194" i="1"/>
  <c r="M1050" i="1"/>
  <c r="M36" i="1"/>
  <c r="M240" i="1"/>
  <c r="M241" i="1"/>
  <c r="M1051" i="1"/>
  <c r="M37" i="1"/>
  <c r="M242" i="1"/>
  <c r="M1365" i="1"/>
  <c r="M38" i="1"/>
  <c r="M880" i="1"/>
  <c r="M39" i="1"/>
  <c r="M564" i="1"/>
  <c r="M1195" i="1"/>
  <c r="M1196" i="1"/>
  <c r="M40" i="1"/>
  <c r="M1197" i="1"/>
  <c r="M402" i="1"/>
  <c r="M881" i="1"/>
  <c r="M1198" i="1"/>
  <c r="M720" i="1"/>
  <c r="M882" i="1"/>
  <c r="M243" i="1"/>
  <c r="M403" i="1"/>
  <c r="M1052" i="1"/>
  <c r="M41" i="1"/>
  <c r="M1053" i="1"/>
  <c r="M1199" i="1"/>
  <c r="M721" i="1"/>
  <c r="M404" i="1"/>
  <c r="M883" i="1"/>
  <c r="M1054" i="1"/>
  <c r="M405" i="1"/>
  <c r="M1366" i="1"/>
  <c r="M722" i="1"/>
  <c r="M244" i="1"/>
  <c r="M1200" i="1"/>
  <c r="M1055" i="1"/>
  <c r="M42" i="1"/>
  <c r="M406" i="1"/>
  <c r="M245" i="1"/>
  <c r="M246" i="1"/>
  <c r="M43" i="1"/>
  <c r="M44" i="1"/>
  <c r="M723" i="1"/>
  <c r="M565" i="1"/>
  <c r="M407" i="1"/>
  <c r="M247" i="1"/>
  <c r="M1056" i="1"/>
  <c r="M566" i="1"/>
  <c r="M45" i="1"/>
  <c r="M248" i="1"/>
  <c r="M1201" i="1"/>
  <c r="M1367" i="1"/>
  <c r="M567" i="1"/>
  <c r="M568" i="1"/>
  <c r="M408" i="1"/>
  <c r="M249" i="1"/>
  <c r="M250" i="1"/>
  <c r="M1057" i="1"/>
  <c r="M1368" i="1"/>
  <c r="M1202" i="1"/>
  <c r="M251" i="1"/>
  <c r="M46" i="1"/>
  <c r="M409" i="1"/>
  <c r="M724" i="1"/>
  <c r="M1369" i="1"/>
  <c r="M884" i="1"/>
  <c r="M410" i="1"/>
  <c r="M47" i="1"/>
  <c r="M252" i="1"/>
  <c r="M1058" i="1"/>
  <c r="M411" i="1"/>
  <c r="M1370" i="1"/>
  <c r="M1059" i="1"/>
  <c r="M569" i="1"/>
  <c r="M725" i="1"/>
  <c r="M1371" i="1"/>
  <c r="M1203" i="1"/>
  <c r="M48" i="1"/>
  <c r="M1204" i="1"/>
  <c r="M1060" i="1"/>
  <c r="M726" i="1"/>
  <c r="M1061" i="1"/>
  <c r="M570" i="1"/>
  <c r="M412" i="1"/>
  <c r="M49" i="1"/>
  <c r="M571" i="1"/>
  <c r="M253" i="1"/>
  <c r="M572" i="1"/>
  <c r="M885" i="1"/>
  <c r="M1372" i="1"/>
  <c r="M1062" i="1"/>
  <c r="M886" i="1"/>
  <c r="M887" i="1"/>
  <c r="M413" i="1"/>
  <c r="M888" i="1"/>
  <c r="M727" i="1"/>
  <c r="M1205" i="1"/>
  <c r="M1206" i="1"/>
  <c r="M728" i="1"/>
  <c r="M573" i="1"/>
  <c r="M574" i="1"/>
  <c r="M1207" i="1"/>
  <c r="M1208" i="1"/>
  <c r="M1063" i="1"/>
  <c r="M729" i="1"/>
  <c r="M414" i="1"/>
  <c r="M1064" i="1"/>
  <c r="M889" i="1"/>
  <c r="M890" i="1"/>
  <c r="M415" i="1"/>
  <c r="M1209" i="1"/>
  <c r="M891" i="1"/>
  <c r="M254" i="1"/>
  <c r="M730" i="1"/>
  <c r="M731" i="1"/>
  <c r="M732" i="1"/>
  <c r="M575" i="1"/>
  <c r="M255" i="1"/>
  <c r="M733" i="1"/>
  <c r="M50" i="1"/>
  <c r="M576" i="1"/>
  <c r="M51" i="1"/>
  <c r="M1065" i="1"/>
  <c r="M256" i="1"/>
  <c r="M1066" i="1"/>
  <c r="M734" i="1"/>
  <c r="M1373" i="1"/>
  <c r="M735" i="1"/>
  <c r="M577" i="1"/>
  <c r="M1210" i="1"/>
  <c r="M416" i="1"/>
  <c r="M417" i="1"/>
  <c r="M1211" i="1"/>
  <c r="M1212" i="1"/>
  <c r="M418" i="1"/>
  <c r="M52" i="1"/>
  <c r="M53" i="1"/>
  <c r="M1067" i="1"/>
  <c r="M419" i="1"/>
  <c r="M420" i="1"/>
  <c r="M1213" i="1"/>
  <c r="M54" i="1"/>
  <c r="M892" i="1"/>
  <c r="M578" i="1"/>
  <c r="M1374" i="1"/>
  <c r="M893" i="1"/>
  <c r="M421" i="1"/>
  <c r="M422" i="1"/>
  <c r="M1068" i="1"/>
  <c r="M1375" i="1"/>
  <c r="M1214" i="1"/>
  <c r="M55" i="1"/>
  <c r="M894" i="1"/>
  <c r="M895" i="1"/>
  <c r="M257" i="1"/>
  <c r="M56" i="1"/>
  <c r="M1215" i="1"/>
  <c r="M1069" i="1"/>
  <c r="M258" i="1"/>
  <c r="M259" i="1"/>
  <c r="M736" i="1"/>
  <c r="M260" i="1"/>
  <c r="M1376" i="1"/>
  <c r="M57" i="1"/>
  <c r="M1216" i="1"/>
  <c r="M261" i="1"/>
  <c r="M579" i="1"/>
  <c r="M896" i="1"/>
  <c r="M262" i="1"/>
  <c r="M580" i="1"/>
  <c r="M58" i="1"/>
  <c r="M1070" i="1"/>
  <c r="M897" i="1"/>
  <c r="M581" i="1"/>
  <c r="M737" i="1"/>
  <c r="M1217" i="1"/>
  <c r="M1071" i="1"/>
  <c r="M898" i="1"/>
  <c r="M263" i="1"/>
  <c r="M1377" i="1"/>
  <c r="M423" i="1"/>
  <c r="M738" i="1"/>
  <c r="M739" i="1"/>
  <c r="M1218" i="1"/>
  <c r="M740" i="1"/>
  <c r="M1378" i="1"/>
  <c r="M1219" i="1"/>
  <c r="M1220" i="1"/>
  <c r="M264" i="1"/>
  <c r="M1379" i="1"/>
  <c r="M899" i="1"/>
  <c r="M424" i="1"/>
  <c r="M59" i="1"/>
  <c r="M1072" i="1"/>
  <c r="M741" i="1"/>
  <c r="M742" i="1"/>
  <c r="M1380" i="1"/>
  <c r="M582" i="1"/>
  <c r="M1073" i="1"/>
  <c r="M425" i="1"/>
  <c r="M426" i="1"/>
  <c r="M265" i="1"/>
  <c r="M900" i="1"/>
  <c r="M60" i="1"/>
  <c r="M1381" i="1"/>
  <c r="M266" i="1"/>
  <c r="M1382" i="1"/>
  <c r="M61" i="1"/>
  <c r="M1221" i="1"/>
  <c r="M1074" i="1"/>
  <c r="M427" i="1"/>
  <c r="M901" i="1"/>
  <c r="M583" i="1"/>
  <c r="M62" i="1"/>
  <c r="M63" i="1"/>
  <c r="M1222" i="1"/>
  <c r="M1075" i="1"/>
  <c r="M743" i="1"/>
  <c r="M267" i="1"/>
  <c r="M1383" i="1"/>
  <c r="M64" i="1"/>
  <c r="M1223" i="1"/>
  <c r="M268" i="1"/>
  <c r="M269" i="1"/>
  <c r="M1384" i="1"/>
  <c r="M1224" i="1"/>
  <c r="M1385" i="1"/>
  <c r="M1076" i="1"/>
  <c r="M1386" i="1"/>
  <c r="M428" i="1"/>
  <c r="M1225" i="1"/>
  <c r="M744" i="1"/>
  <c r="M902" i="1"/>
  <c r="M429" i="1"/>
  <c r="M903" i="1"/>
  <c r="M1387" i="1"/>
  <c r="M65" i="1"/>
  <c r="M66" i="1"/>
  <c r="M67" i="1"/>
  <c r="M584" i="1"/>
  <c r="M270" i="1"/>
  <c r="M68" i="1"/>
  <c r="M1388" i="1"/>
  <c r="M585" i="1"/>
  <c r="M1389" i="1"/>
  <c r="M904" i="1"/>
  <c r="M745" i="1"/>
  <c r="M586" i="1"/>
  <c r="M1390" i="1"/>
  <c r="M271" i="1"/>
  <c r="M69" i="1"/>
  <c r="M1391" i="1"/>
  <c r="M746" i="1"/>
  <c r="M430" i="1"/>
  <c r="M747" i="1"/>
  <c r="M1077" i="1"/>
  <c r="M1392" i="1"/>
  <c r="M70" i="1"/>
  <c r="M748" i="1"/>
  <c r="M905" i="1"/>
  <c r="M1393" i="1"/>
  <c r="M272" i="1"/>
  <c r="M1078" i="1"/>
  <c r="M273" i="1"/>
  <c r="M1226" i="1"/>
  <c r="M71" i="1"/>
  <c r="M431" i="1"/>
  <c r="M749" i="1"/>
  <c r="M750" i="1"/>
  <c r="M72" i="1"/>
  <c r="M1227" i="1"/>
  <c r="M73" i="1"/>
  <c r="M274" i="1"/>
  <c r="M1394" i="1"/>
  <c r="M1228" i="1"/>
  <c r="M1395" i="1"/>
  <c r="M906" i="1"/>
  <c r="M74" i="1"/>
  <c r="M75" i="1"/>
  <c r="M432" i="1"/>
  <c r="M751" i="1"/>
  <c r="M907" i="1"/>
  <c r="M908" i="1"/>
  <c r="M1229" i="1"/>
  <c r="M752" i="1"/>
  <c r="M587" i="1"/>
  <c r="M1079" i="1"/>
  <c r="M1230" i="1"/>
  <c r="M433" i="1"/>
  <c r="M909" i="1"/>
  <c r="M76" i="1"/>
  <c r="M77" i="1"/>
  <c r="M1080" i="1"/>
  <c r="M1081" i="1"/>
  <c r="M753" i="1"/>
  <c r="M1231" i="1"/>
  <c r="M275" i="1"/>
  <c r="M1082" i="1"/>
  <c r="M1232" i="1"/>
  <c r="M276" i="1"/>
  <c r="M1396" i="1"/>
  <c r="M78" i="1"/>
  <c r="M434" i="1"/>
  <c r="M277" i="1"/>
  <c r="M1233" i="1"/>
  <c r="M1397" i="1"/>
  <c r="M588" i="1"/>
  <c r="M79" i="1"/>
  <c r="M1398" i="1"/>
  <c r="M1083" i="1"/>
  <c r="M910" i="1"/>
  <c r="M278" i="1"/>
  <c r="M279" i="1"/>
  <c r="M1084" i="1"/>
  <c r="M80" i="1"/>
  <c r="M435" i="1"/>
  <c r="M436" i="1"/>
  <c r="M754" i="1"/>
  <c r="M1399" i="1"/>
  <c r="M437" i="1"/>
  <c r="M1085" i="1"/>
  <c r="M1086" i="1"/>
  <c r="M438" i="1"/>
  <c r="M81" i="1"/>
  <c r="M589" i="1"/>
  <c r="M1400" i="1"/>
  <c r="M1401" i="1"/>
  <c r="M82" i="1"/>
  <c r="M755" i="1"/>
  <c r="M83" i="1"/>
  <c r="M1234" i="1"/>
  <c r="M756" i="1"/>
  <c r="M1402" i="1"/>
  <c r="M911" i="1"/>
  <c r="M280" i="1"/>
  <c r="M757" i="1"/>
  <c r="M590" i="1"/>
  <c r="M84" i="1"/>
  <c r="M1087" i="1"/>
  <c r="M85" i="1"/>
  <c r="M1235" i="1"/>
  <c r="M439" i="1"/>
  <c r="M758" i="1"/>
  <c r="M759" i="1"/>
  <c r="M281" i="1"/>
  <c r="M86" i="1"/>
  <c r="M87" i="1"/>
  <c r="M1236" i="1"/>
  <c r="M1237" i="1"/>
  <c r="M1238" i="1"/>
  <c r="M591" i="1"/>
  <c r="M912" i="1"/>
  <c r="M1239" i="1"/>
  <c r="M1088" i="1"/>
  <c r="M760" i="1"/>
  <c r="M913" i="1"/>
  <c r="M761" i="1"/>
  <c r="M88" i="1"/>
  <c r="M762" i="1"/>
  <c r="M763" i="1"/>
  <c r="M440" i="1"/>
  <c r="M441" i="1"/>
  <c r="M442" i="1"/>
  <c r="M1240" i="1"/>
  <c r="M89" i="1"/>
  <c r="M1089" i="1"/>
  <c r="M282" i="1"/>
  <c r="M1403" i="1"/>
  <c r="M1241" i="1"/>
  <c r="M1090" i="1"/>
  <c r="M283" i="1"/>
  <c r="M90" i="1"/>
  <c r="M443" i="1"/>
  <c r="M1091" i="1"/>
  <c r="M91" i="1"/>
  <c r="M1242" i="1"/>
  <c r="M444" i="1"/>
  <c r="M764" i="1"/>
  <c r="M914" i="1"/>
  <c r="M915" i="1"/>
  <c r="M1243" i="1"/>
  <c r="M92" i="1"/>
  <c r="M916" i="1"/>
  <c r="M765" i="1"/>
  <c r="M284" i="1"/>
  <c r="M93" i="1"/>
  <c r="M1092" i="1"/>
  <c r="M1404" i="1"/>
  <c r="M1244" i="1"/>
  <c r="M94" i="1"/>
  <c r="M95" i="1"/>
  <c r="M1405" i="1"/>
  <c r="M285" i="1"/>
  <c r="M592" i="1"/>
  <c r="M96" i="1"/>
  <c r="M593" i="1"/>
  <c r="M594" i="1"/>
  <c r="M595" i="1"/>
  <c r="M286" i="1"/>
  <c r="M1245" i="1"/>
  <c r="M445" i="1"/>
  <c r="M1246" i="1"/>
  <c r="M1247" i="1"/>
  <c r="M97" i="1"/>
  <c r="M446" i="1"/>
  <c r="M287" i="1"/>
  <c r="M1093" i="1"/>
  <c r="M1094" i="1"/>
  <c r="M1406" i="1"/>
  <c r="M288" i="1"/>
  <c r="M447" i="1"/>
  <c r="M448" i="1"/>
  <c r="M1407" i="1"/>
  <c r="M1248" i="1"/>
  <c r="M98" i="1"/>
  <c r="M917" i="1"/>
  <c r="M449" i="1"/>
  <c r="M918" i="1"/>
  <c r="M289" i="1"/>
  <c r="M919" i="1"/>
  <c r="M1249" i="1"/>
  <c r="M99" i="1"/>
  <c r="M596" i="1"/>
  <c r="M766" i="1"/>
  <c r="M100" i="1"/>
  <c r="M920" i="1"/>
  <c r="M1250" i="1"/>
  <c r="M450" i="1"/>
  <c r="M921" i="1"/>
  <c r="M1408" i="1"/>
  <c r="M922" i="1"/>
  <c r="M1251" i="1"/>
  <c r="M1252" i="1"/>
  <c r="M1095" i="1"/>
  <c r="M1096" i="1"/>
  <c r="M290" i="1"/>
  <c r="M451" i="1"/>
  <c r="M101" i="1"/>
  <c r="M1253" i="1"/>
  <c r="M1097" i="1"/>
  <c r="M597" i="1"/>
  <c r="M1254" i="1"/>
  <c r="M1409" i="1"/>
  <c r="M291" i="1"/>
  <c r="M1410" i="1"/>
  <c r="M452" i="1"/>
  <c r="M292" i="1"/>
  <c r="M767" i="1"/>
  <c r="M1098" i="1"/>
  <c r="M453" i="1"/>
  <c r="M102" i="1"/>
  <c r="M293" i="1"/>
  <c r="M294" i="1"/>
  <c r="M1099" i="1"/>
  <c r="M598" i="1"/>
  <c r="M103" i="1"/>
  <c r="M599" i="1"/>
  <c r="M923" i="1"/>
  <c r="M295" i="1"/>
  <c r="M1255" i="1"/>
  <c r="M600" i="1"/>
  <c r="M454" i="1"/>
  <c r="M296" i="1"/>
  <c r="M1100" i="1"/>
  <c r="M1411" i="1"/>
  <c r="M1256" i="1"/>
  <c r="M1101" i="1"/>
  <c r="M924" i="1"/>
  <c r="M104" i="1"/>
  <c r="M1257" i="1"/>
  <c r="M297" i="1"/>
  <c r="M1102" i="1"/>
  <c r="M1412" i="1"/>
  <c r="M925" i="1"/>
  <c r="M298" i="1"/>
  <c r="M1258" i="1"/>
  <c r="M105" i="1"/>
  <c r="M601" i="1"/>
  <c r="M926" i="1"/>
  <c r="M1259" i="1"/>
  <c r="M1260" i="1"/>
  <c r="M106" i="1"/>
  <c r="M1103" i="1"/>
  <c r="M602" i="1"/>
  <c r="M603" i="1"/>
  <c r="M604" i="1"/>
  <c r="M1104" i="1"/>
  <c r="M1413" i="1"/>
  <c r="M1414" i="1"/>
  <c r="M455" i="1"/>
  <c r="M107" i="1"/>
  <c r="M1415" i="1"/>
  <c r="M1261" i="1"/>
  <c r="M605" i="1"/>
  <c r="M108" i="1"/>
  <c r="M606" i="1"/>
  <c r="M768" i="1"/>
  <c r="M1105" i="1"/>
  <c r="M299" i="1"/>
  <c r="M456" i="1"/>
  <c r="M1262" i="1"/>
  <c r="M457" i="1"/>
  <c r="M769" i="1"/>
  <c r="M300" i="1"/>
  <c r="M1263" i="1"/>
  <c r="M1416" i="1"/>
  <c r="M458" i="1"/>
  <c r="M459" i="1"/>
  <c r="M927" i="1"/>
  <c r="M928" i="1"/>
  <c r="M1417" i="1"/>
  <c r="M301" i="1"/>
  <c r="M302" i="1"/>
  <c r="M929" i="1"/>
  <c r="M1264" i="1"/>
  <c r="M303" i="1"/>
  <c r="M607" i="1"/>
  <c r="M770" i="1"/>
  <c r="M304" i="1"/>
  <c r="M608" i="1"/>
  <c r="M109" i="1"/>
  <c r="M1106" i="1"/>
  <c r="M930" i="1"/>
  <c r="M1265" i="1"/>
  <c r="M1266" i="1"/>
  <c r="M609" i="1"/>
  <c r="M1107" i="1"/>
  <c r="M1108" i="1"/>
  <c r="M305" i="1"/>
  <c r="M110" i="1"/>
  <c r="M460" i="1"/>
  <c r="M771" i="1"/>
  <c r="M1267" i="1"/>
  <c r="M1418" i="1"/>
  <c r="M931" i="1"/>
  <c r="M1109" i="1"/>
  <c r="M1268" i="1"/>
  <c r="M772" i="1"/>
  <c r="M1419" i="1"/>
  <c r="M111" i="1"/>
  <c r="M306" i="1"/>
  <c r="M307" i="1"/>
  <c r="M1420" i="1"/>
  <c r="M932" i="1"/>
  <c r="M933" i="1"/>
  <c r="M461" i="1"/>
  <c r="M1421" i="1"/>
  <c r="M308" i="1"/>
  <c r="M1110" i="1"/>
  <c r="M1422" i="1"/>
  <c r="M309" i="1"/>
  <c r="M1423" i="1"/>
  <c r="M773" i="1"/>
  <c r="M1269" i="1"/>
  <c r="M934" i="1"/>
  <c r="M112" i="1"/>
  <c r="M935" i="1"/>
  <c r="M610" i="1"/>
  <c r="M1270" i="1"/>
  <c r="M936" i="1"/>
  <c r="M1424" i="1"/>
  <c r="M310" i="1"/>
  <c r="M1425" i="1"/>
  <c r="M311" i="1"/>
  <c r="M774" i="1"/>
  <c r="M611" i="1"/>
  <c r="M1271" i="1"/>
  <c r="M113" i="1"/>
  <c r="M1426" i="1"/>
  <c r="M612" i="1"/>
  <c r="M1111" i="1"/>
  <c r="M114" i="1"/>
  <c r="M462" i="1"/>
  <c r="M1112" i="1"/>
  <c r="M312" i="1"/>
  <c r="M1427" i="1"/>
  <c r="M463" i="1"/>
  <c r="M115" i="1"/>
  <c r="M937" i="1"/>
  <c r="M1272" i="1"/>
  <c r="M464" i="1"/>
  <c r="M1273" i="1"/>
  <c r="M1428" i="1"/>
  <c r="M116" i="1"/>
  <c r="M1429" i="1"/>
  <c r="M938" i="1"/>
  <c r="M1113" i="1"/>
  <c r="M117" i="1"/>
  <c r="M118" i="1"/>
  <c r="M1114" i="1"/>
  <c r="M119" i="1"/>
  <c r="M1274" i="1"/>
  <c r="M120" i="1"/>
  <c r="M121" i="1"/>
  <c r="M775" i="1"/>
  <c r="M939" i="1"/>
  <c r="M313" i="1"/>
  <c r="M940" i="1"/>
  <c r="M1430" i="1"/>
  <c r="M1431" i="1"/>
  <c r="M1275" i="1"/>
  <c r="M1115" i="1"/>
  <c r="M941" i="1"/>
  <c r="M1116" i="1"/>
  <c r="M1276" i="1"/>
  <c r="M1277" i="1"/>
  <c r="M465" i="1"/>
  <c r="M122" i="1"/>
  <c r="M1278" i="1"/>
  <c r="M942" i="1"/>
  <c r="M1432" i="1"/>
  <c r="M776" i="1"/>
  <c r="M123" i="1"/>
  <c r="M613" i="1"/>
  <c r="M777" i="1"/>
  <c r="M778" i="1"/>
  <c r="M943" i="1"/>
  <c r="M779" i="1"/>
  <c r="M944" i="1"/>
  <c r="M780" i="1"/>
  <c r="M614" i="1"/>
  <c r="M1433" i="1"/>
  <c r="M124" i="1"/>
  <c r="M125" i="1"/>
  <c r="M466" i="1"/>
  <c r="M1279" i="1"/>
  <c r="M1280" i="1"/>
  <c r="M615" i="1"/>
  <c r="M1434" i="1"/>
  <c r="M467" i="1"/>
  <c r="M945" i="1"/>
  <c r="M781" i="1"/>
  <c r="M782" i="1"/>
  <c r="M314" i="1"/>
  <c r="M946" i="1"/>
  <c r="M783" i="1"/>
  <c r="M1435" i="1"/>
  <c r="M1117" i="1"/>
  <c r="M1118" i="1"/>
  <c r="M1436" i="1"/>
  <c r="M784" i="1"/>
  <c r="M1437" i="1"/>
  <c r="M785" i="1"/>
  <c r="M126" i="1"/>
  <c r="M616" i="1"/>
  <c r="M315" i="1"/>
  <c r="M947" i="1"/>
  <c r="M617" i="1"/>
  <c r="M1281" i="1"/>
  <c r="M468" i="1"/>
  <c r="M786" i="1"/>
  <c r="M618" i="1"/>
  <c r="M127" i="1"/>
  <c r="M1119" i="1"/>
  <c r="M1438" i="1"/>
  <c r="M787" i="1"/>
  <c r="M1120" i="1"/>
  <c r="M619" i="1"/>
  <c r="M128" i="1"/>
  <c r="M948" i="1"/>
  <c r="M620" i="1"/>
  <c r="M129" i="1"/>
  <c r="M316" i="1"/>
  <c r="M317" i="1"/>
  <c r="M469" i="1"/>
  <c r="M470" i="1"/>
  <c r="M1282" i="1"/>
  <c r="M1283" i="1"/>
  <c r="M471" i="1"/>
  <c r="M472" i="1"/>
  <c r="M1439" i="1"/>
  <c r="M130" i="1"/>
  <c r="M1121" i="1"/>
  <c r="M621" i="1"/>
  <c r="M622" i="1"/>
  <c r="M788" i="1"/>
  <c r="M949" i="1"/>
  <c r="M623" i="1"/>
  <c r="M1284" i="1"/>
  <c r="M1285" i="1"/>
  <c r="M624" i="1"/>
  <c r="M1286" i="1"/>
  <c r="M473" i="1"/>
  <c r="M789" i="1"/>
  <c r="M1287" i="1"/>
  <c r="M131" i="1"/>
  <c r="M790" i="1"/>
  <c r="M625" i="1"/>
  <c r="M318" i="1"/>
  <c r="M474" i="1"/>
  <c r="M319" i="1"/>
  <c r="M1440" i="1"/>
  <c r="M132" i="1"/>
  <c r="M1441" i="1"/>
  <c r="M320" i="1"/>
  <c r="M1288" i="1"/>
  <c r="M1122" i="1"/>
  <c r="M321" i="1"/>
  <c r="M626" i="1"/>
  <c r="M475" i="1"/>
  <c r="M950" i="1"/>
  <c r="M791" i="1"/>
  <c r="M1289" i="1"/>
  <c r="M627" i="1"/>
  <c r="M1442" i="1"/>
  <c r="M1443" i="1"/>
  <c r="M1444" i="1"/>
  <c r="M476" i="1"/>
  <c r="M1445" i="1"/>
  <c r="M477" i="1"/>
  <c r="M133" i="1"/>
  <c r="M951" i="1"/>
  <c r="M952" i="1"/>
  <c r="M953" i="1"/>
  <c r="M1446" i="1"/>
  <c r="M792" i="1"/>
  <c r="M1123" i="1"/>
  <c r="M134" i="1"/>
  <c r="M954" i="1"/>
  <c r="M1124" i="1"/>
  <c r="M135" i="1"/>
  <c r="M322" i="1"/>
  <c r="M136" i="1"/>
  <c r="M955" i="1"/>
  <c r="M628" i="1"/>
  <c r="M1290" i="1"/>
  <c r="M1291" i="1"/>
  <c r="M629" i="1"/>
  <c r="M478" i="1"/>
  <c r="M956" i="1"/>
  <c r="M479" i="1"/>
  <c r="M957" i="1"/>
  <c r="M137" i="1"/>
  <c r="M630" i="1"/>
  <c r="M958" i="1"/>
  <c r="M480" i="1"/>
  <c r="M138" i="1"/>
  <c r="M631" i="1"/>
  <c r="M1447" i="1"/>
  <c r="M1292" i="1"/>
  <c r="M139" i="1"/>
  <c r="M959" i="1"/>
  <c r="M481" i="1"/>
  <c r="M1448" i="1"/>
  <c r="M793" i="1"/>
  <c r="M482" i="1"/>
  <c r="M1293" i="1"/>
  <c r="M632" i="1"/>
  <c r="M1449" i="1"/>
  <c r="M483" i="1"/>
  <c r="M323" i="1"/>
  <c r="M140" i="1"/>
  <c r="M1450" i="1"/>
  <c r="M794" i="1"/>
  <c r="M324" i="1"/>
  <c r="M141" i="1"/>
  <c r="M633" i="1"/>
  <c r="M142" i="1"/>
  <c r="M795" i="1"/>
  <c r="M960" i="1"/>
  <c r="M634" i="1"/>
  <c r="M325" i="1"/>
  <c r="M635" i="1"/>
  <c r="M961" i="1"/>
  <c r="M143" i="1"/>
  <c r="M796" i="1"/>
  <c r="M1125" i="1"/>
  <c r="M1451" i="1"/>
  <c r="M144" i="1"/>
  <c r="M962" i="1"/>
  <c r="M484" i="1"/>
  <c r="M963" i="1"/>
  <c r="M964" i="1"/>
  <c r="M636" i="1"/>
  <c r="M1452" i="1"/>
  <c r="M1126" i="1"/>
  <c r="M1453" i="1"/>
  <c r="M797" i="1"/>
  <c r="M326" i="1"/>
  <c r="M145" i="1"/>
  <c r="M146" i="1"/>
  <c r="M965" i="1"/>
  <c r="M147" i="1"/>
  <c r="M485" i="1"/>
  <c r="M966" i="1"/>
  <c r="M798" i="1"/>
  <c r="M1294" i="1"/>
  <c r="M486" i="1"/>
  <c r="M967" i="1"/>
  <c r="M148" i="1"/>
  <c r="M1127" i="1"/>
  <c r="M637" i="1"/>
  <c r="M799" i="1"/>
  <c r="M638" i="1"/>
  <c r="M639" i="1"/>
  <c r="M640" i="1"/>
  <c r="M800" i="1"/>
  <c r="M487" i="1"/>
  <c r="M968" i="1"/>
  <c r="M488" i="1"/>
  <c r="M1454" i="1"/>
  <c r="M1295" i="1"/>
  <c r="M327" i="1"/>
  <c r="M328" i="1"/>
  <c r="M329" i="1"/>
  <c r="M801" i="1"/>
  <c r="M1128" i="1"/>
  <c r="M330" i="1"/>
  <c r="M489" i="1"/>
  <c r="M149" i="1"/>
  <c r="M1129" i="1"/>
  <c r="M490" i="1"/>
  <c r="M1455" i="1"/>
  <c r="M802" i="1"/>
  <c r="M150" i="1"/>
  <c r="M331" i="1"/>
  <c r="M969" i="1"/>
  <c r="M1456" i="1"/>
  <c r="M1457" i="1"/>
  <c r="M970" i="1"/>
  <c r="M803" i="1"/>
  <c r="M151" i="1"/>
  <c r="M804" i="1"/>
  <c r="M152" i="1"/>
  <c r="M332" i="1"/>
  <c r="M333" i="1"/>
  <c r="M971" i="1"/>
  <c r="M972" i="1"/>
  <c r="M1130" i="1"/>
  <c r="M973" i="1"/>
  <c r="M153" i="1"/>
  <c r="M641" i="1"/>
  <c r="M491" i="1"/>
  <c r="M492" i="1"/>
  <c r="M974" i="1"/>
  <c r="M154" i="1"/>
  <c r="M1131" i="1"/>
  <c r="M155" i="1"/>
  <c r="M975" i="1"/>
  <c r="M1458" i="1"/>
  <c r="M976" i="1"/>
  <c r="M1459" i="1"/>
  <c r="M1460" i="1"/>
  <c r="M156" i="1"/>
  <c r="M1461" i="1"/>
  <c r="M1462" i="1"/>
  <c r="M157" i="1"/>
  <c r="M642" i="1"/>
  <c r="M334" i="1"/>
  <c r="M1463" i="1"/>
  <c r="M1296" i="1"/>
  <c r="M643" i="1"/>
  <c r="M493" i="1"/>
  <c r="M494" i="1"/>
  <c r="M335" i="1"/>
  <c r="M336" i="1"/>
  <c r="M977" i="1"/>
  <c r="M644" i="1"/>
  <c r="M645" i="1"/>
  <c r="M1297" i="1"/>
  <c r="M337" i="1"/>
  <c r="M646" i="1"/>
  <c r="M1464" i="1"/>
  <c r="M647" i="1"/>
  <c r="M805" i="1"/>
  <c r="M1132" i="1"/>
  <c r="M158" i="1"/>
  <c r="M648" i="1"/>
  <c r="M1298" i="1"/>
  <c r="M495" i="1"/>
  <c r="M1299" i="1"/>
  <c r="M159" i="1"/>
  <c r="M806" i="1"/>
  <c r="M338" i="1"/>
  <c r="M807" i="1"/>
  <c r="M978" i="1"/>
  <c r="M979" i="1"/>
  <c r="M496" i="1"/>
  <c r="M980" i="1"/>
  <c r="M1465" i="1"/>
  <c r="M981" i="1"/>
  <c r="M160" i="1"/>
  <c r="M497" i="1"/>
  <c r="M339" i="1"/>
  <c r="M808" i="1"/>
  <c r="M982" i="1"/>
  <c r="M1133" i="1"/>
  <c r="M1466" i="1"/>
  <c r="M1134" i="1"/>
  <c r="M649" i="1"/>
  <c r="M498" i="1"/>
  <c r="M650" i="1"/>
  <c r="M651" i="1"/>
  <c r="M983" i="1"/>
  <c r="M161" i="1"/>
  <c r="M340" i="1"/>
  <c r="M341" i="1"/>
  <c r="M809" i="1"/>
  <c r="M1135" i="1"/>
  <c r="M652" i="1"/>
  <c r="M162" i="1"/>
  <c r="M342" i="1"/>
  <c r="M499" i="1"/>
  <c r="M1136" i="1"/>
  <c r="M653" i="1"/>
  <c r="M500" i="1"/>
  <c r="M163" i="1"/>
  <c r="M984" i="1"/>
  <c r="M1137" i="1"/>
  <c r="M343" i="1"/>
  <c r="M164" i="1"/>
  <c r="M1138" i="1"/>
  <c r="M1467" i="1"/>
  <c r="M654" i="1"/>
  <c r="M1468" i="1"/>
  <c r="M810" i="1"/>
  <c r="M985" i="1"/>
  <c r="M655" i="1"/>
  <c r="M1139" i="1"/>
  <c r="M811" i="1"/>
  <c r="M501" i="1"/>
  <c r="M1469" i="1"/>
  <c r="M502" i="1"/>
  <c r="M1140" i="1"/>
  <c r="M1300" i="1"/>
  <c r="M1470" i="1"/>
  <c r="M1301" i="1"/>
  <c r="M656" i="1"/>
  <c r="M165" i="1"/>
  <c r="M986" i="1"/>
  <c r="M166" i="1"/>
  <c r="M344" i="1"/>
  <c r="M1141" i="1"/>
  <c r="M1471" i="1"/>
  <c r="M167" i="1"/>
  <c r="M1302" i="1"/>
  <c r="M345" i="1"/>
  <c r="M1142" i="1"/>
  <c r="M1472" i="1"/>
  <c r="M812" i="1"/>
  <c r="M813" i="1"/>
  <c r="M1303" i="1"/>
  <c r="M1473" i="1"/>
  <c r="M168" i="1"/>
  <c r="M1474" i="1"/>
  <c r="M1143" i="1"/>
  <c r="M503" i="1"/>
  <c r="M1475" i="1"/>
  <c r="M987" i="1"/>
  <c r="M988" i="1"/>
  <c r="M346" i="1"/>
  <c r="M169" i="1"/>
  <c r="M989" i="1"/>
  <c r="M814" i="1"/>
  <c r="M990" i="1"/>
  <c r="M347" i="1"/>
  <c r="M504" i="1"/>
  <c r="M815" i="1"/>
  <c r="M348" i="1"/>
  <c r="M816" i="1"/>
  <c r="M817" i="1"/>
  <c r="M349" i="1"/>
  <c r="M991" i="1"/>
  <c r="M657" i="1"/>
  <c r="M658" i="1"/>
  <c r="M505" i="1"/>
  <c r="M818" i="1"/>
  <c r="M659" i="1"/>
  <c r="M819" i="1"/>
  <c r="M170" i="1"/>
  <c r="M1144" i="1"/>
  <c r="M350" i="1"/>
  <c r="M660" i="1"/>
  <c r="M661" i="1"/>
  <c r="M992" i="1"/>
  <c r="M1304" i="1"/>
  <c r="M662" i="1"/>
  <c r="M171" i="1"/>
  <c r="M1305" i="1"/>
  <c r="M1306" i="1"/>
  <c r="M506" i="1"/>
  <c r="M1307" i="1"/>
  <c r="M351" i="1"/>
  <c r="M1476" i="1"/>
  <c r="M663" i="1"/>
  <c r="M1308" i="1"/>
  <c r="M664" i="1"/>
  <c r="M665" i="1"/>
  <c r="M1145" i="1"/>
  <c r="M1146" i="1"/>
  <c r="M1147" i="1"/>
  <c r="M172" i="1"/>
  <c r="M173" i="1"/>
  <c r="M993" i="1"/>
  <c r="M666" i="1"/>
  <c r="M1477" i="1"/>
  <c r="M507" i="1"/>
  <c r="M1309" i="1"/>
  <c r="M1148" i="1"/>
  <c r="M508" i="1"/>
  <c r="M820" i="1"/>
  <c r="M994" i="1"/>
  <c r="M995" i="1"/>
  <c r="M1478" i="1"/>
  <c r="M509" i="1"/>
  <c r="M667" i="1"/>
  <c r="M352" i="1"/>
  <c r="M353" i="1"/>
  <c r="M1310" i="1"/>
  <c r="M668" i="1"/>
  <c r="M821" i="1"/>
  <c r="M174" i="1"/>
  <c r="M1311" i="1"/>
  <c r="M822" i="1"/>
  <c r="M823" i="1"/>
  <c r="M354" i="1"/>
  <c r="M1479" i="1"/>
  <c r="M175" i="1"/>
  <c r="M176" i="1"/>
  <c r="M824" i="1"/>
  <c r="M510" i="1"/>
  <c r="M511" i="1"/>
  <c r="M355" i="1"/>
  <c r="M1312" i="1"/>
  <c r="M512" i="1"/>
  <c r="M1480" i="1"/>
  <c r="M1149" i="1"/>
  <c r="M825" i="1"/>
  <c r="M1313" i="1"/>
  <c r="M177" i="1"/>
  <c r="M178" i="1"/>
  <c r="M996" i="1"/>
  <c r="M1314" i="1"/>
  <c r="M356" i="1"/>
  <c r="M357" i="1"/>
  <c r="M1150" i="1"/>
  <c r="M1315" i="1"/>
  <c r="M179" i="1"/>
  <c r="M997" i="1"/>
  <c r="M1316" i="1"/>
  <c r="M513" i="1"/>
  <c r="M998" i="1"/>
  <c r="M826" i="1"/>
  <c r="M1317" i="1"/>
  <c r="M999" i="1"/>
  <c r="M827" i="1"/>
  <c r="M1318" i="1"/>
  <c r="M358" i="1"/>
  <c r="M514" i="1"/>
  <c r="M515" i="1"/>
  <c r="M516" i="1"/>
  <c r="M180" i="1"/>
  <c r="M1000" i="1"/>
  <c r="M1481" i="1"/>
  <c r="M669" i="1"/>
  <c r="M1482" i="1"/>
  <c r="M1483" i="1"/>
  <c r="M1319" i="1"/>
  <c r="M181" i="1"/>
  <c r="M359" i="1"/>
  <c r="M517" i="1"/>
  <c r="M182" i="1"/>
  <c r="M670" i="1"/>
  <c r="M828" i="1"/>
  <c r="M1484" i="1"/>
  <c r="M1151" i="1"/>
  <c r="M183" i="1"/>
  <c r="M1320" i="1"/>
  <c r="M671" i="1"/>
  <c r="M184" i="1"/>
  <c r="M829" i="1"/>
  <c r="M830" i="1"/>
  <c r="M1152" i="1"/>
  <c r="M518" i="1"/>
  <c r="M360" i="1"/>
  <c r="M831" i="1"/>
  <c r="M1153" i="1"/>
  <c r="M1154" i="1"/>
  <c r="M832" i="1"/>
  <c r="M185" i="1"/>
  <c r="M361" i="1"/>
  <c r="M833" i="1"/>
  <c r="M672" i="1"/>
  <c r="M1321" i="1"/>
  <c r="M1001" i="1"/>
  <c r="M1155" i="1"/>
  <c r="M834" i="1"/>
  <c r="M186" i="1"/>
  <c r="M362" i="1"/>
  <c r="M1485" i="1"/>
  <c r="M1486" i="1"/>
  <c r="M187" i="1"/>
  <c r="M519" i="1"/>
  <c r="M188" i="1"/>
  <c r="M363" i="1"/>
  <c r="M835" i="1"/>
  <c r="M836" i="1"/>
  <c r="M1156" i="1"/>
  <c r="M1322" i="1"/>
  <c r="M1323" i="1"/>
  <c r="M837" i="1"/>
  <c r="M1324" i="1"/>
  <c r="M1002" i="1"/>
  <c r="M520" i="1"/>
  <c r="M673" i="1"/>
  <c r="M838" i="1"/>
  <c r="M1157" i="1"/>
  <c r="M1487" i="1"/>
  <c r="M674" i="1"/>
  <c r="M1003" i="1"/>
  <c r="M189" i="1"/>
  <c r="M190" i="1"/>
  <c r="M1004" i="1"/>
  <c r="M675" i="1"/>
  <c r="M191" i="1"/>
  <c r="M676" i="1"/>
  <c r="M1488" i="1"/>
  <c r="M521" i="1"/>
  <c r="M839" i="1"/>
  <c r="M192" i="1"/>
  <c r="M1489" i="1"/>
  <c r="M1005" i="1"/>
  <c r="M1490" i="1"/>
  <c r="M364" i="1"/>
  <c r="M365" i="1"/>
  <c r="M677" i="1"/>
  <c r="L733" i="1"/>
  <c r="L139" i="1"/>
  <c r="L967" i="1"/>
  <c r="L1298" i="1"/>
  <c r="L985" i="1"/>
  <c r="L507" i="1"/>
  <c r="I840" i="1"/>
  <c r="L840" i="1" s="1"/>
  <c r="I366" i="1"/>
  <c r="L366" i="1" s="1"/>
  <c r="I678" i="1"/>
  <c r="L678" i="1" s="1"/>
  <c r="I193" i="1"/>
  <c r="L193" i="1" s="1"/>
  <c r="I1006" i="1"/>
  <c r="L1006" i="1" s="1"/>
  <c r="I194" i="1"/>
  <c r="L194" i="1" s="1"/>
  <c r="I367" i="1"/>
  <c r="L367" i="1" s="1"/>
  <c r="I522" i="1"/>
  <c r="L522" i="1" s="1"/>
  <c r="I523" i="1"/>
  <c r="L523" i="1" s="1"/>
  <c r="I841" i="1"/>
  <c r="L841" i="1" s="1"/>
  <c r="I195" i="1"/>
  <c r="L195" i="1" s="1"/>
  <c r="I1325" i="1"/>
  <c r="L1325" i="1" s="1"/>
  <c r="I842" i="1"/>
  <c r="L842" i="1" s="1"/>
  <c r="I368" i="1"/>
  <c r="L368" i="1" s="1"/>
  <c r="I1326" i="1"/>
  <c r="L1326" i="1" s="1"/>
  <c r="I1158" i="1"/>
  <c r="L1158" i="1" s="1"/>
  <c r="I1159" i="1"/>
  <c r="L1159" i="1" s="1"/>
  <c r="I524" i="1"/>
  <c r="L524" i="1" s="1"/>
  <c r="I1160" i="1"/>
  <c r="L1160" i="1" s="1"/>
  <c r="I679" i="1"/>
  <c r="L679" i="1" s="1"/>
  <c r="I369" i="1"/>
  <c r="L369" i="1" s="1"/>
  <c r="I680" i="1"/>
  <c r="L680" i="1" s="1"/>
  <c r="I3" i="1"/>
  <c r="L3" i="1" s="1"/>
  <c r="I843" i="1"/>
  <c r="L843" i="1" s="1"/>
  <c r="I1327" i="1"/>
  <c r="L1327" i="1" s="1"/>
  <c r="I1161" i="1"/>
  <c r="L1161" i="1" s="1"/>
  <c r="I1162" i="1"/>
  <c r="L1162" i="1" s="1"/>
  <c r="I525" i="1"/>
  <c r="L525" i="1" s="1"/>
  <c r="I681" i="1"/>
  <c r="L681" i="1" s="1"/>
  <c r="I1163" i="1"/>
  <c r="L1163" i="1" s="1"/>
  <c r="I526" i="1"/>
  <c r="L526" i="1" s="1"/>
  <c r="I682" i="1"/>
  <c r="L682" i="1" s="1"/>
  <c r="I1007" i="1"/>
  <c r="L1007" i="1" s="1"/>
  <c r="I1328" i="1"/>
  <c r="L1328" i="1" s="1"/>
  <c r="I844" i="1"/>
  <c r="L844" i="1" s="1"/>
  <c r="I683" i="1"/>
  <c r="L683" i="1" s="1"/>
  <c r="I1008" i="1"/>
  <c r="L1008" i="1" s="1"/>
  <c r="I527" i="1"/>
  <c r="L527" i="1" s="1"/>
  <c r="I845" i="1"/>
  <c r="L845" i="1" s="1"/>
  <c r="I196" i="1"/>
  <c r="L196" i="1" s="1"/>
  <c r="I684" i="1"/>
  <c r="L684" i="1" s="1"/>
  <c r="I528" i="1"/>
  <c r="L528" i="1" s="1"/>
  <c r="I1164" i="1"/>
  <c r="L1164" i="1" s="1"/>
  <c r="I529" i="1"/>
  <c r="L529" i="1" s="1"/>
  <c r="I370" i="1"/>
  <c r="L370" i="1" s="1"/>
  <c r="I371" i="1"/>
  <c r="L371" i="1" s="1"/>
  <c r="I1329" i="1"/>
  <c r="L1329" i="1" s="1"/>
  <c r="I4" i="1"/>
  <c r="L4" i="1" s="1"/>
  <c r="I5" i="1"/>
  <c r="L5" i="1" s="1"/>
  <c r="I1165" i="1"/>
  <c r="L1165" i="1" s="1"/>
  <c r="I372" i="1"/>
  <c r="L372" i="1" s="1"/>
  <c r="I6" i="1"/>
  <c r="L6" i="1" s="1"/>
  <c r="I1330" i="1"/>
  <c r="L1330" i="1" s="1"/>
  <c r="I7" i="1"/>
  <c r="L7" i="1" s="1"/>
  <c r="I373" i="1"/>
  <c r="L373" i="1" s="1"/>
  <c r="I1166" i="1"/>
  <c r="L1166" i="1" s="1"/>
  <c r="I846" i="1"/>
  <c r="L846" i="1" s="1"/>
  <c r="I1009" i="1"/>
  <c r="L1009" i="1" s="1"/>
  <c r="I1010" i="1"/>
  <c r="L1010" i="1" s="1"/>
  <c r="I1167" i="1"/>
  <c r="L1167" i="1" s="1"/>
  <c r="I530" i="1"/>
  <c r="L530" i="1" s="1"/>
  <c r="I374" i="1"/>
  <c r="L374" i="1" s="1"/>
  <c r="I685" i="1"/>
  <c r="L685" i="1" s="1"/>
  <c r="I686" i="1"/>
  <c r="L686" i="1" s="1"/>
  <c r="I1168" i="1"/>
  <c r="L1168" i="1" s="1"/>
  <c r="I847" i="1"/>
  <c r="L847" i="1" s="1"/>
  <c r="I531" i="1"/>
  <c r="L531" i="1" s="1"/>
  <c r="I1331" i="1"/>
  <c r="L1331" i="1" s="1"/>
  <c r="I1169" i="1"/>
  <c r="L1169" i="1" s="1"/>
  <c r="I8" i="1"/>
  <c r="L8" i="1" s="1"/>
  <c r="I1170" i="1"/>
  <c r="L1170" i="1" s="1"/>
  <c r="I1011" i="1"/>
  <c r="L1011" i="1" s="1"/>
  <c r="I375" i="1"/>
  <c r="L375" i="1" s="1"/>
  <c r="I197" i="1"/>
  <c r="L197" i="1" s="1"/>
  <c r="I1171" i="1"/>
  <c r="L1171" i="1" s="1"/>
  <c r="I1172" i="1"/>
  <c r="L1172" i="1" s="1"/>
  <c r="I376" i="1"/>
  <c r="L376" i="1" s="1"/>
  <c r="I1332" i="1"/>
  <c r="L1332" i="1" s="1"/>
  <c r="I687" i="1"/>
  <c r="L687" i="1" s="1"/>
  <c r="I198" i="1"/>
  <c r="L198" i="1" s="1"/>
  <c r="I532" i="1"/>
  <c r="L532" i="1" s="1"/>
  <c r="I1012" i="1"/>
  <c r="L1012" i="1" s="1"/>
  <c r="I848" i="1"/>
  <c r="L848" i="1" s="1"/>
  <c r="I688" i="1"/>
  <c r="L688" i="1" s="1"/>
  <c r="I1173" i="1"/>
  <c r="L1173" i="1" s="1"/>
  <c r="I533" i="1"/>
  <c r="L533" i="1" s="1"/>
  <c r="I689" i="1"/>
  <c r="L689" i="1" s="1"/>
  <c r="I199" i="1"/>
  <c r="L199" i="1" s="1"/>
  <c r="I1333" i="1"/>
  <c r="L1333" i="1" s="1"/>
  <c r="I534" i="1"/>
  <c r="L534" i="1" s="1"/>
  <c r="I200" i="1"/>
  <c r="L200" i="1" s="1"/>
  <c r="I849" i="1"/>
  <c r="L849" i="1" s="1"/>
  <c r="I1013" i="1"/>
  <c r="L1013" i="1" s="1"/>
  <c r="I9" i="1"/>
  <c r="L9" i="1" s="1"/>
  <c r="I690" i="1"/>
  <c r="L690" i="1" s="1"/>
  <c r="I535" i="1"/>
  <c r="L535" i="1" s="1"/>
  <c r="I691" i="1"/>
  <c r="L691" i="1" s="1"/>
  <c r="I201" i="1"/>
  <c r="L201" i="1" s="1"/>
  <c r="I692" i="1"/>
  <c r="L692" i="1" s="1"/>
  <c r="I1174" i="1"/>
  <c r="L1174" i="1" s="1"/>
  <c r="I1014" i="1"/>
  <c r="L1014" i="1" s="1"/>
  <c r="I202" i="1"/>
  <c r="L202" i="1" s="1"/>
  <c r="I1334" i="1"/>
  <c r="L1334" i="1" s="1"/>
  <c r="I1015" i="1"/>
  <c r="L1015" i="1" s="1"/>
  <c r="I203" i="1"/>
  <c r="L203" i="1" s="1"/>
  <c r="I850" i="1"/>
  <c r="L850" i="1" s="1"/>
  <c r="I204" i="1"/>
  <c r="L204" i="1" s="1"/>
  <c r="I693" i="1"/>
  <c r="L693" i="1" s="1"/>
  <c r="I1175" i="1"/>
  <c r="L1175" i="1" s="1"/>
  <c r="I10" i="1"/>
  <c r="L10" i="1" s="1"/>
  <c r="I205" i="1"/>
  <c r="L205" i="1" s="1"/>
  <c r="I206" i="1"/>
  <c r="L206" i="1" s="1"/>
  <c r="I1335" i="1"/>
  <c r="L1335" i="1" s="1"/>
  <c r="I1336" i="1"/>
  <c r="L1336" i="1" s="1"/>
  <c r="I1016" i="1"/>
  <c r="L1016" i="1" s="1"/>
  <c r="I851" i="1"/>
  <c r="L851" i="1" s="1"/>
  <c r="I852" i="1"/>
  <c r="L852" i="1" s="1"/>
  <c r="I1337" i="1"/>
  <c r="L1337" i="1" s="1"/>
  <c r="I1338" i="1"/>
  <c r="L1338" i="1" s="1"/>
  <c r="I377" i="1"/>
  <c r="L377" i="1" s="1"/>
  <c r="I853" i="1"/>
  <c r="L853" i="1" s="1"/>
  <c r="I854" i="1"/>
  <c r="L854" i="1" s="1"/>
  <c r="I1017" i="1"/>
  <c r="L1017" i="1" s="1"/>
  <c r="I378" i="1"/>
  <c r="L378" i="1" s="1"/>
  <c r="I694" i="1"/>
  <c r="L694" i="1" s="1"/>
  <c r="I1018" i="1"/>
  <c r="L1018" i="1" s="1"/>
  <c r="I379" i="1"/>
  <c r="L379" i="1" s="1"/>
  <c r="I1339" i="1"/>
  <c r="L1339" i="1" s="1"/>
  <c r="I1340" i="1"/>
  <c r="L1340" i="1" s="1"/>
  <c r="I380" i="1"/>
  <c r="L380" i="1" s="1"/>
  <c r="I207" i="1"/>
  <c r="L207" i="1" s="1"/>
  <c r="I1019" i="1"/>
  <c r="L1019" i="1" s="1"/>
  <c r="I855" i="1"/>
  <c r="L855" i="1" s="1"/>
  <c r="I208" i="1"/>
  <c r="L208" i="1" s="1"/>
  <c r="I11" i="1"/>
  <c r="L11" i="1" s="1"/>
  <c r="I1341" i="1"/>
  <c r="L1341" i="1" s="1"/>
  <c r="I1176" i="1"/>
  <c r="L1176" i="1" s="1"/>
  <c r="I12" i="1"/>
  <c r="L12" i="1" s="1"/>
  <c r="I1020" i="1"/>
  <c r="L1020" i="1" s="1"/>
  <c r="I856" i="1"/>
  <c r="L856" i="1" s="1"/>
  <c r="I857" i="1"/>
  <c r="L857" i="1" s="1"/>
  <c r="I1021" i="1"/>
  <c r="L1021" i="1" s="1"/>
  <c r="I1177" i="1"/>
  <c r="L1177" i="1" s="1"/>
  <c r="I13" i="1"/>
  <c r="L13" i="1" s="1"/>
  <c r="I1022" i="1"/>
  <c r="L1022" i="1" s="1"/>
  <c r="I209" i="1"/>
  <c r="L209" i="1" s="1"/>
  <c r="I536" i="1"/>
  <c r="L536" i="1" s="1"/>
  <c r="I1342" i="1"/>
  <c r="L1342" i="1" s="1"/>
  <c r="I1343" i="1"/>
  <c r="L1343" i="1" s="1"/>
  <c r="I858" i="1"/>
  <c r="L858" i="1" s="1"/>
  <c r="I210" i="1"/>
  <c r="L210" i="1" s="1"/>
  <c r="I381" i="1"/>
  <c r="L381" i="1" s="1"/>
  <c r="I537" i="1"/>
  <c r="L537" i="1" s="1"/>
  <c r="I859" i="1"/>
  <c r="L859" i="1" s="1"/>
  <c r="I1344" i="1"/>
  <c r="L1344" i="1" s="1"/>
  <c r="I695" i="1"/>
  <c r="L695" i="1" s="1"/>
  <c r="I382" i="1"/>
  <c r="L382" i="1" s="1"/>
  <c r="I14" i="1"/>
  <c r="L14" i="1" s="1"/>
  <c r="I538" i="1"/>
  <c r="L538" i="1" s="1"/>
  <c r="I860" i="1"/>
  <c r="L860" i="1" s="1"/>
  <c r="I1023" i="1"/>
  <c r="L1023" i="1" s="1"/>
  <c r="I15" i="1"/>
  <c r="L15" i="1" s="1"/>
  <c r="I1178" i="1"/>
  <c r="L1178" i="1" s="1"/>
  <c r="I16" i="1"/>
  <c r="L16" i="1" s="1"/>
  <c r="I1179" i="1"/>
  <c r="L1179" i="1" s="1"/>
  <c r="I539" i="1"/>
  <c r="L539" i="1" s="1"/>
  <c r="I383" i="1"/>
  <c r="L383" i="1" s="1"/>
  <c r="I861" i="1"/>
  <c r="L861" i="1" s="1"/>
  <c r="I384" i="1"/>
  <c r="L384" i="1" s="1"/>
  <c r="I696" i="1"/>
  <c r="L696" i="1" s="1"/>
  <c r="I697" i="1"/>
  <c r="L697" i="1" s="1"/>
  <c r="I17" i="1"/>
  <c r="L17" i="1" s="1"/>
  <c r="I385" i="1"/>
  <c r="L385" i="1" s="1"/>
  <c r="I698" i="1"/>
  <c r="L698" i="1" s="1"/>
  <c r="I699" i="1"/>
  <c r="L699" i="1" s="1"/>
  <c r="I1345" i="1"/>
  <c r="L1345" i="1" s="1"/>
  <c r="I386" i="1"/>
  <c r="L386" i="1" s="1"/>
  <c r="I1346" i="1"/>
  <c r="L1346" i="1" s="1"/>
  <c r="I211" i="1"/>
  <c r="L211" i="1" s="1"/>
  <c r="I18" i="1"/>
  <c r="L18" i="1" s="1"/>
  <c r="I1347" i="1"/>
  <c r="L1347" i="1" s="1"/>
  <c r="I19" i="1"/>
  <c r="L19" i="1" s="1"/>
  <c r="I387" i="1"/>
  <c r="L387" i="1" s="1"/>
  <c r="I1024" i="1"/>
  <c r="L1024" i="1" s="1"/>
  <c r="I700" i="1"/>
  <c r="L700" i="1" s="1"/>
  <c r="I540" i="1"/>
  <c r="L540" i="1" s="1"/>
  <c r="I862" i="1"/>
  <c r="L862" i="1" s="1"/>
  <c r="I1348" i="1"/>
  <c r="L1348" i="1" s="1"/>
  <c r="I541" i="1"/>
  <c r="L541" i="1" s="1"/>
  <c r="I212" i="1"/>
  <c r="L212" i="1" s="1"/>
  <c r="I213" i="1"/>
  <c r="L213" i="1" s="1"/>
  <c r="I863" i="1"/>
  <c r="L863" i="1" s="1"/>
  <c r="I701" i="1"/>
  <c r="L701" i="1" s="1"/>
  <c r="I1349" i="1"/>
  <c r="L1349" i="1" s="1"/>
  <c r="I214" i="1"/>
  <c r="L214" i="1" s="1"/>
  <c r="I1180" i="1"/>
  <c r="L1180" i="1" s="1"/>
  <c r="I1025" i="1"/>
  <c r="L1025" i="1" s="1"/>
  <c r="I215" i="1"/>
  <c r="L215" i="1" s="1"/>
  <c r="I20" i="1"/>
  <c r="L20" i="1" s="1"/>
  <c r="I702" i="1"/>
  <c r="L702" i="1" s="1"/>
  <c r="I388" i="1"/>
  <c r="L388" i="1" s="1"/>
  <c r="I21" i="1"/>
  <c r="L21" i="1" s="1"/>
  <c r="I216" i="1"/>
  <c r="L216" i="1" s="1"/>
  <c r="I217" i="1"/>
  <c r="L217" i="1" s="1"/>
  <c r="I1026" i="1"/>
  <c r="L1026" i="1" s="1"/>
  <c r="I542" i="1"/>
  <c r="L542" i="1" s="1"/>
  <c r="I218" i="1"/>
  <c r="L218" i="1" s="1"/>
  <c r="I389" i="1"/>
  <c r="L389" i="1" s="1"/>
  <c r="I219" i="1"/>
  <c r="L219" i="1" s="1"/>
  <c r="I1350" i="1"/>
  <c r="L1350" i="1" s="1"/>
  <c r="I543" i="1"/>
  <c r="L543" i="1" s="1"/>
  <c r="I864" i="1"/>
  <c r="L864" i="1" s="1"/>
  <c r="I703" i="1"/>
  <c r="L703" i="1" s="1"/>
  <c r="I1181" i="1"/>
  <c r="L1181" i="1" s="1"/>
  <c r="I544" i="1"/>
  <c r="L544" i="1" s="1"/>
  <c r="I1027" i="1"/>
  <c r="L1027" i="1" s="1"/>
  <c r="I704" i="1"/>
  <c r="L704" i="1" s="1"/>
  <c r="I22" i="1"/>
  <c r="L22" i="1" s="1"/>
  <c r="I705" i="1"/>
  <c r="L705" i="1" s="1"/>
  <c r="I23" i="1"/>
  <c r="L23" i="1" s="1"/>
  <c r="I24" i="1"/>
  <c r="L24" i="1" s="1"/>
  <c r="I220" i="1"/>
  <c r="L220" i="1" s="1"/>
  <c r="I1028" i="1"/>
  <c r="L1028" i="1" s="1"/>
  <c r="I1351" i="1"/>
  <c r="L1351" i="1" s="1"/>
  <c r="I545" i="1"/>
  <c r="L545" i="1" s="1"/>
  <c r="I1029" i="1"/>
  <c r="L1029" i="1" s="1"/>
  <c r="I706" i="1"/>
  <c r="L706" i="1" s="1"/>
  <c r="I865" i="1"/>
  <c r="L865" i="1" s="1"/>
  <c r="I25" i="1"/>
  <c r="L25" i="1" s="1"/>
  <c r="I221" i="1"/>
  <c r="L221" i="1" s="1"/>
  <c r="I1030" i="1"/>
  <c r="L1030" i="1" s="1"/>
  <c r="I866" i="1"/>
  <c r="L866" i="1" s="1"/>
  <c r="I1031" i="1"/>
  <c r="L1031" i="1" s="1"/>
  <c r="I1352" i="1"/>
  <c r="L1352" i="1" s="1"/>
  <c r="I546" i="1"/>
  <c r="L546" i="1" s="1"/>
  <c r="I390" i="1"/>
  <c r="L390" i="1" s="1"/>
  <c r="I1032" i="1"/>
  <c r="L1032" i="1" s="1"/>
  <c r="I547" i="1"/>
  <c r="L547" i="1" s="1"/>
  <c r="I26" i="1"/>
  <c r="L26" i="1" s="1"/>
  <c r="I1182" i="1"/>
  <c r="L1182" i="1" s="1"/>
  <c r="I1033" i="1"/>
  <c r="L1033" i="1" s="1"/>
  <c r="I222" i="1"/>
  <c r="L222" i="1" s="1"/>
  <c r="I391" i="1"/>
  <c r="L391" i="1" s="1"/>
  <c r="I392" i="1"/>
  <c r="L392" i="1" s="1"/>
  <c r="I1353" i="1"/>
  <c r="L1353" i="1" s="1"/>
  <c r="I223" i="1"/>
  <c r="L223" i="1" s="1"/>
  <c r="I27" i="1"/>
  <c r="L27" i="1" s="1"/>
  <c r="I224" i="1"/>
  <c r="L224" i="1" s="1"/>
  <c r="I548" i="1"/>
  <c r="L548" i="1" s="1"/>
  <c r="I225" i="1"/>
  <c r="L225" i="1" s="1"/>
  <c r="I28" i="1"/>
  <c r="L28" i="1" s="1"/>
  <c r="I1183" i="1"/>
  <c r="L1183" i="1" s="1"/>
  <c r="I226" i="1"/>
  <c r="L226" i="1" s="1"/>
  <c r="I867" i="1"/>
  <c r="L867" i="1" s="1"/>
  <c r="I868" i="1"/>
  <c r="L868" i="1" s="1"/>
  <c r="I227" i="1"/>
  <c r="L227" i="1" s="1"/>
  <c r="I707" i="1"/>
  <c r="L707" i="1" s="1"/>
  <c r="I869" i="1"/>
  <c r="L869" i="1" s="1"/>
  <c r="I393" i="1"/>
  <c r="L393" i="1" s="1"/>
  <c r="I1034" i="1"/>
  <c r="L1034" i="1" s="1"/>
  <c r="I870" i="1"/>
  <c r="L870" i="1" s="1"/>
  <c r="I549" i="1"/>
  <c r="L549" i="1" s="1"/>
  <c r="I29" i="1"/>
  <c r="L29" i="1" s="1"/>
  <c r="I550" i="1"/>
  <c r="L550" i="1" s="1"/>
  <c r="I1035" i="1"/>
  <c r="L1035" i="1" s="1"/>
  <c r="I228" i="1"/>
  <c r="L228" i="1" s="1"/>
  <c r="I229" i="1"/>
  <c r="L229" i="1" s="1"/>
  <c r="I871" i="1"/>
  <c r="L871" i="1" s="1"/>
  <c r="I230" i="1"/>
  <c r="L230" i="1" s="1"/>
  <c r="I551" i="1"/>
  <c r="L551" i="1" s="1"/>
  <c r="I552" i="1"/>
  <c r="L552" i="1" s="1"/>
  <c r="I708" i="1"/>
  <c r="L708" i="1" s="1"/>
  <c r="I1036" i="1"/>
  <c r="L1036" i="1" s="1"/>
  <c r="I553" i="1"/>
  <c r="L553" i="1" s="1"/>
  <c r="I1354" i="1"/>
  <c r="L1354" i="1" s="1"/>
  <c r="I554" i="1"/>
  <c r="L554" i="1" s="1"/>
  <c r="I1184" i="1"/>
  <c r="L1184" i="1" s="1"/>
  <c r="I709" i="1"/>
  <c r="L709" i="1" s="1"/>
  <c r="I710" i="1"/>
  <c r="L710" i="1" s="1"/>
  <c r="I394" i="1"/>
  <c r="L394" i="1" s="1"/>
  <c r="I1355" i="1"/>
  <c r="L1355" i="1" s="1"/>
  <c r="I711" i="1"/>
  <c r="L711" i="1" s="1"/>
  <c r="I1037" i="1"/>
  <c r="L1037" i="1" s="1"/>
  <c r="I395" i="1"/>
  <c r="L395" i="1" s="1"/>
  <c r="I1038" i="1"/>
  <c r="L1038" i="1" s="1"/>
  <c r="I231" i="1"/>
  <c r="L231" i="1" s="1"/>
  <c r="I555" i="1"/>
  <c r="L555" i="1" s="1"/>
  <c r="I1039" i="1"/>
  <c r="L1039" i="1" s="1"/>
  <c r="I1185" i="1"/>
  <c r="L1185" i="1" s="1"/>
  <c r="I232" i="1"/>
  <c r="L232" i="1" s="1"/>
  <c r="I872" i="1"/>
  <c r="L872" i="1" s="1"/>
  <c r="I30" i="1"/>
  <c r="L30" i="1" s="1"/>
  <c r="I31" i="1"/>
  <c r="L31" i="1" s="1"/>
  <c r="I396" i="1"/>
  <c r="L396" i="1" s="1"/>
  <c r="I556" i="1"/>
  <c r="L556" i="1" s="1"/>
  <c r="I712" i="1"/>
  <c r="L712" i="1" s="1"/>
  <c r="I713" i="1"/>
  <c r="L713" i="1" s="1"/>
  <c r="I714" i="1"/>
  <c r="L714" i="1" s="1"/>
  <c r="I1356" i="1"/>
  <c r="L1356" i="1" s="1"/>
  <c r="I233" i="1"/>
  <c r="L233" i="1" s="1"/>
  <c r="I1040" i="1"/>
  <c r="L1040" i="1" s="1"/>
  <c r="I557" i="1"/>
  <c r="L557" i="1" s="1"/>
  <c r="I715" i="1"/>
  <c r="L715" i="1" s="1"/>
  <c r="I558" i="1"/>
  <c r="L558" i="1" s="1"/>
  <c r="I234" i="1"/>
  <c r="L234" i="1" s="1"/>
  <c r="I235" i="1"/>
  <c r="L235" i="1" s="1"/>
  <c r="I32" i="1"/>
  <c r="L32" i="1" s="1"/>
  <c r="I1041" i="1"/>
  <c r="L1041" i="1" s="1"/>
  <c r="I1357" i="1"/>
  <c r="L1357" i="1" s="1"/>
  <c r="I1358" i="1"/>
  <c r="L1358" i="1" s="1"/>
  <c r="I716" i="1"/>
  <c r="L716" i="1" s="1"/>
  <c r="I397" i="1"/>
  <c r="L397" i="1" s="1"/>
  <c r="I236" i="1"/>
  <c r="L236" i="1" s="1"/>
  <c r="I1186" i="1"/>
  <c r="L1186" i="1" s="1"/>
  <c r="I237" i="1"/>
  <c r="L237" i="1" s="1"/>
  <c r="I398" i="1"/>
  <c r="L398" i="1" s="1"/>
  <c r="I873" i="1"/>
  <c r="L873" i="1" s="1"/>
  <c r="I33" i="1"/>
  <c r="L33" i="1" s="1"/>
  <c r="I1187" i="1"/>
  <c r="L1187" i="1" s="1"/>
  <c r="I1042" i="1"/>
  <c r="L1042" i="1" s="1"/>
  <c r="I238" i="1"/>
  <c r="L238" i="1" s="1"/>
  <c r="I1188" i="1"/>
  <c r="L1188" i="1" s="1"/>
  <c r="I1043" i="1"/>
  <c r="L1043" i="1" s="1"/>
  <c r="I399" i="1"/>
  <c r="L399" i="1" s="1"/>
  <c r="I1359" i="1"/>
  <c r="L1359" i="1" s="1"/>
  <c r="I559" i="1"/>
  <c r="L559" i="1" s="1"/>
  <c r="I874" i="1"/>
  <c r="L874" i="1" s="1"/>
  <c r="I875" i="1"/>
  <c r="L875" i="1" s="1"/>
  <c r="I1189" i="1"/>
  <c r="L1189" i="1" s="1"/>
  <c r="I1044" i="1"/>
  <c r="L1044" i="1" s="1"/>
  <c r="I1045" i="1"/>
  <c r="L1045" i="1" s="1"/>
  <c r="I1190" i="1"/>
  <c r="L1190" i="1" s="1"/>
  <c r="I1360" i="1"/>
  <c r="L1360" i="1" s="1"/>
  <c r="I1361" i="1"/>
  <c r="L1361" i="1" s="1"/>
  <c r="I876" i="1"/>
  <c r="L876" i="1" s="1"/>
  <c r="I877" i="1"/>
  <c r="L877" i="1" s="1"/>
  <c r="I1362" i="1"/>
  <c r="L1362" i="1" s="1"/>
  <c r="I878" i="1"/>
  <c r="L878" i="1" s="1"/>
  <c r="I1046" i="1"/>
  <c r="L1046" i="1" s="1"/>
  <c r="I1047" i="1"/>
  <c r="L1047" i="1" s="1"/>
  <c r="I560" i="1"/>
  <c r="L560" i="1" s="1"/>
  <c r="I1048" i="1"/>
  <c r="L1048" i="1" s="1"/>
  <c r="I239" i="1"/>
  <c r="L239" i="1" s="1"/>
  <c r="I1191" i="1"/>
  <c r="L1191" i="1" s="1"/>
  <c r="I717" i="1"/>
  <c r="L717" i="1" s="1"/>
  <c r="I1192" i="1"/>
  <c r="L1192" i="1" s="1"/>
  <c r="I879" i="1"/>
  <c r="L879" i="1" s="1"/>
  <c r="I1049" i="1"/>
  <c r="L1049" i="1" s="1"/>
  <c r="I561" i="1"/>
  <c r="L561" i="1" s="1"/>
  <c r="I562" i="1"/>
  <c r="L562" i="1" s="1"/>
  <c r="I34" i="1"/>
  <c r="L34" i="1" s="1"/>
  <c r="I1363" i="1"/>
  <c r="L1363" i="1" s="1"/>
  <c r="I400" i="1"/>
  <c r="L400" i="1" s="1"/>
  <c r="I1193" i="1"/>
  <c r="L1193" i="1" s="1"/>
  <c r="I718" i="1"/>
  <c r="L718" i="1" s="1"/>
  <c r="I563" i="1"/>
  <c r="L563" i="1" s="1"/>
  <c r="I719" i="1"/>
  <c r="L719" i="1" s="1"/>
  <c r="I35" i="1"/>
  <c r="L35" i="1" s="1"/>
  <c r="I1364" i="1"/>
  <c r="L1364" i="1" s="1"/>
  <c r="I401" i="1"/>
  <c r="L401" i="1" s="1"/>
  <c r="I1194" i="1"/>
  <c r="L1194" i="1" s="1"/>
  <c r="I1050" i="1"/>
  <c r="L1050" i="1" s="1"/>
  <c r="I36" i="1"/>
  <c r="L36" i="1" s="1"/>
  <c r="I240" i="1"/>
  <c r="L240" i="1" s="1"/>
  <c r="I241" i="1"/>
  <c r="L241" i="1" s="1"/>
  <c r="I1051" i="1"/>
  <c r="L1051" i="1" s="1"/>
  <c r="I37" i="1"/>
  <c r="L37" i="1" s="1"/>
  <c r="I242" i="1"/>
  <c r="L242" i="1" s="1"/>
  <c r="I1365" i="1"/>
  <c r="L1365" i="1" s="1"/>
  <c r="I38" i="1"/>
  <c r="L38" i="1" s="1"/>
  <c r="I880" i="1"/>
  <c r="L880" i="1" s="1"/>
  <c r="I39" i="1"/>
  <c r="L39" i="1" s="1"/>
  <c r="I564" i="1"/>
  <c r="L564" i="1" s="1"/>
  <c r="I1195" i="1"/>
  <c r="L1195" i="1" s="1"/>
  <c r="I1196" i="1"/>
  <c r="L1196" i="1" s="1"/>
  <c r="I40" i="1"/>
  <c r="L40" i="1" s="1"/>
  <c r="I1197" i="1"/>
  <c r="L1197" i="1" s="1"/>
  <c r="I402" i="1"/>
  <c r="L402" i="1" s="1"/>
  <c r="I881" i="1"/>
  <c r="L881" i="1" s="1"/>
  <c r="I1198" i="1"/>
  <c r="L1198" i="1" s="1"/>
  <c r="I720" i="1"/>
  <c r="L720" i="1" s="1"/>
  <c r="I882" i="1"/>
  <c r="L882" i="1" s="1"/>
  <c r="I243" i="1"/>
  <c r="L243" i="1" s="1"/>
  <c r="I403" i="1"/>
  <c r="L403" i="1" s="1"/>
  <c r="I1052" i="1"/>
  <c r="L1052" i="1" s="1"/>
  <c r="I41" i="1"/>
  <c r="L41" i="1" s="1"/>
  <c r="I1053" i="1"/>
  <c r="L1053" i="1" s="1"/>
  <c r="I1199" i="1"/>
  <c r="L1199" i="1" s="1"/>
  <c r="I721" i="1"/>
  <c r="L721" i="1" s="1"/>
  <c r="I404" i="1"/>
  <c r="L404" i="1" s="1"/>
  <c r="I883" i="1"/>
  <c r="L883" i="1" s="1"/>
  <c r="I1054" i="1"/>
  <c r="L1054" i="1" s="1"/>
  <c r="I405" i="1"/>
  <c r="L405" i="1" s="1"/>
  <c r="I1366" i="1"/>
  <c r="L1366" i="1" s="1"/>
  <c r="I722" i="1"/>
  <c r="L722" i="1" s="1"/>
  <c r="I244" i="1"/>
  <c r="L244" i="1" s="1"/>
  <c r="I1200" i="1"/>
  <c r="L1200" i="1" s="1"/>
  <c r="I1055" i="1"/>
  <c r="L1055" i="1" s="1"/>
  <c r="I42" i="1"/>
  <c r="L42" i="1" s="1"/>
  <c r="I406" i="1"/>
  <c r="L406" i="1" s="1"/>
  <c r="I245" i="1"/>
  <c r="L245" i="1" s="1"/>
  <c r="I246" i="1"/>
  <c r="L246" i="1" s="1"/>
  <c r="I43" i="1"/>
  <c r="L43" i="1" s="1"/>
  <c r="I44" i="1"/>
  <c r="L44" i="1" s="1"/>
  <c r="I723" i="1"/>
  <c r="L723" i="1" s="1"/>
  <c r="I565" i="1"/>
  <c r="L565" i="1" s="1"/>
  <c r="I407" i="1"/>
  <c r="L407" i="1" s="1"/>
  <c r="I247" i="1"/>
  <c r="L247" i="1" s="1"/>
  <c r="I1056" i="1"/>
  <c r="L1056" i="1" s="1"/>
  <c r="I566" i="1"/>
  <c r="L566" i="1" s="1"/>
  <c r="I45" i="1"/>
  <c r="L45" i="1" s="1"/>
  <c r="I248" i="1"/>
  <c r="L248" i="1" s="1"/>
  <c r="I1201" i="1"/>
  <c r="L1201" i="1" s="1"/>
  <c r="I1367" i="1"/>
  <c r="L1367" i="1" s="1"/>
  <c r="I567" i="1"/>
  <c r="L567" i="1" s="1"/>
  <c r="I568" i="1"/>
  <c r="L568" i="1" s="1"/>
  <c r="I408" i="1"/>
  <c r="L408" i="1" s="1"/>
  <c r="I249" i="1"/>
  <c r="L249" i="1" s="1"/>
  <c r="I250" i="1"/>
  <c r="L250" i="1" s="1"/>
  <c r="I1057" i="1"/>
  <c r="L1057" i="1" s="1"/>
  <c r="I1368" i="1"/>
  <c r="L1368" i="1" s="1"/>
  <c r="I1202" i="1"/>
  <c r="L1202" i="1" s="1"/>
  <c r="I251" i="1"/>
  <c r="L251" i="1" s="1"/>
  <c r="I46" i="1"/>
  <c r="L46" i="1" s="1"/>
  <c r="I409" i="1"/>
  <c r="L409" i="1" s="1"/>
  <c r="I724" i="1"/>
  <c r="L724" i="1" s="1"/>
  <c r="I1369" i="1"/>
  <c r="L1369" i="1" s="1"/>
  <c r="I884" i="1"/>
  <c r="L884" i="1" s="1"/>
  <c r="I410" i="1"/>
  <c r="L410" i="1" s="1"/>
  <c r="I47" i="1"/>
  <c r="L47" i="1" s="1"/>
  <c r="I252" i="1"/>
  <c r="L252" i="1" s="1"/>
  <c r="I1058" i="1"/>
  <c r="L1058" i="1" s="1"/>
  <c r="I411" i="1"/>
  <c r="L411" i="1" s="1"/>
  <c r="I1370" i="1"/>
  <c r="L1370" i="1" s="1"/>
  <c r="I1059" i="1"/>
  <c r="L1059" i="1" s="1"/>
  <c r="I569" i="1"/>
  <c r="L569" i="1" s="1"/>
  <c r="I725" i="1"/>
  <c r="L725" i="1" s="1"/>
  <c r="I1371" i="1"/>
  <c r="L1371" i="1" s="1"/>
  <c r="I1203" i="1"/>
  <c r="L1203" i="1" s="1"/>
  <c r="I48" i="1"/>
  <c r="L48" i="1" s="1"/>
  <c r="I1204" i="1"/>
  <c r="L1204" i="1" s="1"/>
  <c r="I1060" i="1"/>
  <c r="L1060" i="1" s="1"/>
  <c r="I726" i="1"/>
  <c r="L726" i="1" s="1"/>
  <c r="I1061" i="1"/>
  <c r="L1061" i="1" s="1"/>
  <c r="I570" i="1"/>
  <c r="L570" i="1" s="1"/>
  <c r="I412" i="1"/>
  <c r="L412" i="1" s="1"/>
  <c r="I49" i="1"/>
  <c r="L49" i="1" s="1"/>
  <c r="I571" i="1"/>
  <c r="L571" i="1" s="1"/>
  <c r="I253" i="1"/>
  <c r="L253" i="1" s="1"/>
  <c r="I572" i="1"/>
  <c r="L572" i="1" s="1"/>
  <c r="I885" i="1"/>
  <c r="L885" i="1" s="1"/>
  <c r="I1372" i="1"/>
  <c r="L1372" i="1" s="1"/>
  <c r="I1062" i="1"/>
  <c r="L1062" i="1" s="1"/>
  <c r="I886" i="1"/>
  <c r="L886" i="1" s="1"/>
  <c r="I887" i="1"/>
  <c r="L887" i="1" s="1"/>
  <c r="I413" i="1"/>
  <c r="L413" i="1" s="1"/>
  <c r="I888" i="1"/>
  <c r="L888" i="1" s="1"/>
  <c r="I727" i="1"/>
  <c r="L727" i="1" s="1"/>
  <c r="I1205" i="1"/>
  <c r="L1205" i="1" s="1"/>
  <c r="I1206" i="1"/>
  <c r="L1206" i="1" s="1"/>
  <c r="I728" i="1"/>
  <c r="L728" i="1" s="1"/>
  <c r="I573" i="1"/>
  <c r="L573" i="1" s="1"/>
  <c r="I574" i="1"/>
  <c r="L574" i="1" s="1"/>
  <c r="I1207" i="1"/>
  <c r="L1207" i="1" s="1"/>
  <c r="I1208" i="1"/>
  <c r="L1208" i="1" s="1"/>
  <c r="I1063" i="1"/>
  <c r="L1063" i="1" s="1"/>
  <c r="I729" i="1"/>
  <c r="L729" i="1" s="1"/>
  <c r="I414" i="1"/>
  <c r="L414" i="1" s="1"/>
  <c r="I1064" i="1"/>
  <c r="L1064" i="1" s="1"/>
  <c r="I889" i="1"/>
  <c r="L889" i="1" s="1"/>
  <c r="I890" i="1"/>
  <c r="L890" i="1" s="1"/>
  <c r="I415" i="1"/>
  <c r="L415" i="1" s="1"/>
  <c r="I1209" i="1"/>
  <c r="L1209" i="1" s="1"/>
  <c r="I891" i="1"/>
  <c r="L891" i="1" s="1"/>
  <c r="I254" i="1"/>
  <c r="L254" i="1" s="1"/>
  <c r="I730" i="1"/>
  <c r="L730" i="1" s="1"/>
  <c r="I731" i="1"/>
  <c r="L731" i="1" s="1"/>
  <c r="I732" i="1"/>
  <c r="L732" i="1" s="1"/>
  <c r="I575" i="1"/>
  <c r="L575" i="1" s="1"/>
  <c r="I255" i="1"/>
  <c r="L255" i="1" s="1"/>
  <c r="I733" i="1"/>
  <c r="I50" i="1"/>
  <c r="L50" i="1" s="1"/>
  <c r="I576" i="1"/>
  <c r="L576" i="1" s="1"/>
  <c r="I51" i="1"/>
  <c r="L51" i="1" s="1"/>
  <c r="I1065" i="1"/>
  <c r="L1065" i="1" s="1"/>
  <c r="I256" i="1"/>
  <c r="L256" i="1" s="1"/>
  <c r="I1066" i="1"/>
  <c r="L1066" i="1" s="1"/>
  <c r="I734" i="1"/>
  <c r="L734" i="1" s="1"/>
  <c r="I1373" i="1"/>
  <c r="L1373" i="1" s="1"/>
  <c r="I735" i="1"/>
  <c r="L735" i="1" s="1"/>
  <c r="I577" i="1"/>
  <c r="L577" i="1" s="1"/>
  <c r="I1210" i="1"/>
  <c r="L1210" i="1" s="1"/>
  <c r="I416" i="1"/>
  <c r="L416" i="1" s="1"/>
  <c r="I417" i="1"/>
  <c r="L417" i="1" s="1"/>
  <c r="I1211" i="1"/>
  <c r="L1211" i="1" s="1"/>
  <c r="I1212" i="1"/>
  <c r="L1212" i="1" s="1"/>
  <c r="I418" i="1"/>
  <c r="L418" i="1" s="1"/>
  <c r="I52" i="1"/>
  <c r="L52" i="1" s="1"/>
  <c r="I53" i="1"/>
  <c r="L53" i="1" s="1"/>
  <c r="I1067" i="1"/>
  <c r="L1067" i="1" s="1"/>
  <c r="I419" i="1"/>
  <c r="L419" i="1" s="1"/>
  <c r="I420" i="1"/>
  <c r="L420" i="1" s="1"/>
  <c r="I1213" i="1"/>
  <c r="L1213" i="1" s="1"/>
  <c r="I54" i="1"/>
  <c r="L54" i="1" s="1"/>
  <c r="I892" i="1"/>
  <c r="L892" i="1" s="1"/>
  <c r="I578" i="1"/>
  <c r="L578" i="1" s="1"/>
  <c r="I1374" i="1"/>
  <c r="L1374" i="1" s="1"/>
  <c r="I893" i="1"/>
  <c r="L893" i="1" s="1"/>
  <c r="I421" i="1"/>
  <c r="L421" i="1" s="1"/>
  <c r="I422" i="1"/>
  <c r="L422" i="1" s="1"/>
  <c r="I1068" i="1"/>
  <c r="L1068" i="1" s="1"/>
  <c r="I1375" i="1"/>
  <c r="L1375" i="1" s="1"/>
  <c r="I1214" i="1"/>
  <c r="L1214" i="1" s="1"/>
  <c r="I55" i="1"/>
  <c r="L55" i="1" s="1"/>
  <c r="I894" i="1"/>
  <c r="L894" i="1" s="1"/>
  <c r="I895" i="1"/>
  <c r="L895" i="1" s="1"/>
  <c r="I257" i="1"/>
  <c r="L257" i="1" s="1"/>
  <c r="I56" i="1"/>
  <c r="L56" i="1" s="1"/>
  <c r="I1215" i="1"/>
  <c r="L1215" i="1" s="1"/>
  <c r="I1069" i="1"/>
  <c r="L1069" i="1" s="1"/>
  <c r="I258" i="1"/>
  <c r="L258" i="1" s="1"/>
  <c r="I259" i="1"/>
  <c r="L259" i="1" s="1"/>
  <c r="I736" i="1"/>
  <c r="L736" i="1" s="1"/>
  <c r="I260" i="1"/>
  <c r="L260" i="1" s="1"/>
  <c r="I1376" i="1"/>
  <c r="L1376" i="1" s="1"/>
  <c r="I57" i="1"/>
  <c r="L57" i="1" s="1"/>
  <c r="I1216" i="1"/>
  <c r="L1216" i="1" s="1"/>
  <c r="I261" i="1"/>
  <c r="L261" i="1" s="1"/>
  <c r="I579" i="1"/>
  <c r="L579" i="1" s="1"/>
  <c r="I896" i="1"/>
  <c r="L896" i="1" s="1"/>
  <c r="I262" i="1"/>
  <c r="L262" i="1" s="1"/>
  <c r="I580" i="1"/>
  <c r="L580" i="1" s="1"/>
  <c r="I58" i="1"/>
  <c r="L58" i="1" s="1"/>
  <c r="I1070" i="1"/>
  <c r="L1070" i="1" s="1"/>
  <c r="I897" i="1"/>
  <c r="L897" i="1" s="1"/>
  <c r="I581" i="1"/>
  <c r="L581" i="1" s="1"/>
  <c r="I737" i="1"/>
  <c r="L737" i="1" s="1"/>
  <c r="I1217" i="1"/>
  <c r="L1217" i="1" s="1"/>
  <c r="I1071" i="1"/>
  <c r="L1071" i="1" s="1"/>
  <c r="I898" i="1"/>
  <c r="L898" i="1" s="1"/>
  <c r="I263" i="1"/>
  <c r="L263" i="1" s="1"/>
  <c r="I1377" i="1"/>
  <c r="L1377" i="1" s="1"/>
  <c r="I423" i="1"/>
  <c r="L423" i="1" s="1"/>
  <c r="I738" i="1"/>
  <c r="L738" i="1" s="1"/>
  <c r="I739" i="1"/>
  <c r="L739" i="1" s="1"/>
  <c r="I1218" i="1"/>
  <c r="L1218" i="1" s="1"/>
  <c r="I740" i="1"/>
  <c r="L740" i="1" s="1"/>
  <c r="I1378" i="1"/>
  <c r="L1378" i="1" s="1"/>
  <c r="I1219" i="1"/>
  <c r="L1219" i="1" s="1"/>
  <c r="I1220" i="1"/>
  <c r="L1220" i="1" s="1"/>
  <c r="I264" i="1"/>
  <c r="L264" i="1" s="1"/>
  <c r="I1379" i="1"/>
  <c r="L1379" i="1" s="1"/>
  <c r="I899" i="1"/>
  <c r="L899" i="1" s="1"/>
  <c r="I424" i="1"/>
  <c r="L424" i="1" s="1"/>
  <c r="I59" i="1"/>
  <c r="L59" i="1" s="1"/>
  <c r="I1072" i="1"/>
  <c r="L1072" i="1" s="1"/>
  <c r="I741" i="1"/>
  <c r="L741" i="1" s="1"/>
  <c r="I742" i="1"/>
  <c r="L742" i="1" s="1"/>
  <c r="I1380" i="1"/>
  <c r="L1380" i="1" s="1"/>
  <c r="I582" i="1"/>
  <c r="L582" i="1" s="1"/>
  <c r="I1073" i="1"/>
  <c r="L1073" i="1" s="1"/>
  <c r="I425" i="1"/>
  <c r="L425" i="1" s="1"/>
  <c r="I426" i="1"/>
  <c r="L426" i="1" s="1"/>
  <c r="I265" i="1"/>
  <c r="L265" i="1" s="1"/>
  <c r="I900" i="1"/>
  <c r="L900" i="1" s="1"/>
  <c r="I60" i="1"/>
  <c r="L60" i="1" s="1"/>
  <c r="I1381" i="1"/>
  <c r="L1381" i="1" s="1"/>
  <c r="I266" i="1"/>
  <c r="L266" i="1" s="1"/>
  <c r="I1382" i="1"/>
  <c r="L1382" i="1" s="1"/>
  <c r="I61" i="1"/>
  <c r="L61" i="1" s="1"/>
  <c r="I1221" i="1"/>
  <c r="L1221" i="1" s="1"/>
  <c r="I1074" i="1"/>
  <c r="L1074" i="1" s="1"/>
  <c r="I427" i="1"/>
  <c r="L427" i="1" s="1"/>
  <c r="I901" i="1"/>
  <c r="L901" i="1" s="1"/>
  <c r="I583" i="1"/>
  <c r="L583" i="1" s="1"/>
  <c r="I62" i="1"/>
  <c r="L62" i="1" s="1"/>
  <c r="I63" i="1"/>
  <c r="L63" i="1" s="1"/>
  <c r="I1222" i="1"/>
  <c r="L1222" i="1" s="1"/>
  <c r="I1075" i="1"/>
  <c r="L1075" i="1" s="1"/>
  <c r="I743" i="1"/>
  <c r="L743" i="1" s="1"/>
  <c r="I267" i="1"/>
  <c r="L267" i="1" s="1"/>
  <c r="I1383" i="1"/>
  <c r="L1383" i="1" s="1"/>
  <c r="I64" i="1"/>
  <c r="L64" i="1" s="1"/>
  <c r="I1223" i="1"/>
  <c r="L1223" i="1" s="1"/>
  <c r="I268" i="1"/>
  <c r="L268" i="1" s="1"/>
  <c r="I269" i="1"/>
  <c r="L269" i="1" s="1"/>
  <c r="I1384" i="1"/>
  <c r="L1384" i="1" s="1"/>
  <c r="I1224" i="1"/>
  <c r="L1224" i="1" s="1"/>
  <c r="I1385" i="1"/>
  <c r="L1385" i="1" s="1"/>
  <c r="I1076" i="1"/>
  <c r="L1076" i="1" s="1"/>
  <c r="I1386" i="1"/>
  <c r="L1386" i="1" s="1"/>
  <c r="I428" i="1"/>
  <c r="L428" i="1" s="1"/>
  <c r="I1225" i="1"/>
  <c r="L1225" i="1" s="1"/>
  <c r="I744" i="1"/>
  <c r="L744" i="1" s="1"/>
  <c r="I902" i="1"/>
  <c r="L902" i="1" s="1"/>
  <c r="I429" i="1"/>
  <c r="L429" i="1" s="1"/>
  <c r="I903" i="1"/>
  <c r="L903" i="1" s="1"/>
  <c r="I1387" i="1"/>
  <c r="L1387" i="1" s="1"/>
  <c r="I65" i="1"/>
  <c r="L65" i="1" s="1"/>
  <c r="I66" i="1"/>
  <c r="L66" i="1" s="1"/>
  <c r="I67" i="1"/>
  <c r="L67" i="1" s="1"/>
  <c r="I584" i="1"/>
  <c r="L584" i="1" s="1"/>
  <c r="I270" i="1"/>
  <c r="L270" i="1" s="1"/>
  <c r="I68" i="1"/>
  <c r="L68" i="1" s="1"/>
  <c r="I1388" i="1"/>
  <c r="L1388" i="1" s="1"/>
  <c r="I585" i="1"/>
  <c r="L585" i="1" s="1"/>
  <c r="I1389" i="1"/>
  <c r="L1389" i="1" s="1"/>
  <c r="I904" i="1"/>
  <c r="L904" i="1" s="1"/>
  <c r="I745" i="1"/>
  <c r="L745" i="1" s="1"/>
  <c r="I586" i="1"/>
  <c r="L586" i="1" s="1"/>
  <c r="I1390" i="1"/>
  <c r="L1390" i="1" s="1"/>
  <c r="I271" i="1"/>
  <c r="L271" i="1" s="1"/>
  <c r="I69" i="1"/>
  <c r="L69" i="1" s="1"/>
  <c r="I1391" i="1"/>
  <c r="L1391" i="1" s="1"/>
  <c r="I746" i="1"/>
  <c r="L746" i="1" s="1"/>
  <c r="I430" i="1"/>
  <c r="L430" i="1" s="1"/>
  <c r="I747" i="1"/>
  <c r="L747" i="1" s="1"/>
  <c r="I1077" i="1"/>
  <c r="L1077" i="1" s="1"/>
  <c r="I1392" i="1"/>
  <c r="L1392" i="1" s="1"/>
  <c r="I70" i="1"/>
  <c r="L70" i="1" s="1"/>
  <c r="I748" i="1"/>
  <c r="L748" i="1" s="1"/>
  <c r="I905" i="1"/>
  <c r="L905" i="1" s="1"/>
  <c r="I1393" i="1"/>
  <c r="L1393" i="1" s="1"/>
  <c r="I272" i="1"/>
  <c r="L272" i="1" s="1"/>
  <c r="I1078" i="1"/>
  <c r="L1078" i="1" s="1"/>
  <c r="I273" i="1"/>
  <c r="L273" i="1" s="1"/>
  <c r="I1226" i="1"/>
  <c r="L1226" i="1" s="1"/>
  <c r="I71" i="1"/>
  <c r="L71" i="1" s="1"/>
  <c r="I431" i="1"/>
  <c r="L431" i="1" s="1"/>
  <c r="I749" i="1"/>
  <c r="L749" i="1" s="1"/>
  <c r="I750" i="1"/>
  <c r="L750" i="1" s="1"/>
  <c r="I72" i="1"/>
  <c r="L72" i="1" s="1"/>
  <c r="I1227" i="1"/>
  <c r="L1227" i="1" s="1"/>
  <c r="I73" i="1"/>
  <c r="L73" i="1" s="1"/>
  <c r="I274" i="1"/>
  <c r="L274" i="1" s="1"/>
  <c r="I1394" i="1"/>
  <c r="L1394" i="1" s="1"/>
  <c r="I1228" i="1"/>
  <c r="L1228" i="1" s="1"/>
  <c r="I1395" i="1"/>
  <c r="L1395" i="1" s="1"/>
  <c r="I906" i="1"/>
  <c r="L906" i="1" s="1"/>
  <c r="I74" i="1"/>
  <c r="L74" i="1" s="1"/>
  <c r="I75" i="1"/>
  <c r="L75" i="1" s="1"/>
  <c r="I432" i="1"/>
  <c r="L432" i="1" s="1"/>
  <c r="I751" i="1"/>
  <c r="L751" i="1" s="1"/>
  <c r="I907" i="1"/>
  <c r="L907" i="1" s="1"/>
  <c r="I908" i="1"/>
  <c r="L908" i="1" s="1"/>
  <c r="I1229" i="1"/>
  <c r="L1229" i="1" s="1"/>
  <c r="I752" i="1"/>
  <c r="L752" i="1" s="1"/>
  <c r="I587" i="1"/>
  <c r="L587" i="1" s="1"/>
  <c r="I1079" i="1"/>
  <c r="L1079" i="1" s="1"/>
  <c r="I1230" i="1"/>
  <c r="L1230" i="1" s="1"/>
  <c r="I433" i="1"/>
  <c r="L433" i="1" s="1"/>
  <c r="I909" i="1"/>
  <c r="L909" i="1" s="1"/>
  <c r="I76" i="1"/>
  <c r="L76" i="1" s="1"/>
  <c r="I77" i="1"/>
  <c r="L77" i="1" s="1"/>
  <c r="I1080" i="1"/>
  <c r="L1080" i="1" s="1"/>
  <c r="I1081" i="1"/>
  <c r="L1081" i="1" s="1"/>
  <c r="I753" i="1"/>
  <c r="L753" i="1" s="1"/>
  <c r="I1231" i="1"/>
  <c r="L1231" i="1" s="1"/>
  <c r="I275" i="1"/>
  <c r="L275" i="1" s="1"/>
  <c r="I1082" i="1"/>
  <c r="L1082" i="1" s="1"/>
  <c r="I1232" i="1"/>
  <c r="L1232" i="1" s="1"/>
  <c r="I276" i="1"/>
  <c r="L276" i="1" s="1"/>
  <c r="I1396" i="1"/>
  <c r="L1396" i="1" s="1"/>
  <c r="I78" i="1"/>
  <c r="L78" i="1" s="1"/>
  <c r="I434" i="1"/>
  <c r="L434" i="1" s="1"/>
  <c r="I277" i="1"/>
  <c r="L277" i="1" s="1"/>
  <c r="I1233" i="1"/>
  <c r="L1233" i="1" s="1"/>
  <c r="I1397" i="1"/>
  <c r="L1397" i="1" s="1"/>
  <c r="I588" i="1"/>
  <c r="L588" i="1" s="1"/>
  <c r="I79" i="1"/>
  <c r="L79" i="1" s="1"/>
  <c r="I1398" i="1"/>
  <c r="L1398" i="1" s="1"/>
  <c r="I1083" i="1"/>
  <c r="L1083" i="1" s="1"/>
  <c r="I910" i="1"/>
  <c r="L910" i="1" s="1"/>
  <c r="I278" i="1"/>
  <c r="L278" i="1" s="1"/>
  <c r="I279" i="1"/>
  <c r="L279" i="1" s="1"/>
  <c r="I1084" i="1"/>
  <c r="L1084" i="1" s="1"/>
  <c r="I80" i="1"/>
  <c r="L80" i="1" s="1"/>
  <c r="I435" i="1"/>
  <c r="L435" i="1" s="1"/>
  <c r="I436" i="1"/>
  <c r="L436" i="1" s="1"/>
  <c r="I754" i="1"/>
  <c r="L754" i="1" s="1"/>
  <c r="I1399" i="1"/>
  <c r="L1399" i="1" s="1"/>
  <c r="I437" i="1"/>
  <c r="L437" i="1" s="1"/>
  <c r="I1085" i="1"/>
  <c r="L1085" i="1" s="1"/>
  <c r="I1086" i="1"/>
  <c r="L1086" i="1" s="1"/>
  <c r="I438" i="1"/>
  <c r="L438" i="1" s="1"/>
  <c r="I81" i="1"/>
  <c r="L81" i="1" s="1"/>
  <c r="I589" i="1"/>
  <c r="L589" i="1" s="1"/>
  <c r="I1400" i="1"/>
  <c r="L1400" i="1" s="1"/>
  <c r="I1401" i="1"/>
  <c r="L1401" i="1" s="1"/>
  <c r="I82" i="1"/>
  <c r="L82" i="1" s="1"/>
  <c r="I755" i="1"/>
  <c r="L755" i="1" s="1"/>
  <c r="I83" i="1"/>
  <c r="L83" i="1" s="1"/>
  <c r="I1234" i="1"/>
  <c r="L1234" i="1" s="1"/>
  <c r="I756" i="1"/>
  <c r="L756" i="1" s="1"/>
  <c r="I1402" i="1"/>
  <c r="L1402" i="1" s="1"/>
  <c r="I911" i="1"/>
  <c r="L911" i="1" s="1"/>
  <c r="I280" i="1"/>
  <c r="L280" i="1" s="1"/>
  <c r="I757" i="1"/>
  <c r="L757" i="1" s="1"/>
  <c r="I590" i="1"/>
  <c r="L590" i="1" s="1"/>
  <c r="I84" i="1"/>
  <c r="L84" i="1" s="1"/>
  <c r="I1087" i="1"/>
  <c r="L1087" i="1" s="1"/>
  <c r="I85" i="1"/>
  <c r="L85" i="1" s="1"/>
  <c r="I1235" i="1"/>
  <c r="L1235" i="1" s="1"/>
  <c r="I439" i="1"/>
  <c r="L439" i="1" s="1"/>
  <c r="I758" i="1"/>
  <c r="L758" i="1" s="1"/>
  <c r="I759" i="1"/>
  <c r="L759" i="1" s="1"/>
  <c r="I281" i="1"/>
  <c r="L281" i="1" s="1"/>
  <c r="I86" i="1"/>
  <c r="L86" i="1" s="1"/>
  <c r="I87" i="1"/>
  <c r="L87" i="1" s="1"/>
  <c r="I1236" i="1"/>
  <c r="L1236" i="1" s="1"/>
  <c r="I1237" i="1"/>
  <c r="L1237" i="1" s="1"/>
  <c r="I1238" i="1"/>
  <c r="L1238" i="1" s="1"/>
  <c r="I591" i="1"/>
  <c r="L591" i="1" s="1"/>
  <c r="I912" i="1"/>
  <c r="L912" i="1" s="1"/>
  <c r="I1239" i="1"/>
  <c r="L1239" i="1" s="1"/>
  <c r="I1088" i="1"/>
  <c r="L1088" i="1" s="1"/>
  <c r="I760" i="1"/>
  <c r="L760" i="1" s="1"/>
  <c r="I913" i="1"/>
  <c r="L913" i="1" s="1"/>
  <c r="I761" i="1"/>
  <c r="L761" i="1" s="1"/>
  <c r="I88" i="1"/>
  <c r="L88" i="1" s="1"/>
  <c r="I762" i="1"/>
  <c r="L762" i="1" s="1"/>
  <c r="I763" i="1"/>
  <c r="L763" i="1" s="1"/>
  <c r="I440" i="1"/>
  <c r="L440" i="1" s="1"/>
  <c r="I441" i="1"/>
  <c r="L441" i="1" s="1"/>
  <c r="I442" i="1"/>
  <c r="L442" i="1" s="1"/>
  <c r="I1240" i="1"/>
  <c r="L1240" i="1" s="1"/>
  <c r="I89" i="1"/>
  <c r="L89" i="1" s="1"/>
  <c r="I1089" i="1"/>
  <c r="L1089" i="1" s="1"/>
  <c r="I282" i="1"/>
  <c r="L282" i="1" s="1"/>
  <c r="I1403" i="1"/>
  <c r="L1403" i="1" s="1"/>
  <c r="I1241" i="1"/>
  <c r="L1241" i="1" s="1"/>
  <c r="I1090" i="1"/>
  <c r="L1090" i="1" s="1"/>
  <c r="I283" i="1"/>
  <c r="L283" i="1" s="1"/>
  <c r="I90" i="1"/>
  <c r="L90" i="1" s="1"/>
  <c r="I443" i="1"/>
  <c r="L443" i="1" s="1"/>
  <c r="I1091" i="1"/>
  <c r="L1091" i="1" s="1"/>
  <c r="I91" i="1"/>
  <c r="L91" i="1" s="1"/>
  <c r="I1242" i="1"/>
  <c r="L1242" i="1" s="1"/>
  <c r="I444" i="1"/>
  <c r="L444" i="1" s="1"/>
  <c r="I764" i="1"/>
  <c r="L764" i="1" s="1"/>
  <c r="I914" i="1"/>
  <c r="L914" i="1" s="1"/>
  <c r="I915" i="1"/>
  <c r="L915" i="1" s="1"/>
  <c r="I1243" i="1"/>
  <c r="L1243" i="1" s="1"/>
  <c r="I92" i="1"/>
  <c r="L92" i="1" s="1"/>
  <c r="I916" i="1"/>
  <c r="L916" i="1" s="1"/>
  <c r="I765" i="1"/>
  <c r="L765" i="1" s="1"/>
  <c r="I284" i="1"/>
  <c r="L284" i="1" s="1"/>
  <c r="I93" i="1"/>
  <c r="L93" i="1" s="1"/>
  <c r="I1092" i="1"/>
  <c r="L1092" i="1" s="1"/>
  <c r="I1404" i="1"/>
  <c r="L1404" i="1" s="1"/>
  <c r="I1244" i="1"/>
  <c r="L1244" i="1" s="1"/>
  <c r="I94" i="1"/>
  <c r="L94" i="1" s="1"/>
  <c r="I95" i="1"/>
  <c r="L95" i="1" s="1"/>
  <c r="I1405" i="1"/>
  <c r="L1405" i="1" s="1"/>
  <c r="I285" i="1"/>
  <c r="L285" i="1" s="1"/>
  <c r="I592" i="1"/>
  <c r="L592" i="1" s="1"/>
  <c r="I96" i="1"/>
  <c r="L96" i="1" s="1"/>
  <c r="I593" i="1"/>
  <c r="L593" i="1" s="1"/>
  <c r="I594" i="1"/>
  <c r="L594" i="1" s="1"/>
  <c r="I595" i="1"/>
  <c r="L595" i="1" s="1"/>
  <c r="I286" i="1"/>
  <c r="L286" i="1" s="1"/>
  <c r="I1245" i="1"/>
  <c r="L1245" i="1" s="1"/>
  <c r="I445" i="1"/>
  <c r="L445" i="1" s="1"/>
  <c r="I1246" i="1"/>
  <c r="L1246" i="1" s="1"/>
  <c r="I1247" i="1"/>
  <c r="L1247" i="1" s="1"/>
  <c r="I97" i="1"/>
  <c r="L97" i="1" s="1"/>
  <c r="I446" i="1"/>
  <c r="L446" i="1" s="1"/>
  <c r="I287" i="1"/>
  <c r="L287" i="1" s="1"/>
  <c r="I1093" i="1"/>
  <c r="L1093" i="1" s="1"/>
  <c r="I1094" i="1"/>
  <c r="L1094" i="1" s="1"/>
  <c r="I1406" i="1"/>
  <c r="L1406" i="1" s="1"/>
  <c r="I288" i="1"/>
  <c r="L288" i="1" s="1"/>
  <c r="I447" i="1"/>
  <c r="L447" i="1" s="1"/>
  <c r="I448" i="1"/>
  <c r="L448" i="1" s="1"/>
  <c r="I1407" i="1"/>
  <c r="L1407" i="1" s="1"/>
  <c r="I1248" i="1"/>
  <c r="L1248" i="1" s="1"/>
  <c r="I98" i="1"/>
  <c r="L98" i="1" s="1"/>
  <c r="I917" i="1"/>
  <c r="L917" i="1" s="1"/>
  <c r="I449" i="1"/>
  <c r="L449" i="1" s="1"/>
  <c r="I918" i="1"/>
  <c r="L918" i="1" s="1"/>
  <c r="I289" i="1"/>
  <c r="L289" i="1" s="1"/>
  <c r="I919" i="1"/>
  <c r="L919" i="1" s="1"/>
  <c r="I1249" i="1"/>
  <c r="L1249" i="1" s="1"/>
  <c r="I99" i="1"/>
  <c r="L99" i="1" s="1"/>
  <c r="I596" i="1"/>
  <c r="L596" i="1" s="1"/>
  <c r="I766" i="1"/>
  <c r="L766" i="1" s="1"/>
  <c r="I100" i="1"/>
  <c r="L100" i="1" s="1"/>
  <c r="I920" i="1"/>
  <c r="L920" i="1" s="1"/>
  <c r="I1250" i="1"/>
  <c r="L1250" i="1" s="1"/>
  <c r="I450" i="1"/>
  <c r="L450" i="1" s="1"/>
  <c r="I921" i="1"/>
  <c r="L921" i="1" s="1"/>
  <c r="I1408" i="1"/>
  <c r="L1408" i="1" s="1"/>
  <c r="I922" i="1"/>
  <c r="L922" i="1" s="1"/>
  <c r="I1251" i="1"/>
  <c r="L1251" i="1" s="1"/>
  <c r="I1252" i="1"/>
  <c r="L1252" i="1" s="1"/>
  <c r="I1095" i="1"/>
  <c r="L1095" i="1" s="1"/>
  <c r="I1096" i="1"/>
  <c r="L1096" i="1" s="1"/>
  <c r="I290" i="1"/>
  <c r="L290" i="1" s="1"/>
  <c r="I451" i="1"/>
  <c r="L451" i="1" s="1"/>
  <c r="I101" i="1"/>
  <c r="L101" i="1" s="1"/>
  <c r="I1253" i="1"/>
  <c r="L1253" i="1" s="1"/>
  <c r="I1097" i="1"/>
  <c r="L1097" i="1" s="1"/>
  <c r="I597" i="1"/>
  <c r="L597" i="1" s="1"/>
  <c r="I1254" i="1"/>
  <c r="L1254" i="1" s="1"/>
  <c r="I1409" i="1"/>
  <c r="L1409" i="1" s="1"/>
  <c r="I291" i="1"/>
  <c r="L291" i="1" s="1"/>
  <c r="I1410" i="1"/>
  <c r="L1410" i="1" s="1"/>
  <c r="I452" i="1"/>
  <c r="L452" i="1" s="1"/>
  <c r="I292" i="1"/>
  <c r="L292" i="1" s="1"/>
  <c r="I767" i="1"/>
  <c r="L767" i="1" s="1"/>
  <c r="I1098" i="1"/>
  <c r="L1098" i="1" s="1"/>
  <c r="I453" i="1"/>
  <c r="L453" i="1" s="1"/>
  <c r="I102" i="1"/>
  <c r="L102" i="1" s="1"/>
  <c r="I293" i="1"/>
  <c r="L293" i="1" s="1"/>
  <c r="I294" i="1"/>
  <c r="L294" i="1" s="1"/>
  <c r="I1099" i="1"/>
  <c r="L1099" i="1" s="1"/>
  <c r="I598" i="1"/>
  <c r="L598" i="1" s="1"/>
  <c r="I103" i="1"/>
  <c r="L103" i="1" s="1"/>
  <c r="I599" i="1"/>
  <c r="L599" i="1" s="1"/>
  <c r="I923" i="1"/>
  <c r="L923" i="1" s="1"/>
  <c r="I295" i="1"/>
  <c r="L295" i="1" s="1"/>
  <c r="I1255" i="1"/>
  <c r="L1255" i="1" s="1"/>
  <c r="I600" i="1"/>
  <c r="L600" i="1" s="1"/>
  <c r="I454" i="1"/>
  <c r="L454" i="1" s="1"/>
  <c r="I296" i="1"/>
  <c r="L296" i="1" s="1"/>
  <c r="I1100" i="1"/>
  <c r="L1100" i="1" s="1"/>
  <c r="I1411" i="1"/>
  <c r="L1411" i="1" s="1"/>
  <c r="I1256" i="1"/>
  <c r="L1256" i="1" s="1"/>
  <c r="I1101" i="1"/>
  <c r="L1101" i="1" s="1"/>
  <c r="I924" i="1"/>
  <c r="L924" i="1" s="1"/>
  <c r="I104" i="1"/>
  <c r="L104" i="1" s="1"/>
  <c r="I1257" i="1"/>
  <c r="L1257" i="1" s="1"/>
  <c r="I297" i="1"/>
  <c r="L297" i="1" s="1"/>
  <c r="I1102" i="1"/>
  <c r="L1102" i="1" s="1"/>
  <c r="I1412" i="1"/>
  <c r="L1412" i="1" s="1"/>
  <c r="I925" i="1"/>
  <c r="L925" i="1" s="1"/>
  <c r="I298" i="1"/>
  <c r="L298" i="1" s="1"/>
  <c r="I1258" i="1"/>
  <c r="L1258" i="1" s="1"/>
  <c r="I105" i="1"/>
  <c r="L105" i="1" s="1"/>
  <c r="I601" i="1"/>
  <c r="L601" i="1" s="1"/>
  <c r="I926" i="1"/>
  <c r="L926" i="1" s="1"/>
  <c r="I1259" i="1"/>
  <c r="L1259" i="1" s="1"/>
  <c r="I1260" i="1"/>
  <c r="L1260" i="1" s="1"/>
  <c r="I106" i="1"/>
  <c r="L106" i="1" s="1"/>
  <c r="I1103" i="1"/>
  <c r="L1103" i="1" s="1"/>
  <c r="I602" i="1"/>
  <c r="L602" i="1" s="1"/>
  <c r="I603" i="1"/>
  <c r="L603" i="1" s="1"/>
  <c r="I604" i="1"/>
  <c r="L604" i="1" s="1"/>
  <c r="I1104" i="1"/>
  <c r="L1104" i="1" s="1"/>
  <c r="I1413" i="1"/>
  <c r="L1413" i="1" s="1"/>
  <c r="I1414" i="1"/>
  <c r="L1414" i="1" s="1"/>
  <c r="I455" i="1"/>
  <c r="L455" i="1" s="1"/>
  <c r="I107" i="1"/>
  <c r="L107" i="1" s="1"/>
  <c r="I1415" i="1"/>
  <c r="L1415" i="1" s="1"/>
  <c r="I1261" i="1"/>
  <c r="L1261" i="1" s="1"/>
  <c r="I605" i="1"/>
  <c r="L605" i="1" s="1"/>
  <c r="I108" i="1"/>
  <c r="L108" i="1" s="1"/>
  <c r="I606" i="1"/>
  <c r="L606" i="1" s="1"/>
  <c r="I768" i="1"/>
  <c r="L768" i="1" s="1"/>
  <c r="I1105" i="1"/>
  <c r="L1105" i="1" s="1"/>
  <c r="I299" i="1"/>
  <c r="L299" i="1" s="1"/>
  <c r="I456" i="1"/>
  <c r="L456" i="1" s="1"/>
  <c r="I1262" i="1"/>
  <c r="L1262" i="1" s="1"/>
  <c r="I457" i="1"/>
  <c r="L457" i="1" s="1"/>
  <c r="I769" i="1"/>
  <c r="L769" i="1" s="1"/>
  <c r="I300" i="1"/>
  <c r="L300" i="1" s="1"/>
  <c r="I1263" i="1"/>
  <c r="L1263" i="1" s="1"/>
  <c r="I1416" i="1"/>
  <c r="L1416" i="1" s="1"/>
  <c r="I458" i="1"/>
  <c r="L458" i="1" s="1"/>
  <c r="I459" i="1"/>
  <c r="L459" i="1" s="1"/>
  <c r="I927" i="1"/>
  <c r="L927" i="1" s="1"/>
  <c r="I928" i="1"/>
  <c r="L928" i="1" s="1"/>
  <c r="I1417" i="1"/>
  <c r="L1417" i="1" s="1"/>
  <c r="I301" i="1"/>
  <c r="L301" i="1" s="1"/>
  <c r="I302" i="1"/>
  <c r="L302" i="1" s="1"/>
  <c r="I929" i="1"/>
  <c r="L929" i="1" s="1"/>
  <c r="I1264" i="1"/>
  <c r="L1264" i="1" s="1"/>
  <c r="I303" i="1"/>
  <c r="L303" i="1" s="1"/>
  <c r="I607" i="1"/>
  <c r="L607" i="1" s="1"/>
  <c r="I770" i="1"/>
  <c r="L770" i="1" s="1"/>
  <c r="I304" i="1"/>
  <c r="L304" i="1" s="1"/>
  <c r="I608" i="1"/>
  <c r="L608" i="1" s="1"/>
  <c r="I109" i="1"/>
  <c r="L109" i="1" s="1"/>
  <c r="I1106" i="1"/>
  <c r="L1106" i="1" s="1"/>
  <c r="I930" i="1"/>
  <c r="L930" i="1" s="1"/>
  <c r="I1265" i="1"/>
  <c r="L1265" i="1" s="1"/>
  <c r="I1266" i="1"/>
  <c r="L1266" i="1" s="1"/>
  <c r="I609" i="1"/>
  <c r="L609" i="1" s="1"/>
  <c r="I1107" i="1"/>
  <c r="L1107" i="1" s="1"/>
  <c r="I1108" i="1"/>
  <c r="L1108" i="1" s="1"/>
  <c r="I305" i="1"/>
  <c r="L305" i="1" s="1"/>
  <c r="I110" i="1"/>
  <c r="L110" i="1" s="1"/>
  <c r="I460" i="1"/>
  <c r="L460" i="1" s="1"/>
  <c r="I771" i="1"/>
  <c r="L771" i="1" s="1"/>
  <c r="I1267" i="1"/>
  <c r="L1267" i="1" s="1"/>
  <c r="I1418" i="1"/>
  <c r="L1418" i="1" s="1"/>
  <c r="I931" i="1"/>
  <c r="L931" i="1" s="1"/>
  <c r="I1109" i="1"/>
  <c r="L1109" i="1" s="1"/>
  <c r="I1268" i="1"/>
  <c r="L1268" i="1" s="1"/>
  <c r="I772" i="1"/>
  <c r="L772" i="1" s="1"/>
  <c r="I1419" i="1"/>
  <c r="L1419" i="1" s="1"/>
  <c r="I111" i="1"/>
  <c r="L111" i="1" s="1"/>
  <c r="I306" i="1"/>
  <c r="L306" i="1" s="1"/>
  <c r="I307" i="1"/>
  <c r="L307" i="1" s="1"/>
  <c r="I1420" i="1"/>
  <c r="L1420" i="1" s="1"/>
  <c r="I932" i="1"/>
  <c r="L932" i="1" s="1"/>
  <c r="I933" i="1"/>
  <c r="L933" i="1" s="1"/>
  <c r="I461" i="1"/>
  <c r="L461" i="1" s="1"/>
  <c r="I1421" i="1"/>
  <c r="L1421" i="1" s="1"/>
  <c r="I308" i="1"/>
  <c r="L308" i="1" s="1"/>
  <c r="I1110" i="1"/>
  <c r="L1110" i="1" s="1"/>
  <c r="I1422" i="1"/>
  <c r="L1422" i="1" s="1"/>
  <c r="I309" i="1"/>
  <c r="L309" i="1" s="1"/>
  <c r="I1423" i="1"/>
  <c r="L1423" i="1" s="1"/>
  <c r="I773" i="1"/>
  <c r="L773" i="1" s="1"/>
  <c r="I1269" i="1"/>
  <c r="L1269" i="1" s="1"/>
  <c r="I934" i="1"/>
  <c r="L934" i="1" s="1"/>
  <c r="I112" i="1"/>
  <c r="L112" i="1" s="1"/>
  <c r="I935" i="1"/>
  <c r="L935" i="1" s="1"/>
  <c r="I610" i="1"/>
  <c r="L610" i="1" s="1"/>
  <c r="I1270" i="1"/>
  <c r="L1270" i="1" s="1"/>
  <c r="I936" i="1"/>
  <c r="L936" i="1" s="1"/>
  <c r="I1424" i="1"/>
  <c r="L1424" i="1" s="1"/>
  <c r="I310" i="1"/>
  <c r="L310" i="1" s="1"/>
  <c r="I1425" i="1"/>
  <c r="L1425" i="1" s="1"/>
  <c r="I311" i="1"/>
  <c r="L311" i="1" s="1"/>
  <c r="I774" i="1"/>
  <c r="L774" i="1" s="1"/>
  <c r="I611" i="1"/>
  <c r="L611" i="1" s="1"/>
  <c r="I1271" i="1"/>
  <c r="L1271" i="1" s="1"/>
  <c r="I113" i="1"/>
  <c r="L113" i="1" s="1"/>
  <c r="I1426" i="1"/>
  <c r="L1426" i="1" s="1"/>
  <c r="I612" i="1"/>
  <c r="L612" i="1" s="1"/>
  <c r="I1111" i="1"/>
  <c r="L1111" i="1" s="1"/>
  <c r="I114" i="1"/>
  <c r="L114" i="1" s="1"/>
  <c r="I462" i="1"/>
  <c r="L462" i="1" s="1"/>
  <c r="I1112" i="1"/>
  <c r="L1112" i="1" s="1"/>
  <c r="I312" i="1"/>
  <c r="L312" i="1" s="1"/>
  <c r="I1427" i="1"/>
  <c r="L1427" i="1" s="1"/>
  <c r="I463" i="1"/>
  <c r="L463" i="1" s="1"/>
  <c r="I115" i="1"/>
  <c r="L115" i="1" s="1"/>
  <c r="I937" i="1"/>
  <c r="L937" i="1" s="1"/>
  <c r="I1272" i="1"/>
  <c r="L1272" i="1" s="1"/>
  <c r="I464" i="1"/>
  <c r="L464" i="1" s="1"/>
  <c r="I1273" i="1"/>
  <c r="L1273" i="1" s="1"/>
  <c r="I1428" i="1"/>
  <c r="L1428" i="1" s="1"/>
  <c r="I116" i="1"/>
  <c r="L116" i="1" s="1"/>
  <c r="I1429" i="1"/>
  <c r="L1429" i="1" s="1"/>
  <c r="I938" i="1"/>
  <c r="L938" i="1" s="1"/>
  <c r="I1113" i="1"/>
  <c r="L1113" i="1" s="1"/>
  <c r="I117" i="1"/>
  <c r="L117" i="1" s="1"/>
  <c r="I118" i="1"/>
  <c r="L118" i="1" s="1"/>
  <c r="I1114" i="1"/>
  <c r="L1114" i="1" s="1"/>
  <c r="I119" i="1"/>
  <c r="L119" i="1" s="1"/>
  <c r="I1274" i="1"/>
  <c r="L1274" i="1" s="1"/>
  <c r="I120" i="1"/>
  <c r="L120" i="1" s="1"/>
  <c r="I121" i="1"/>
  <c r="L121" i="1" s="1"/>
  <c r="I775" i="1"/>
  <c r="L775" i="1" s="1"/>
  <c r="I939" i="1"/>
  <c r="L939" i="1" s="1"/>
  <c r="I313" i="1"/>
  <c r="L313" i="1" s="1"/>
  <c r="I940" i="1"/>
  <c r="L940" i="1" s="1"/>
  <c r="I1430" i="1"/>
  <c r="L1430" i="1" s="1"/>
  <c r="I1431" i="1"/>
  <c r="L1431" i="1" s="1"/>
  <c r="I1275" i="1"/>
  <c r="L1275" i="1" s="1"/>
  <c r="I1115" i="1"/>
  <c r="L1115" i="1" s="1"/>
  <c r="I941" i="1"/>
  <c r="L941" i="1" s="1"/>
  <c r="I1116" i="1"/>
  <c r="L1116" i="1" s="1"/>
  <c r="I1276" i="1"/>
  <c r="L1276" i="1" s="1"/>
  <c r="I1277" i="1"/>
  <c r="L1277" i="1" s="1"/>
  <c r="I465" i="1"/>
  <c r="L465" i="1" s="1"/>
  <c r="I122" i="1"/>
  <c r="L122" i="1" s="1"/>
  <c r="I1278" i="1"/>
  <c r="L1278" i="1" s="1"/>
  <c r="I942" i="1"/>
  <c r="L942" i="1" s="1"/>
  <c r="I1432" i="1"/>
  <c r="L1432" i="1" s="1"/>
  <c r="I776" i="1"/>
  <c r="L776" i="1" s="1"/>
  <c r="I123" i="1"/>
  <c r="L123" i="1" s="1"/>
  <c r="I613" i="1"/>
  <c r="L613" i="1" s="1"/>
  <c r="I777" i="1"/>
  <c r="L777" i="1" s="1"/>
  <c r="I778" i="1"/>
  <c r="L778" i="1" s="1"/>
  <c r="I943" i="1"/>
  <c r="L943" i="1" s="1"/>
  <c r="I779" i="1"/>
  <c r="L779" i="1" s="1"/>
  <c r="I944" i="1"/>
  <c r="L944" i="1" s="1"/>
  <c r="I780" i="1"/>
  <c r="L780" i="1" s="1"/>
  <c r="I614" i="1"/>
  <c r="L614" i="1" s="1"/>
  <c r="I1433" i="1"/>
  <c r="L1433" i="1" s="1"/>
  <c r="I124" i="1"/>
  <c r="L124" i="1" s="1"/>
  <c r="I125" i="1"/>
  <c r="L125" i="1" s="1"/>
  <c r="I466" i="1"/>
  <c r="L466" i="1" s="1"/>
  <c r="I1279" i="1"/>
  <c r="L1279" i="1" s="1"/>
  <c r="I1280" i="1"/>
  <c r="L1280" i="1" s="1"/>
  <c r="I615" i="1"/>
  <c r="L615" i="1" s="1"/>
  <c r="I1434" i="1"/>
  <c r="L1434" i="1" s="1"/>
  <c r="I467" i="1"/>
  <c r="L467" i="1" s="1"/>
  <c r="I945" i="1"/>
  <c r="L945" i="1" s="1"/>
  <c r="I781" i="1"/>
  <c r="L781" i="1" s="1"/>
  <c r="I782" i="1"/>
  <c r="L782" i="1" s="1"/>
  <c r="I314" i="1"/>
  <c r="L314" i="1" s="1"/>
  <c r="I946" i="1"/>
  <c r="L946" i="1" s="1"/>
  <c r="I783" i="1"/>
  <c r="L783" i="1" s="1"/>
  <c r="I1435" i="1"/>
  <c r="L1435" i="1" s="1"/>
  <c r="I1117" i="1"/>
  <c r="L1117" i="1" s="1"/>
  <c r="I1118" i="1"/>
  <c r="L1118" i="1" s="1"/>
  <c r="I1436" i="1"/>
  <c r="L1436" i="1" s="1"/>
  <c r="I784" i="1"/>
  <c r="L784" i="1" s="1"/>
  <c r="I1437" i="1"/>
  <c r="L1437" i="1" s="1"/>
  <c r="I785" i="1"/>
  <c r="L785" i="1" s="1"/>
  <c r="I126" i="1"/>
  <c r="L126" i="1" s="1"/>
  <c r="I616" i="1"/>
  <c r="L616" i="1" s="1"/>
  <c r="I315" i="1"/>
  <c r="L315" i="1" s="1"/>
  <c r="I947" i="1"/>
  <c r="L947" i="1" s="1"/>
  <c r="I617" i="1"/>
  <c r="L617" i="1" s="1"/>
  <c r="I1281" i="1"/>
  <c r="L1281" i="1" s="1"/>
  <c r="I468" i="1"/>
  <c r="L468" i="1" s="1"/>
  <c r="I786" i="1"/>
  <c r="L786" i="1" s="1"/>
  <c r="I618" i="1"/>
  <c r="L618" i="1" s="1"/>
  <c r="I127" i="1"/>
  <c r="L127" i="1" s="1"/>
  <c r="I1119" i="1"/>
  <c r="L1119" i="1" s="1"/>
  <c r="I1438" i="1"/>
  <c r="L1438" i="1" s="1"/>
  <c r="I787" i="1"/>
  <c r="L787" i="1" s="1"/>
  <c r="I1120" i="1"/>
  <c r="L1120" i="1" s="1"/>
  <c r="I619" i="1"/>
  <c r="L619" i="1" s="1"/>
  <c r="I128" i="1"/>
  <c r="L128" i="1" s="1"/>
  <c r="I948" i="1"/>
  <c r="L948" i="1" s="1"/>
  <c r="I620" i="1"/>
  <c r="L620" i="1" s="1"/>
  <c r="I129" i="1"/>
  <c r="L129" i="1" s="1"/>
  <c r="I316" i="1"/>
  <c r="L316" i="1" s="1"/>
  <c r="I317" i="1"/>
  <c r="L317" i="1" s="1"/>
  <c r="I469" i="1"/>
  <c r="L469" i="1" s="1"/>
  <c r="I470" i="1"/>
  <c r="L470" i="1" s="1"/>
  <c r="I1282" i="1"/>
  <c r="L1282" i="1" s="1"/>
  <c r="I1283" i="1"/>
  <c r="L1283" i="1" s="1"/>
  <c r="I471" i="1"/>
  <c r="L471" i="1" s="1"/>
  <c r="I472" i="1"/>
  <c r="L472" i="1" s="1"/>
  <c r="I1439" i="1"/>
  <c r="L1439" i="1" s="1"/>
  <c r="I130" i="1"/>
  <c r="L130" i="1" s="1"/>
  <c r="I1121" i="1"/>
  <c r="L1121" i="1" s="1"/>
  <c r="I621" i="1"/>
  <c r="L621" i="1" s="1"/>
  <c r="I622" i="1"/>
  <c r="L622" i="1" s="1"/>
  <c r="I788" i="1"/>
  <c r="L788" i="1" s="1"/>
  <c r="I949" i="1"/>
  <c r="L949" i="1" s="1"/>
  <c r="I623" i="1"/>
  <c r="L623" i="1" s="1"/>
  <c r="I1284" i="1"/>
  <c r="L1284" i="1" s="1"/>
  <c r="I1285" i="1"/>
  <c r="L1285" i="1" s="1"/>
  <c r="I624" i="1"/>
  <c r="L624" i="1" s="1"/>
  <c r="I1286" i="1"/>
  <c r="L1286" i="1" s="1"/>
  <c r="I473" i="1"/>
  <c r="L473" i="1" s="1"/>
  <c r="I789" i="1"/>
  <c r="L789" i="1" s="1"/>
  <c r="I1287" i="1"/>
  <c r="L1287" i="1" s="1"/>
  <c r="I131" i="1"/>
  <c r="L131" i="1" s="1"/>
  <c r="I790" i="1"/>
  <c r="L790" i="1" s="1"/>
  <c r="I625" i="1"/>
  <c r="L625" i="1" s="1"/>
  <c r="I318" i="1"/>
  <c r="L318" i="1" s="1"/>
  <c r="I474" i="1"/>
  <c r="L474" i="1" s="1"/>
  <c r="I319" i="1"/>
  <c r="L319" i="1" s="1"/>
  <c r="I1440" i="1"/>
  <c r="L1440" i="1" s="1"/>
  <c r="I132" i="1"/>
  <c r="L132" i="1" s="1"/>
  <c r="I1441" i="1"/>
  <c r="L1441" i="1" s="1"/>
  <c r="I320" i="1"/>
  <c r="L320" i="1" s="1"/>
  <c r="I1288" i="1"/>
  <c r="L1288" i="1" s="1"/>
  <c r="I1122" i="1"/>
  <c r="L1122" i="1" s="1"/>
  <c r="I321" i="1"/>
  <c r="L321" i="1" s="1"/>
  <c r="I626" i="1"/>
  <c r="L626" i="1" s="1"/>
  <c r="I475" i="1"/>
  <c r="L475" i="1" s="1"/>
  <c r="I950" i="1"/>
  <c r="L950" i="1" s="1"/>
  <c r="I791" i="1"/>
  <c r="L791" i="1" s="1"/>
  <c r="I1289" i="1"/>
  <c r="L1289" i="1" s="1"/>
  <c r="I627" i="1"/>
  <c r="L627" i="1" s="1"/>
  <c r="I1442" i="1"/>
  <c r="L1442" i="1" s="1"/>
  <c r="I1443" i="1"/>
  <c r="L1443" i="1" s="1"/>
  <c r="I1444" i="1"/>
  <c r="L1444" i="1" s="1"/>
  <c r="I476" i="1"/>
  <c r="L476" i="1" s="1"/>
  <c r="I1445" i="1"/>
  <c r="L1445" i="1" s="1"/>
  <c r="I477" i="1"/>
  <c r="L477" i="1" s="1"/>
  <c r="I133" i="1"/>
  <c r="L133" i="1" s="1"/>
  <c r="I951" i="1"/>
  <c r="L951" i="1" s="1"/>
  <c r="I952" i="1"/>
  <c r="L952" i="1" s="1"/>
  <c r="I953" i="1"/>
  <c r="L953" i="1" s="1"/>
  <c r="I1446" i="1"/>
  <c r="L1446" i="1" s="1"/>
  <c r="I792" i="1"/>
  <c r="L792" i="1" s="1"/>
  <c r="I1123" i="1"/>
  <c r="L1123" i="1" s="1"/>
  <c r="I134" i="1"/>
  <c r="L134" i="1" s="1"/>
  <c r="I954" i="1"/>
  <c r="L954" i="1" s="1"/>
  <c r="I1124" i="1"/>
  <c r="L1124" i="1" s="1"/>
  <c r="I135" i="1"/>
  <c r="L135" i="1" s="1"/>
  <c r="I322" i="1"/>
  <c r="L322" i="1" s="1"/>
  <c r="I136" i="1"/>
  <c r="L136" i="1" s="1"/>
  <c r="I955" i="1"/>
  <c r="L955" i="1" s="1"/>
  <c r="I628" i="1"/>
  <c r="L628" i="1" s="1"/>
  <c r="I1290" i="1"/>
  <c r="L1290" i="1" s="1"/>
  <c r="I1291" i="1"/>
  <c r="L1291" i="1" s="1"/>
  <c r="I629" i="1"/>
  <c r="L629" i="1" s="1"/>
  <c r="I478" i="1"/>
  <c r="L478" i="1" s="1"/>
  <c r="I956" i="1"/>
  <c r="L956" i="1" s="1"/>
  <c r="I479" i="1"/>
  <c r="L479" i="1" s="1"/>
  <c r="I957" i="1"/>
  <c r="L957" i="1" s="1"/>
  <c r="I137" i="1"/>
  <c r="L137" i="1" s="1"/>
  <c r="I630" i="1"/>
  <c r="L630" i="1" s="1"/>
  <c r="I958" i="1"/>
  <c r="L958" i="1" s="1"/>
  <c r="I480" i="1"/>
  <c r="L480" i="1" s="1"/>
  <c r="I138" i="1"/>
  <c r="L138" i="1" s="1"/>
  <c r="I631" i="1"/>
  <c r="L631" i="1" s="1"/>
  <c r="I1447" i="1"/>
  <c r="L1447" i="1" s="1"/>
  <c r="I1292" i="1"/>
  <c r="L1292" i="1" s="1"/>
  <c r="I139" i="1"/>
  <c r="I959" i="1"/>
  <c r="L959" i="1" s="1"/>
  <c r="I481" i="1"/>
  <c r="L481" i="1" s="1"/>
  <c r="I1448" i="1"/>
  <c r="L1448" i="1" s="1"/>
  <c r="I793" i="1"/>
  <c r="L793" i="1" s="1"/>
  <c r="I482" i="1"/>
  <c r="L482" i="1" s="1"/>
  <c r="I1293" i="1"/>
  <c r="L1293" i="1" s="1"/>
  <c r="I632" i="1"/>
  <c r="L632" i="1" s="1"/>
  <c r="I1449" i="1"/>
  <c r="L1449" i="1" s="1"/>
  <c r="I483" i="1"/>
  <c r="L483" i="1" s="1"/>
  <c r="I323" i="1"/>
  <c r="L323" i="1" s="1"/>
  <c r="I140" i="1"/>
  <c r="L140" i="1" s="1"/>
  <c r="I1450" i="1"/>
  <c r="L1450" i="1" s="1"/>
  <c r="I794" i="1"/>
  <c r="L794" i="1" s="1"/>
  <c r="I324" i="1"/>
  <c r="L324" i="1" s="1"/>
  <c r="I141" i="1"/>
  <c r="L141" i="1" s="1"/>
  <c r="I633" i="1"/>
  <c r="L633" i="1" s="1"/>
  <c r="I142" i="1"/>
  <c r="L142" i="1" s="1"/>
  <c r="I795" i="1"/>
  <c r="L795" i="1" s="1"/>
  <c r="I960" i="1"/>
  <c r="L960" i="1" s="1"/>
  <c r="I634" i="1"/>
  <c r="L634" i="1" s="1"/>
  <c r="I325" i="1"/>
  <c r="L325" i="1" s="1"/>
  <c r="I635" i="1"/>
  <c r="L635" i="1" s="1"/>
  <c r="I961" i="1"/>
  <c r="L961" i="1" s="1"/>
  <c r="I143" i="1"/>
  <c r="L143" i="1" s="1"/>
  <c r="I796" i="1"/>
  <c r="L796" i="1" s="1"/>
  <c r="I1125" i="1"/>
  <c r="L1125" i="1" s="1"/>
  <c r="I1451" i="1"/>
  <c r="L1451" i="1" s="1"/>
  <c r="I144" i="1"/>
  <c r="L144" i="1" s="1"/>
  <c r="I962" i="1"/>
  <c r="L962" i="1" s="1"/>
  <c r="I484" i="1"/>
  <c r="L484" i="1" s="1"/>
  <c r="I963" i="1"/>
  <c r="L963" i="1" s="1"/>
  <c r="I964" i="1"/>
  <c r="L964" i="1" s="1"/>
  <c r="I636" i="1"/>
  <c r="L636" i="1" s="1"/>
  <c r="I1452" i="1"/>
  <c r="L1452" i="1" s="1"/>
  <c r="I1126" i="1"/>
  <c r="L1126" i="1" s="1"/>
  <c r="I1453" i="1"/>
  <c r="L1453" i="1" s="1"/>
  <c r="I797" i="1"/>
  <c r="L797" i="1" s="1"/>
  <c r="I326" i="1"/>
  <c r="L326" i="1" s="1"/>
  <c r="I145" i="1"/>
  <c r="L145" i="1" s="1"/>
  <c r="I146" i="1"/>
  <c r="L146" i="1" s="1"/>
  <c r="I965" i="1"/>
  <c r="L965" i="1" s="1"/>
  <c r="I147" i="1"/>
  <c r="L147" i="1" s="1"/>
  <c r="I485" i="1"/>
  <c r="L485" i="1" s="1"/>
  <c r="I966" i="1"/>
  <c r="L966" i="1" s="1"/>
  <c r="I798" i="1"/>
  <c r="L798" i="1" s="1"/>
  <c r="I1294" i="1"/>
  <c r="L1294" i="1" s="1"/>
  <c r="I486" i="1"/>
  <c r="L486" i="1" s="1"/>
  <c r="I967" i="1"/>
  <c r="I148" i="1"/>
  <c r="L148" i="1" s="1"/>
  <c r="I1127" i="1"/>
  <c r="L1127" i="1" s="1"/>
  <c r="I637" i="1"/>
  <c r="L637" i="1" s="1"/>
  <c r="I799" i="1"/>
  <c r="L799" i="1" s="1"/>
  <c r="I638" i="1"/>
  <c r="L638" i="1" s="1"/>
  <c r="I639" i="1"/>
  <c r="L639" i="1" s="1"/>
  <c r="I640" i="1"/>
  <c r="L640" i="1" s="1"/>
  <c r="I800" i="1"/>
  <c r="L800" i="1" s="1"/>
  <c r="I487" i="1"/>
  <c r="L487" i="1" s="1"/>
  <c r="I968" i="1"/>
  <c r="L968" i="1" s="1"/>
  <c r="I488" i="1"/>
  <c r="L488" i="1" s="1"/>
  <c r="I1454" i="1"/>
  <c r="L1454" i="1" s="1"/>
  <c r="I1295" i="1"/>
  <c r="L1295" i="1" s="1"/>
  <c r="I327" i="1"/>
  <c r="L327" i="1" s="1"/>
  <c r="I328" i="1"/>
  <c r="L328" i="1" s="1"/>
  <c r="I329" i="1"/>
  <c r="L329" i="1" s="1"/>
  <c r="I801" i="1"/>
  <c r="L801" i="1" s="1"/>
  <c r="I1128" i="1"/>
  <c r="L1128" i="1" s="1"/>
  <c r="I330" i="1"/>
  <c r="L330" i="1" s="1"/>
  <c r="I489" i="1"/>
  <c r="L489" i="1" s="1"/>
  <c r="I149" i="1"/>
  <c r="L149" i="1" s="1"/>
  <c r="I1129" i="1"/>
  <c r="L1129" i="1" s="1"/>
  <c r="I490" i="1"/>
  <c r="L490" i="1" s="1"/>
  <c r="I1455" i="1"/>
  <c r="L1455" i="1" s="1"/>
  <c r="I802" i="1"/>
  <c r="L802" i="1" s="1"/>
  <c r="I150" i="1"/>
  <c r="L150" i="1" s="1"/>
  <c r="I331" i="1"/>
  <c r="L331" i="1" s="1"/>
  <c r="I969" i="1"/>
  <c r="L969" i="1" s="1"/>
  <c r="I1456" i="1"/>
  <c r="L1456" i="1" s="1"/>
  <c r="I1457" i="1"/>
  <c r="L1457" i="1" s="1"/>
  <c r="I970" i="1"/>
  <c r="L970" i="1" s="1"/>
  <c r="I803" i="1"/>
  <c r="L803" i="1" s="1"/>
  <c r="I151" i="1"/>
  <c r="L151" i="1" s="1"/>
  <c r="I804" i="1"/>
  <c r="L804" i="1" s="1"/>
  <c r="I152" i="1"/>
  <c r="L152" i="1" s="1"/>
  <c r="I332" i="1"/>
  <c r="L332" i="1" s="1"/>
  <c r="I333" i="1"/>
  <c r="L333" i="1" s="1"/>
  <c r="I971" i="1"/>
  <c r="L971" i="1" s="1"/>
  <c r="I972" i="1"/>
  <c r="L972" i="1" s="1"/>
  <c r="I1130" i="1"/>
  <c r="L1130" i="1" s="1"/>
  <c r="I973" i="1"/>
  <c r="L973" i="1" s="1"/>
  <c r="I153" i="1"/>
  <c r="L153" i="1" s="1"/>
  <c r="I641" i="1"/>
  <c r="L641" i="1" s="1"/>
  <c r="I491" i="1"/>
  <c r="L491" i="1" s="1"/>
  <c r="I492" i="1"/>
  <c r="L492" i="1" s="1"/>
  <c r="I974" i="1"/>
  <c r="L974" i="1" s="1"/>
  <c r="I154" i="1"/>
  <c r="L154" i="1" s="1"/>
  <c r="I1131" i="1"/>
  <c r="L1131" i="1" s="1"/>
  <c r="I155" i="1"/>
  <c r="L155" i="1" s="1"/>
  <c r="I975" i="1"/>
  <c r="L975" i="1" s="1"/>
  <c r="I1458" i="1"/>
  <c r="L1458" i="1" s="1"/>
  <c r="I976" i="1"/>
  <c r="L976" i="1" s="1"/>
  <c r="I1459" i="1"/>
  <c r="L1459" i="1" s="1"/>
  <c r="I1460" i="1"/>
  <c r="L1460" i="1" s="1"/>
  <c r="I156" i="1"/>
  <c r="L156" i="1" s="1"/>
  <c r="I1461" i="1"/>
  <c r="L1461" i="1" s="1"/>
  <c r="I1462" i="1"/>
  <c r="L1462" i="1" s="1"/>
  <c r="I157" i="1"/>
  <c r="L157" i="1" s="1"/>
  <c r="I642" i="1"/>
  <c r="L642" i="1" s="1"/>
  <c r="I334" i="1"/>
  <c r="L334" i="1" s="1"/>
  <c r="I1463" i="1"/>
  <c r="L1463" i="1" s="1"/>
  <c r="I1296" i="1"/>
  <c r="L1296" i="1" s="1"/>
  <c r="I643" i="1"/>
  <c r="L643" i="1" s="1"/>
  <c r="I493" i="1"/>
  <c r="L493" i="1" s="1"/>
  <c r="I494" i="1"/>
  <c r="L494" i="1" s="1"/>
  <c r="I335" i="1"/>
  <c r="L335" i="1" s="1"/>
  <c r="I336" i="1"/>
  <c r="L336" i="1" s="1"/>
  <c r="I977" i="1"/>
  <c r="L977" i="1" s="1"/>
  <c r="I644" i="1"/>
  <c r="L644" i="1" s="1"/>
  <c r="I645" i="1"/>
  <c r="L645" i="1" s="1"/>
  <c r="I1297" i="1"/>
  <c r="L1297" i="1" s="1"/>
  <c r="I337" i="1"/>
  <c r="L337" i="1" s="1"/>
  <c r="I646" i="1"/>
  <c r="L646" i="1" s="1"/>
  <c r="I1464" i="1"/>
  <c r="L1464" i="1" s="1"/>
  <c r="I647" i="1"/>
  <c r="L647" i="1" s="1"/>
  <c r="I805" i="1"/>
  <c r="L805" i="1" s="1"/>
  <c r="I1132" i="1"/>
  <c r="L1132" i="1" s="1"/>
  <c r="I158" i="1"/>
  <c r="L158" i="1" s="1"/>
  <c r="I648" i="1"/>
  <c r="L648" i="1" s="1"/>
  <c r="I1298" i="1"/>
  <c r="I495" i="1"/>
  <c r="L495" i="1" s="1"/>
  <c r="I1299" i="1"/>
  <c r="L1299" i="1" s="1"/>
  <c r="I159" i="1"/>
  <c r="L159" i="1" s="1"/>
  <c r="I806" i="1"/>
  <c r="L806" i="1" s="1"/>
  <c r="I338" i="1"/>
  <c r="L338" i="1" s="1"/>
  <c r="I807" i="1"/>
  <c r="L807" i="1" s="1"/>
  <c r="I978" i="1"/>
  <c r="L978" i="1" s="1"/>
  <c r="I979" i="1"/>
  <c r="L979" i="1" s="1"/>
  <c r="I496" i="1"/>
  <c r="L496" i="1" s="1"/>
  <c r="I980" i="1"/>
  <c r="L980" i="1" s="1"/>
  <c r="I1465" i="1"/>
  <c r="L1465" i="1" s="1"/>
  <c r="I981" i="1"/>
  <c r="L981" i="1" s="1"/>
  <c r="I160" i="1"/>
  <c r="L160" i="1" s="1"/>
  <c r="I497" i="1"/>
  <c r="L497" i="1" s="1"/>
  <c r="I339" i="1"/>
  <c r="L339" i="1" s="1"/>
  <c r="I808" i="1"/>
  <c r="L808" i="1" s="1"/>
  <c r="I982" i="1"/>
  <c r="L982" i="1" s="1"/>
  <c r="I1133" i="1"/>
  <c r="L1133" i="1" s="1"/>
  <c r="I1466" i="1"/>
  <c r="L1466" i="1" s="1"/>
  <c r="I1134" i="1"/>
  <c r="L1134" i="1" s="1"/>
  <c r="I649" i="1"/>
  <c r="L649" i="1" s="1"/>
  <c r="I498" i="1"/>
  <c r="L498" i="1" s="1"/>
  <c r="I650" i="1"/>
  <c r="L650" i="1" s="1"/>
  <c r="I651" i="1"/>
  <c r="L651" i="1" s="1"/>
  <c r="I983" i="1"/>
  <c r="L983" i="1" s="1"/>
  <c r="I161" i="1"/>
  <c r="L161" i="1" s="1"/>
  <c r="I340" i="1"/>
  <c r="L340" i="1" s="1"/>
  <c r="I341" i="1"/>
  <c r="L341" i="1" s="1"/>
  <c r="I809" i="1"/>
  <c r="L809" i="1" s="1"/>
  <c r="I1135" i="1"/>
  <c r="L1135" i="1" s="1"/>
  <c r="I652" i="1"/>
  <c r="L652" i="1" s="1"/>
  <c r="I162" i="1"/>
  <c r="L162" i="1" s="1"/>
  <c r="I342" i="1"/>
  <c r="L342" i="1" s="1"/>
  <c r="I499" i="1"/>
  <c r="L499" i="1" s="1"/>
  <c r="I1136" i="1"/>
  <c r="L1136" i="1" s="1"/>
  <c r="I653" i="1"/>
  <c r="L653" i="1" s="1"/>
  <c r="I500" i="1"/>
  <c r="L500" i="1" s="1"/>
  <c r="I163" i="1"/>
  <c r="L163" i="1" s="1"/>
  <c r="I984" i="1"/>
  <c r="L984" i="1" s="1"/>
  <c r="I1137" i="1"/>
  <c r="L1137" i="1" s="1"/>
  <c r="I343" i="1"/>
  <c r="L343" i="1" s="1"/>
  <c r="I164" i="1"/>
  <c r="L164" i="1" s="1"/>
  <c r="I1138" i="1"/>
  <c r="L1138" i="1" s="1"/>
  <c r="I1467" i="1"/>
  <c r="L1467" i="1" s="1"/>
  <c r="I654" i="1"/>
  <c r="L654" i="1" s="1"/>
  <c r="I1468" i="1"/>
  <c r="L1468" i="1" s="1"/>
  <c r="I810" i="1"/>
  <c r="L810" i="1" s="1"/>
  <c r="I985" i="1"/>
  <c r="I655" i="1"/>
  <c r="L655" i="1" s="1"/>
  <c r="I1139" i="1"/>
  <c r="L1139" i="1" s="1"/>
  <c r="I811" i="1"/>
  <c r="L811" i="1" s="1"/>
  <c r="I501" i="1"/>
  <c r="L501" i="1" s="1"/>
  <c r="I1469" i="1"/>
  <c r="L1469" i="1" s="1"/>
  <c r="I502" i="1"/>
  <c r="L502" i="1" s="1"/>
  <c r="I1140" i="1"/>
  <c r="L1140" i="1" s="1"/>
  <c r="I1300" i="1"/>
  <c r="L1300" i="1" s="1"/>
  <c r="I1470" i="1"/>
  <c r="L1470" i="1" s="1"/>
  <c r="I1301" i="1"/>
  <c r="L1301" i="1" s="1"/>
  <c r="I656" i="1"/>
  <c r="L656" i="1" s="1"/>
  <c r="I165" i="1"/>
  <c r="L165" i="1" s="1"/>
  <c r="I986" i="1"/>
  <c r="L986" i="1" s="1"/>
  <c r="I166" i="1"/>
  <c r="L166" i="1" s="1"/>
  <c r="I344" i="1"/>
  <c r="L344" i="1" s="1"/>
  <c r="I1141" i="1"/>
  <c r="L1141" i="1" s="1"/>
  <c r="I1471" i="1"/>
  <c r="L1471" i="1" s="1"/>
  <c r="I167" i="1"/>
  <c r="L167" i="1" s="1"/>
  <c r="I1302" i="1"/>
  <c r="L1302" i="1" s="1"/>
  <c r="I345" i="1"/>
  <c r="L345" i="1" s="1"/>
  <c r="I1142" i="1"/>
  <c r="L1142" i="1" s="1"/>
  <c r="I1472" i="1"/>
  <c r="L1472" i="1" s="1"/>
  <c r="I812" i="1"/>
  <c r="L812" i="1" s="1"/>
  <c r="I813" i="1"/>
  <c r="L813" i="1" s="1"/>
  <c r="I1303" i="1"/>
  <c r="L1303" i="1" s="1"/>
  <c r="I1473" i="1"/>
  <c r="L1473" i="1" s="1"/>
  <c r="I168" i="1"/>
  <c r="L168" i="1" s="1"/>
  <c r="I1474" i="1"/>
  <c r="L1474" i="1" s="1"/>
  <c r="I1143" i="1"/>
  <c r="L1143" i="1" s="1"/>
  <c r="I503" i="1"/>
  <c r="L503" i="1" s="1"/>
  <c r="I1475" i="1"/>
  <c r="L1475" i="1" s="1"/>
  <c r="I987" i="1"/>
  <c r="L987" i="1" s="1"/>
  <c r="I988" i="1"/>
  <c r="L988" i="1" s="1"/>
  <c r="I346" i="1"/>
  <c r="L346" i="1" s="1"/>
  <c r="I169" i="1"/>
  <c r="L169" i="1" s="1"/>
  <c r="I989" i="1"/>
  <c r="L989" i="1" s="1"/>
  <c r="I814" i="1"/>
  <c r="L814" i="1" s="1"/>
  <c r="I990" i="1"/>
  <c r="L990" i="1" s="1"/>
  <c r="I347" i="1"/>
  <c r="L347" i="1" s="1"/>
  <c r="I504" i="1"/>
  <c r="L504" i="1" s="1"/>
  <c r="I815" i="1"/>
  <c r="L815" i="1" s="1"/>
  <c r="I348" i="1"/>
  <c r="L348" i="1" s="1"/>
  <c r="I816" i="1"/>
  <c r="L816" i="1" s="1"/>
  <c r="I817" i="1"/>
  <c r="L817" i="1" s="1"/>
  <c r="I349" i="1"/>
  <c r="L349" i="1" s="1"/>
  <c r="I991" i="1"/>
  <c r="L991" i="1" s="1"/>
  <c r="I657" i="1"/>
  <c r="L657" i="1" s="1"/>
  <c r="I658" i="1"/>
  <c r="L658" i="1" s="1"/>
  <c r="I505" i="1"/>
  <c r="L505" i="1" s="1"/>
  <c r="I818" i="1"/>
  <c r="L818" i="1" s="1"/>
  <c r="I659" i="1"/>
  <c r="L659" i="1" s="1"/>
  <c r="I819" i="1"/>
  <c r="L819" i="1" s="1"/>
  <c r="I170" i="1"/>
  <c r="L170" i="1" s="1"/>
  <c r="I1144" i="1"/>
  <c r="L1144" i="1" s="1"/>
  <c r="I350" i="1"/>
  <c r="L350" i="1" s="1"/>
  <c r="I660" i="1"/>
  <c r="L660" i="1" s="1"/>
  <c r="I661" i="1"/>
  <c r="L661" i="1" s="1"/>
  <c r="I992" i="1"/>
  <c r="L992" i="1" s="1"/>
  <c r="I1304" i="1"/>
  <c r="L1304" i="1" s="1"/>
  <c r="I662" i="1"/>
  <c r="L662" i="1" s="1"/>
  <c r="I171" i="1"/>
  <c r="L171" i="1" s="1"/>
  <c r="I1305" i="1"/>
  <c r="L1305" i="1" s="1"/>
  <c r="I1306" i="1"/>
  <c r="L1306" i="1" s="1"/>
  <c r="I506" i="1"/>
  <c r="L506" i="1" s="1"/>
  <c r="I1307" i="1"/>
  <c r="L1307" i="1" s="1"/>
  <c r="I351" i="1"/>
  <c r="L351" i="1" s="1"/>
  <c r="I1476" i="1"/>
  <c r="L1476" i="1" s="1"/>
  <c r="I663" i="1"/>
  <c r="L663" i="1" s="1"/>
  <c r="I1308" i="1"/>
  <c r="L1308" i="1" s="1"/>
  <c r="I664" i="1"/>
  <c r="L664" i="1" s="1"/>
  <c r="I665" i="1"/>
  <c r="L665" i="1" s="1"/>
  <c r="I1145" i="1"/>
  <c r="L1145" i="1" s="1"/>
  <c r="I1146" i="1"/>
  <c r="L1146" i="1" s="1"/>
  <c r="I1147" i="1"/>
  <c r="L1147" i="1" s="1"/>
  <c r="I172" i="1"/>
  <c r="L172" i="1" s="1"/>
  <c r="I173" i="1"/>
  <c r="L173" i="1" s="1"/>
  <c r="I993" i="1"/>
  <c r="L993" i="1" s="1"/>
  <c r="I666" i="1"/>
  <c r="L666" i="1" s="1"/>
  <c r="I1477" i="1"/>
  <c r="L1477" i="1" s="1"/>
  <c r="I507" i="1"/>
  <c r="I1309" i="1"/>
  <c r="L1309" i="1" s="1"/>
  <c r="I1148" i="1"/>
  <c r="L1148" i="1" s="1"/>
  <c r="I508" i="1"/>
  <c r="L508" i="1" s="1"/>
  <c r="I820" i="1"/>
  <c r="L820" i="1" s="1"/>
  <c r="I994" i="1"/>
  <c r="L994" i="1" s="1"/>
  <c r="I995" i="1"/>
  <c r="L995" i="1" s="1"/>
  <c r="I1478" i="1"/>
  <c r="L1478" i="1" s="1"/>
  <c r="I509" i="1"/>
  <c r="L509" i="1" s="1"/>
  <c r="I667" i="1"/>
  <c r="L667" i="1" s="1"/>
  <c r="I352" i="1"/>
  <c r="L352" i="1" s="1"/>
  <c r="I353" i="1"/>
  <c r="L353" i="1" s="1"/>
  <c r="I1310" i="1"/>
  <c r="L1310" i="1" s="1"/>
  <c r="I668" i="1"/>
  <c r="L668" i="1" s="1"/>
  <c r="I821" i="1"/>
  <c r="L821" i="1" s="1"/>
  <c r="I174" i="1"/>
  <c r="L174" i="1" s="1"/>
  <c r="I1311" i="1"/>
  <c r="L1311" i="1" s="1"/>
  <c r="I822" i="1"/>
  <c r="L822" i="1" s="1"/>
  <c r="I823" i="1"/>
  <c r="L823" i="1" s="1"/>
  <c r="I354" i="1"/>
  <c r="L354" i="1" s="1"/>
  <c r="I1479" i="1"/>
  <c r="L1479" i="1" s="1"/>
  <c r="I175" i="1"/>
  <c r="L175" i="1" s="1"/>
  <c r="I176" i="1"/>
  <c r="L176" i="1" s="1"/>
  <c r="I824" i="1"/>
  <c r="L824" i="1" s="1"/>
  <c r="I510" i="1"/>
  <c r="L510" i="1" s="1"/>
  <c r="I511" i="1"/>
  <c r="L511" i="1" s="1"/>
  <c r="I355" i="1"/>
  <c r="L355" i="1" s="1"/>
  <c r="I1312" i="1"/>
  <c r="L1312" i="1" s="1"/>
  <c r="I512" i="1"/>
  <c r="L512" i="1" s="1"/>
  <c r="I1480" i="1"/>
  <c r="L1480" i="1" s="1"/>
  <c r="I1149" i="1"/>
  <c r="L1149" i="1" s="1"/>
  <c r="I825" i="1"/>
  <c r="L825" i="1" s="1"/>
  <c r="I1313" i="1"/>
  <c r="L1313" i="1" s="1"/>
  <c r="I177" i="1"/>
  <c r="L177" i="1" s="1"/>
  <c r="I178" i="1"/>
  <c r="L178" i="1" s="1"/>
  <c r="I996" i="1"/>
  <c r="L996" i="1" s="1"/>
  <c r="I1314" i="1"/>
  <c r="L1314" i="1" s="1"/>
  <c r="I356" i="1"/>
  <c r="L356" i="1" s="1"/>
  <c r="I357" i="1"/>
  <c r="L357" i="1" s="1"/>
  <c r="I1150" i="1"/>
  <c r="L1150" i="1" s="1"/>
  <c r="I1315" i="1"/>
  <c r="L1315" i="1" s="1"/>
  <c r="I179" i="1"/>
  <c r="L179" i="1" s="1"/>
  <c r="I997" i="1"/>
  <c r="L997" i="1" s="1"/>
  <c r="I1316" i="1"/>
  <c r="L1316" i="1" s="1"/>
  <c r="I513" i="1"/>
  <c r="L513" i="1" s="1"/>
  <c r="I998" i="1"/>
  <c r="L998" i="1" s="1"/>
  <c r="I826" i="1"/>
  <c r="L826" i="1" s="1"/>
  <c r="I1317" i="1"/>
  <c r="L1317" i="1" s="1"/>
  <c r="I999" i="1"/>
  <c r="L999" i="1" s="1"/>
  <c r="I827" i="1"/>
  <c r="L827" i="1" s="1"/>
  <c r="I1318" i="1"/>
  <c r="L1318" i="1" s="1"/>
  <c r="I358" i="1"/>
  <c r="L358" i="1" s="1"/>
  <c r="I514" i="1"/>
  <c r="L514" i="1" s="1"/>
  <c r="I515" i="1"/>
  <c r="L515" i="1" s="1"/>
  <c r="I516" i="1"/>
  <c r="L516" i="1" s="1"/>
  <c r="I180" i="1"/>
  <c r="L180" i="1" s="1"/>
  <c r="I1000" i="1"/>
  <c r="L1000" i="1" s="1"/>
  <c r="I1481" i="1"/>
  <c r="L1481" i="1" s="1"/>
  <c r="I669" i="1"/>
  <c r="L669" i="1" s="1"/>
  <c r="I1482" i="1"/>
  <c r="L1482" i="1" s="1"/>
  <c r="I1483" i="1"/>
  <c r="L1483" i="1" s="1"/>
  <c r="I1319" i="1"/>
  <c r="L1319" i="1" s="1"/>
  <c r="I181" i="1"/>
  <c r="L181" i="1" s="1"/>
  <c r="I359" i="1"/>
  <c r="L359" i="1" s="1"/>
  <c r="I517" i="1"/>
  <c r="L517" i="1" s="1"/>
  <c r="I182" i="1"/>
  <c r="L182" i="1" s="1"/>
  <c r="I670" i="1"/>
  <c r="L670" i="1" s="1"/>
  <c r="I828" i="1"/>
  <c r="L828" i="1" s="1"/>
  <c r="I1484" i="1"/>
  <c r="L1484" i="1" s="1"/>
  <c r="I1151" i="1"/>
  <c r="L1151" i="1" s="1"/>
  <c r="I183" i="1"/>
  <c r="L183" i="1" s="1"/>
  <c r="I1320" i="1"/>
  <c r="L1320" i="1" s="1"/>
  <c r="I671" i="1"/>
  <c r="L671" i="1" s="1"/>
  <c r="I184" i="1"/>
  <c r="L184" i="1" s="1"/>
  <c r="I829" i="1"/>
  <c r="L829" i="1" s="1"/>
  <c r="I830" i="1"/>
  <c r="L830" i="1" s="1"/>
  <c r="I1152" i="1"/>
  <c r="L1152" i="1" s="1"/>
  <c r="I518" i="1"/>
  <c r="L518" i="1" s="1"/>
  <c r="I360" i="1"/>
  <c r="L360" i="1" s="1"/>
  <c r="I831" i="1"/>
  <c r="L831" i="1" s="1"/>
  <c r="I1153" i="1"/>
  <c r="L1153" i="1" s="1"/>
  <c r="I1154" i="1"/>
  <c r="L1154" i="1" s="1"/>
  <c r="I832" i="1"/>
  <c r="L832" i="1" s="1"/>
  <c r="I185" i="1"/>
  <c r="L185" i="1" s="1"/>
  <c r="I361" i="1"/>
  <c r="L361" i="1" s="1"/>
  <c r="I833" i="1"/>
  <c r="L833" i="1" s="1"/>
  <c r="I672" i="1"/>
  <c r="L672" i="1" s="1"/>
  <c r="I1321" i="1"/>
  <c r="L1321" i="1" s="1"/>
  <c r="I1001" i="1"/>
  <c r="L1001" i="1" s="1"/>
  <c r="I1155" i="1"/>
  <c r="L1155" i="1" s="1"/>
  <c r="I834" i="1"/>
  <c r="L834" i="1" s="1"/>
  <c r="I186" i="1"/>
  <c r="L186" i="1" s="1"/>
  <c r="I362" i="1"/>
  <c r="L362" i="1" s="1"/>
  <c r="I1485" i="1"/>
  <c r="L1485" i="1" s="1"/>
  <c r="I1486" i="1"/>
  <c r="L1486" i="1" s="1"/>
  <c r="I187" i="1"/>
  <c r="L187" i="1" s="1"/>
  <c r="I519" i="1"/>
  <c r="L519" i="1" s="1"/>
  <c r="I188" i="1"/>
  <c r="L188" i="1" s="1"/>
  <c r="I363" i="1"/>
  <c r="L363" i="1" s="1"/>
  <c r="I835" i="1"/>
  <c r="L835" i="1" s="1"/>
  <c r="I836" i="1"/>
  <c r="L836" i="1" s="1"/>
  <c r="I1156" i="1"/>
  <c r="L1156" i="1" s="1"/>
  <c r="I1322" i="1"/>
  <c r="L1322" i="1" s="1"/>
  <c r="I1323" i="1"/>
  <c r="L1323" i="1" s="1"/>
  <c r="I837" i="1"/>
  <c r="L837" i="1" s="1"/>
  <c r="I1324" i="1"/>
  <c r="L1324" i="1" s="1"/>
  <c r="I1002" i="1"/>
  <c r="L1002" i="1" s="1"/>
  <c r="I520" i="1"/>
  <c r="L520" i="1" s="1"/>
  <c r="I673" i="1"/>
  <c r="L673" i="1" s="1"/>
  <c r="I838" i="1"/>
  <c r="L838" i="1" s="1"/>
  <c r="I1157" i="1"/>
  <c r="L1157" i="1" s="1"/>
  <c r="I1487" i="1"/>
  <c r="L1487" i="1" s="1"/>
  <c r="I674" i="1"/>
  <c r="L674" i="1" s="1"/>
  <c r="I1003" i="1"/>
  <c r="L1003" i="1" s="1"/>
  <c r="I189" i="1"/>
  <c r="L189" i="1" s="1"/>
  <c r="I190" i="1"/>
  <c r="L190" i="1" s="1"/>
  <c r="I1004" i="1"/>
  <c r="L1004" i="1" s="1"/>
  <c r="I675" i="1"/>
  <c r="L675" i="1" s="1"/>
  <c r="I191" i="1"/>
  <c r="L191" i="1" s="1"/>
  <c r="I676" i="1"/>
  <c r="L676" i="1" s="1"/>
  <c r="I1488" i="1"/>
  <c r="L1488" i="1" s="1"/>
  <c r="I521" i="1"/>
  <c r="L521" i="1" s="1"/>
  <c r="I839" i="1"/>
  <c r="L839" i="1" s="1"/>
  <c r="I192" i="1"/>
  <c r="L192" i="1" s="1"/>
  <c r="I1489" i="1"/>
  <c r="L1489" i="1" s="1"/>
  <c r="I1005" i="1"/>
  <c r="L1005" i="1" s="1"/>
  <c r="I1490" i="1"/>
  <c r="L1490" i="1" s="1"/>
  <c r="I364" i="1"/>
  <c r="L364" i="1" s="1"/>
  <c r="I365" i="1"/>
  <c r="L365" i="1" s="1"/>
  <c r="I677" i="1"/>
  <c r="L677" i="1" s="1"/>
  <c r="E840" i="1"/>
  <c r="Q840" i="1" s="1"/>
  <c r="E366" i="1"/>
  <c r="Q366" i="1" s="1"/>
  <c r="E678" i="1"/>
  <c r="Q678" i="1" s="1"/>
  <c r="E193" i="1"/>
  <c r="Q193" i="1" s="1"/>
  <c r="E1006" i="1"/>
  <c r="Q1006" i="1" s="1"/>
  <c r="E194" i="1"/>
  <c r="Q194" i="1" s="1"/>
  <c r="E2" i="1"/>
  <c r="Q2" i="1" s="1"/>
  <c r="E367" i="1"/>
  <c r="Q367" i="1" s="1"/>
  <c r="E522" i="1"/>
  <c r="Q522" i="1" s="1"/>
  <c r="E523" i="1"/>
  <c r="Q523" i="1" s="1"/>
  <c r="E841" i="1"/>
  <c r="Q841" i="1" s="1"/>
  <c r="E195" i="1"/>
  <c r="Q195" i="1" s="1"/>
  <c r="E1325" i="1"/>
  <c r="Q1325" i="1" s="1"/>
  <c r="E842" i="1"/>
  <c r="Q842" i="1" s="1"/>
  <c r="E368" i="1"/>
  <c r="Q368" i="1" s="1"/>
  <c r="E1326" i="1"/>
  <c r="Q1326" i="1" s="1"/>
  <c r="E1158" i="1"/>
  <c r="Q1158" i="1" s="1"/>
  <c r="E1159" i="1"/>
  <c r="Q1159" i="1" s="1"/>
  <c r="E524" i="1"/>
  <c r="Q524" i="1" s="1"/>
  <c r="E1160" i="1"/>
  <c r="Q1160" i="1" s="1"/>
  <c r="E679" i="1"/>
  <c r="Q679" i="1" s="1"/>
  <c r="E369" i="1"/>
  <c r="Q369" i="1" s="1"/>
  <c r="E680" i="1"/>
  <c r="Q680" i="1" s="1"/>
  <c r="E3" i="1"/>
  <c r="Q3" i="1" s="1"/>
  <c r="E843" i="1"/>
  <c r="Q843" i="1" s="1"/>
  <c r="E1327" i="1"/>
  <c r="Q1327" i="1" s="1"/>
  <c r="E1161" i="1"/>
  <c r="Q1161" i="1" s="1"/>
  <c r="E1162" i="1"/>
  <c r="Q1162" i="1" s="1"/>
  <c r="E525" i="1"/>
  <c r="Q525" i="1" s="1"/>
  <c r="E681" i="1"/>
  <c r="Q681" i="1" s="1"/>
  <c r="E1163" i="1"/>
  <c r="Q1163" i="1" s="1"/>
  <c r="E526" i="1"/>
  <c r="Q526" i="1" s="1"/>
  <c r="E682" i="1"/>
  <c r="Q682" i="1" s="1"/>
  <c r="E1007" i="1"/>
  <c r="Q1007" i="1" s="1"/>
  <c r="E1328" i="1"/>
  <c r="Q1328" i="1" s="1"/>
  <c r="E844" i="1"/>
  <c r="Q844" i="1" s="1"/>
  <c r="E683" i="1"/>
  <c r="Q683" i="1" s="1"/>
  <c r="E1008" i="1"/>
  <c r="Q1008" i="1" s="1"/>
  <c r="E527" i="1"/>
  <c r="Q527" i="1" s="1"/>
  <c r="E845" i="1"/>
  <c r="Q845" i="1" s="1"/>
  <c r="E196" i="1"/>
  <c r="Q196" i="1" s="1"/>
  <c r="E684" i="1"/>
  <c r="Q684" i="1" s="1"/>
  <c r="E528" i="1"/>
  <c r="Q528" i="1" s="1"/>
  <c r="E1164" i="1"/>
  <c r="Q1164" i="1" s="1"/>
  <c r="E529" i="1"/>
  <c r="Q529" i="1" s="1"/>
  <c r="E370" i="1"/>
  <c r="Q370" i="1" s="1"/>
  <c r="E371" i="1"/>
  <c r="Q371" i="1" s="1"/>
  <c r="E1329" i="1"/>
  <c r="Q1329" i="1" s="1"/>
  <c r="E4" i="1"/>
  <c r="Q4" i="1" s="1"/>
  <c r="E5" i="1"/>
  <c r="Q5" i="1" s="1"/>
  <c r="E1165" i="1"/>
  <c r="Q1165" i="1" s="1"/>
  <c r="E372" i="1"/>
  <c r="Q372" i="1" s="1"/>
  <c r="E6" i="1"/>
  <c r="Q6" i="1" s="1"/>
  <c r="E1330" i="1"/>
  <c r="Q1330" i="1" s="1"/>
  <c r="E7" i="1"/>
  <c r="Q7" i="1" s="1"/>
  <c r="E373" i="1"/>
  <c r="Q373" i="1" s="1"/>
  <c r="E1166" i="1"/>
  <c r="Q1166" i="1" s="1"/>
  <c r="E846" i="1"/>
  <c r="Q846" i="1" s="1"/>
  <c r="E1009" i="1"/>
  <c r="Q1009" i="1" s="1"/>
  <c r="E1010" i="1"/>
  <c r="Q1010" i="1" s="1"/>
  <c r="E1167" i="1"/>
  <c r="Q1167" i="1" s="1"/>
  <c r="E530" i="1"/>
  <c r="Q530" i="1" s="1"/>
  <c r="E374" i="1"/>
  <c r="Q374" i="1" s="1"/>
  <c r="E685" i="1"/>
  <c r="Q685" i="1" s="1"/>
  <c r="E686" i="1"/>
  <c r="Q686" i="1" s="1"/>
  <c r="E1168" i="1"/>
  <c r="Q1168" i="1" s="1"/>
  <c r="E847" i="1"/>
  <c r="Q847" i="1" s="1"/>
  <c r="E531" i="1"/>
  <c r="Q531" i="1" s="1"/>
  <c r="E1331" i="1"/>
  <c r="Q1331" i="1" s="1"/>
  <c r="E1169" i="1"/>
  <c r="Q1169" i="1" s="1"/>
  <c r="E8" i="1"/>
  <c r="Q8" i="1" s="1"/>
  <c r="E1170" i="1"/>
  <c r="Q1170" i="1" s="1"/>
  <c r="E1011" i="1"/>
  <c r="Q1011" i="1" s="1"/>
  <c r="E375" i="1"/>
  <c r="Q375" i="1" s="1"/>
  <c r="E197" i="1"/>
  <c r="Q197" i="1" s="1"/>
  <c r="E1171" i="1"/>
  <c r="Q1171" i="1" s="1"/>
  <c r="E1172" i="1"/>
  <c r="Q1172" i="1" s="1"/>
  <c r="E376" i="1"/>
  <c r="Q376" i="1" s="1"/>
  <c r="E1332" i="1"/>
  <c r="Q1332" i="1" s="1"/>
  <c r="E687" i="1"/>
  <c r="Q687" i="1" s="1"/>
  <c r="E198" i="1"/>
  <c r="Q198" i="1" s="1"/>
  <c r="E532" i="1"/>
  <c r="Q532" i="1" s="1"/>
  <c r="E1012" i="1"/>
  <c r="Q1012" i="1" s="1"/>
  <c r="E848" i="1"/>
  <c r="Q848" i="1" s="1"/>
  <c r="E688" i="1"/>
  <c r="Q688" i="1" s="1"/>
  <c r="E1173" i="1"/>
  <c r="Q1173" i="1" s="1"/>
  <c r="E533" i="1"/>
  <c r="Q533" i="1" s="1"/>
  <c r="E689" i="1"/>
  <c r="Q689" i="1" s="1"/>
  <c r="E199" i="1"/>
  <c r="Q199" i="1" s="1"/>
  <c r="E1333" i="1"/>
  <c r="Q1333" i="1" s="1"/>
  <c r="E534" i="1"/>
  <c r="Q534" i="1" s="1"/>
  <c r="E200" i="1"/>
  <c r="Q200" i="1" s="1"/>
  <c r="E849" i="1"/>
  <c r="Q849" i="1" s="1"/>
  <c r="E1013" i="1"/>
  <c r="Q1013" i="1" s="1"/>
  <c r="E9" i="1"/>
  <c r="Q9" i="1" s="1"/>
  <c r="E690" i="1"/>
  <c r="Q690" i="1" s="1"/>
  <c r="E535" i="1"/>
  <c r="Q535" i="1" s="1"/>
  <c r="E691" i="1"/>
  <c r="Q691" i="1" s="1"/>
  <c r="E201" i="1"/>
  <c r="Q201" i="1" s="1"/>
  <c r="E692" i="1"/>
  <c r="Q692" i="1" s="1"/>
  <c r="E1174" i="1"/>
  <c r="Q1174" i="1" s="1"/>
  <c r="E1014" i="1"/>
  <c r="Q1014" i="1" s="1"/>
  <c r="E202" i="1"/>
  <c r="Q202" i="1" s="1"/>
  <c r="E1334" i="1"/>
  <c r="Q1334" i="1" s="1"/>
  <c r="E1015" i="1"/>
  <c r="Q1015" i="1" s="1"/>
  <c r="E203" i="1"/>
  <c r="Q203" i="1" s="1"/>
  <c r="E850" i="1"/>
  <c r="Q850" i="1" s="1"/>
  <c r="E204" i="1"/>
  <c r="Q204" i="1" s="1"/>
  <c r="E693" i="1"/>
  <c r="Q693" i="1" s="1"/>
  <c r="E1175" i="1"/>
  <c r="Q1175" i="1" s="1"/>
  <c r="E10" i="1"/>
  <c r="Q10" i="1" s="1"/>
  <c r="E205" i="1"/>
  <c r="Q205" i="1" s="1"/>
  <c r="E206" i="1"/>
  <c r="Q206" i="1" s="1"/>
  <c r="E1335" i="1"/>
  <c r="Q1335" i="1" s="1"/>
  <c r="E1336" i="1"/>
  <c r="Q1336" i="1" s="1"/>
  <c r="E1016" i="1"/>
  <c r="Q1016" i="1" s="1"/>
  <c r="E851" i="1"/>
  <c r="Q851" i="1" s="1"/>
  <c r="E852" i="1"/>
  <c r="Q852" i="1" s="1"/>
  <c r="E1337" i="1"/>
  <c r="Q1337" i="1" s="1"/>
  <c r="E1338" i="1"/>
  <c r="Q1338" i="1" s="1"/>
  <c r="E377" i="1"/>
  <c r="Q377" i="1" s="1"/>
  <c r="E853" i="1"/>
  <c r="Q853" i="1" s="1"/>
  <c r="E854" i="1"/>
  <c r="Q854" i="1" s="1"/>
  <c r="E1017" i="1"/>
  <c r="Q1017" i="1" s="1"/>
  <c r="E378" i="1"/>
  <c r="Q378" i="1" s="1"/>
  <c r="E694" i="1"/>
  <c r="Q694" i="1" s="1"/>
  <c r="E1018" i="1"/>
  <c r="Q1018" i="1" s="1"/>
  <c r="E379" i="1"/>
  <c r="Q379" i="1" s="1"/>
  <c r="E1339" i="1"/>
  <c r="Q1339" i="1" s="1"/>
  <c r="E1340" i="1"/>
  <c r="Q1340" i="1" s="1"/>
  <c r="E380" i="1"/>
  <c r="Q380" i="1" s="1"/>
  <c r="E207" i="1"/>
  <c r="Q207" i="1" s="1"/>
  <c r="E1019" i="1"/>
  <c r="Q1019" i="1" s="1"/>
  <c r="E855" i="1"/>
  <c r="Q855" i="1" s="1"/>
  <c r="E208" i="1"/>
  <c r="Q208" i="1" s="1"/>
  <c r="E11" i="1"/>
  <c r="Q11" i="1" s="1"/>
  <c r="E1341" i="1"/>
  <c r="Q1341" i="1" s="1"/>
  <c r="E1176" i="1"/>
  <c r="Q1176" i="1" s="1"/>
  <c r="E12" i="1"/>
  <c r="Q12" i="1" s="1"/>
  <c r="E1020" i="1"/>
  <c r="Q1020" i="1" s="1"/>
  <c r="E856" i="1"/>
  <c r="Q856" i="1" s="1"/>
  <c r="E857" i="1"/>
  <c r="Q857" i="1" s="1"/>
  <c r="E1021" i="1"/>
  <c r="Q1021" i="1" s="1"/>
  <c r="E1177" i="1"/>
  <c r="Q1177" i="1" s="1"/>
  <c r="E13" i="1"/>
  <c r="Q13" i="1" s="1"/>
  <c r="E1022" i="1"/>
  <c r="Q1022" i="1" s="1"/>
  <c r="E209" i="1"/>
  <c r="Q209" i="1" s="1"/>
  <c r="E536" i="1"/>
  <c r="Q536" i="1" s="1"/>
  <c r="E1342" i="1"/>
  <c r="Q1342" i="1" s="1"/>
  <c r="E1343" i="1"/>
  <c r="Q1343" i="1" s="1"/>
  <c r="E858" i="1"/>
  <c r="Q858" i="1" s="1"/>
  <c r="E210" i="1"/>
  <c r="Q210" i="1" s="1"/>
  <c r="E381" i="1"/>
  <c r="Q381" i="1" s="1"/>
  <c r="E537" i="1"/>
  <c r="Q537" i="1" s="1"/>
  <c r="E859" i="1"/>
  <c r="Q859" i="1" s="1"/>
  <c r="E1344" i="1"/>
  <c r="Q1344" i="1" s="1"/>
  <c r="E695" i="1"/>
  <c r="Q695" i="1" s="1"/>
  <c r="E382" i="1"/>
  <c r="Q382" i="1" s="1"/>
  <c r="E14" i="1"/>
  <c r="Q14" i="1" s="1"/>
  <c r="E538" i="1"/>
  <c r="Q538" i="1" s="1"/>
  <c r="E860" i="1"/>
  <c r="Q860" i="1" s="1"/>
  <c r="E1023" i="1"/>
  <c r="Q1023" i="1" s="1"/>
  <c r="E15" i="1"/>
  <c r="Q15" i="1" s="1"/>
  <c r="E1178" i="1"/>
  <c r="Q1178" i="1" s="1"/>
  <c r="E16" i="1"/>
  <c r="Q16" i="1" s="1"/>
  <c r="E1179" i="1"/>
  <c r="Q1179" i="1" s="1"/>
  <c r="E539" i="1"/>
  <c r="Q539" i="1" s="1"/>
  <c r="E383" i="1"/>
  <c r="Q383" i="1" s="1"/>
  <c r="E861" i="1"/>
  <c r="Q861" i="1" s="1"/>
  <c r="E384" i="1"/>
  <c r="Q384" i="1" s="1"/>
  <c r="E696" i="1"/>
  <c r="Q696" i="1" s="1"/>
  <c r="E697" i="1"/>
  <c r="Q697" i="1" s="1"/>
  <c r="E17" i="1"/>
  <c r="Q17" i="1" s="1"/>
  <c r="E385" i="1"/>
  <c r="Q385" i="1" s="1"/>
  <c r="E698" i="1"/>
  <c r="Q698" i="1" s="1"/>
  <c r="E699" i="1"/>
  <c r="Q699" i="1" s="1"/>
  <c r="E1345" i="1"/>
  <c r="Q1345" i="1" s="1"/>
  <c r="E386" i="1"/>
  <c r="Q386" i="1" s="1"/>
  <c r="E1346" i="1"/>
  <c r="Q1346" i="1" s="1"/>
  <c r="E211" i="1"/>
  <c r="Q211" i="1" s="1"/>
  <c r="E18" i="1"/>
  <c r="Q18" i="1" s="1"/>
  <c r="E1347" i="1"/>
  <c r="Q1347" i="1" s="1"/>
  <c r="E19" i="1"/>
  <c r="Q19" i="1" s="1"/>
  <c r="E387" i="1"/>
  <c r="Q387" i="1" s="1"/>
  <c r="E1024" i="1"/>
  <c r="Q1024" i="1" s="1"/>
  <c r="E700" i="1"/>
  <c r="Q700" i="1" s="1"/>
  <c r="E540" i="1"/>
  <c r="Q540" i="1" s="1"/>
  <c r="E862" i="1"/>
  <c r="Q862" i="1" s="1"/>
  <c r="E1348" i="1"/>
  <c r="Q1348" i="1" s="1"/>
  <c r="E541" i="1"/>
  <c r="Q541" i="1" s="1"/>
  <c r="E212" i="1"/>
  <c r="Q212" i="1" s="1"/>
  <c r="E213" i="1"/>
  <c r="Q213" i="1" s="1"/>
  <c r="E863" i="1"/>
  <c r="Q863" i="1" s="1"/>
  <c r="E701" i="1"/>
  <c r="Q701" i="1" s="1"/>
  <c r="E1349" i="1"/>
  <c r="Q1349" i="1" s="1"/>
  <c r="E214" i="1"/>
  <c r="Q214" i="1" s="1"/>
  <c r="E1180" i="1"/>
  <c r="Q1180" i="1" s="1"/>
  <c r="E1025" i="1"/>
  <c r="Q1025" i="1" s="1"/>
  <c r="E215" i="1"/>
  <c r="Q215" i="1" s="1"/>
  <c r="E20" i="1"/>
  <c r="Q20" i="1" s="1"/>
  <c r="E702" i="1"/>
  <c r="Q702" i="1" s="1"/>
  <c r="E388" i="1"/>
  <c r="Q388" i="1" s="1"/>
  <c r="E21" i="1"/>
  <c r="Q21" i="1" s="1"/>
  <c r="E216" i="1"/>
  <c r="Q216" i="1" s="1"/>
  <c r="E217" i="1"/>
  <c r="Q217" i="1" s="1"/>
  <c r="E1026" i="1"/>
  <c r="Q1026" i="1" s="1"/>
  <c r="E542" i="1"/>
  <c r="Q542" i="1" s="1"/>
  <c r="E218" i="1"/>
  <c r="Q218" i="1" s="1"/>
  <c r="E389" i="1"/>
  <c r="Q389" i="1" s="1"/>
  <c r="E219" i="1"/>
  <c r="Q219" i="1" s="1"/>
  <c r="E1350" i="1"/>
  <c r="Q1350" i="1" s="1"/>
  <c r="E543" i="1"/>
  <c r="Q543" i="1" s="1"/>
  <c r="E864" i="1"/>
  <c r="Q864" i="1" s="1"/>
  <c r="E703" i="1"/>
  <c r="Q703" i="1" s="1"/>
  <c r="E1181" i="1"/>
  <c r="Q1181" i="1" s="1"/>
  <c r="E544" i="1"/>
  <c r="Q544" i="1" s="1"/>
  <c r="E1027" i="1"/>
  <c r="Q1027" i="1" s="1"/>
  <c r="E704" i="1"/>
  <c r="Q704" i="1" s="1"/>
  <c r="E22" i="1"/>
  <c r="Q22" i="1" s="1"/>
  <c r="E705" i="1"/>
  <c r="Q705" i="1" s="1"/>
  <c r="E23" i="1"/>
  <c r="Q23" i="1" s="1"/>
  <c r="E24" i="1"/>
  <c r="Q24" i="1" s="1"/>
  <c r="E220" i="1"/>
  <c r="Q220" i="1" s="1"/>
  <c r="E1028" i="1"/>
  <c r="Q1028" i="1" s="1"/>
  <c r="E1351" i="1"/>
  <c r="Q1351" i="1" s="1"/>
  <c r="E545" i="1"/>
  <c r="Q545" i="1" s="1"/>
  <c r="E1029" i="1"/>
  <c r="Q1029" i="1" s="1"/>
  <c r="E706" i="1"/>
  <c r="Q706" i="1" s="1"/>
  <c r="E865" i="1"/>
  <c r="Q865" i="1" s="1"/>
  <c r="E25" i="1"/>
  <c r="Q25" i="1" s="1"/>
  <c r="E221" i="1"/>
  <c r="Q221" i="1" s="1"/>
  <c r="E1030" i="1"/>
  <c r="Q1030" i="1" s="1"/>
  <c r="E866" i="1"/>
  <c r="Q866" i="1" s="1"/>
  <c r="E1031" i="1"/>
  <c r="Q1031" i="1" s="1"/>
  <c r="E1352" i="1"/>
  <c r="Q1352" i="1" s="1"/>
  <c r="E546" i="1"/>
  <c r="Q546" i="1" s="1"/>
  <c r="E390" i="1"/>
  <c r="Q390" i="1" s="1"/>
  <c r="E1032" i="1"/>
  <c r="Q1032" i="1" s="1"/>
  <c r="E547" i="1"/>
  <c r="Q547" i="1" s="1"/>
  <c r="E26" i="1"/>
  <c r="Q26" i="1" s="1"/>
  <c r="E1182" i="1"/>
  <c r="Q1182" i="1" s="1"/>
  <c r="E1033" i="1"/>
  <c r="Q1033" i="1" s="1"/>
  <c r="E222" i="1"/>
  <c r="Q222" i="1" s="1"/>
  <c r="E391" i="1"/>
  <c r="Q391" i="1" s="1"/>
  <c r="E392" i="1"/>
  <c r="Q392" i="1" s="1"/>
  <c r="E1353" i="1"/>
  <c r="Q1353" i="1" s="1"/>
  <c r="E223" i="1"/>
  <c r="Q223" i="1" s="1"/>
  <c r="E27" i="1"/>
  <c r="Q27" i="1" s="1"/>
  <c r="E224" i="1"/>
  <c r="Q224" i="1" s="1"/>
  <c r="E548" i="1"/>
  <c r="Q548" i="1" s="1"/>
  <c r="E225" i="1"/>
  <c r="Q225" i="1" s="1"/>
  <c r="E28" i="1"/>
  <c r="Q28" i="1" s="1"/>
  <c r="E1183" i="1"/>
  <c r="Q1183" i="1" s="1"/>
  <c r="E226" i="1"/>
  <c r="Q226" i="1" s="1"/>
  <c r="E867" i="1"/>
  <c r="Q867" i="1" s="1"/>
  <c r="E868" i="1"/>
  <c r="Q868" i="1" s="1"/>
  <c r="E227" i="1"/>
  <c r="Q227" i="1" s="1"/>
  <c r="E707" i="1"/>
  <c r="Q707" i="1" s="1"/>
  <c r="E869" i="1"/>
  <c r="Q869" i="1" s="1"/>
  <c r="E393" i="1"/>
  <c r="Q393" i="1" s="1"/>
  <c r="E1034" i="1"/>
  <c r="Q1034" i="1" s="1"/>
  <c r="E870" i="1"/>
  <c r="Q870" i="1" s="1"/>
  <c r="E549" i="1"/>
  <c r="Q549" i="1" s="1"/>
  <c r="E29" i="1"/>
  <c r="Q29" i="1" s="1"/>
  <c r="E550" i="1"/>
  <c r="Q550" i="1" s="1"/>
  <c r="E1035" i="1"/>
  <c r="Q1035" i="1" s="1"/>
  <c r="E228" i="1"/>
  <c r="Q228" i="1" s="1"/>
  <c r="E229" i="1"/>
  <c r="Q229" i="1" s="1"/>
  <c r="E871" i="1"/>
  <c r="Q871" i="1" s="1"/>
  <c r="E230" i="1"/>
  <c r="Q230" i="1" s="1"/>
  <c r="E551" i="1"/>
  <c r="Q551" i="1" s="1"/>
  <c r="E552" i="1"/>
  <c r="Q552" i="1" s="1"/>
  <c r="E708" i="1"/>
  <c r="Q708" i="1" s="1"/>
  <c r="E1036" i="1"/>
  <c r="Q1036" i="1" s="1"/>
  <c r="E553" i="1"/>
  <c r="Q553" i="1" s="1"/>
  <c r="E1354" i="1"/>
  <c r="Q1354" i="1" s="1"/>
  <c r="E554" i="1"/>
  <c r="Q554" i="1" s="1"/>
  <c r="E1184" i="1"/>
  <c r="Q1184" i="1" s="1"/>
  <c r="E709" i="1"/>
  <c r="Q709" i="1" s="1"/>
  <c r="E710" i="1"/>
  <c r="Q710" i="1" s="1"/>
  <c r="E394" i="1"/>
  <c r="Q394" i="1" s="1"/>
  <c r="E1355" i="1"/>
  <c r="Q1355" i="1" s="1"/>
  <c r="E711" i="1"/>
  <c r="Q711" i="1" s="1"/>
  <c r="E1037" i="1"/>
  <c r="Q1037" i="1" s="1"/>
  <c r="E395" i="1"/>
  <c r="Q395" i="1" s="1"/>
  <c r="E1038" i="1"/>
  <c r="Q1038" i="1" s="1"/>
  <c r="E231" i="1"/>
  <c r="Q231" i="1" s="1"/>
  <c r="E555" i="1"/>
  <c r="Q555" i="1" s="1"/>
  <c r="E1039" i="1"/>
  <c r="Q1039" i="1" s="1"/>
  <c r="E1185" i="1"/>
  <c r="Q1185" i="1" s="1"/>
  <c r="E232" i="1"/>
  <c r="Q232" i="1" s="1"/>
  <c r="E872" i="1"/>
  <c r="Q872" i="1" s="1"/>
  <c r="E30" i="1"/>
  <c r="Q30" i="1" s="1"/>
  <c r="E31" i="1"/>
  <c r="Q31" i="1" s="1"/>
  <c r="E396" i="1"/>
  <c r="Q396" i="1" s="1"/>
  <c r="E556" i="1"/>
  <c r="Q556" i="1" s="1"/>
  <c r="E712" i="1"/>
  <c r="Q712" i="1" s="1"/>
  <c r="E713" i="1"/>
  <c r="Q713" i="1" s="1"/>
  <c r="E714" i="1"/>
  <c r="Q714" i="1" s="1"/>
  <c r="E1356" i="1"/>
  <c r="Q1356" i="1" s="1"/>
  <c r="E233" i="1"/>
  <c r="Q233" i="1" s="1"/>
  <c r="E1040" i="1"/>
  <c r="Q1040" i="1" s="1"/>
  <c r="E557" i="1"/>
  <c r="Q557" i="1" s="1"/>
  <c r="E715" i="1"/>
  <c r="Q715" i="1" s="1"/>
  <c r="E558" i="1"/>
  <c r="Q558" i="1" s="1"/>
  <c r="E234" i="1"/>
  <c r="Q234" i="1" s="1"/>
  <c r="E235" i="1"/>
  <c r="Q235" i="1" s="1"/>
  <c r="E32" i="1"/>
  <c r="Q32" i="1" s="1"/>
  <c r="E1041" i="1"/>
  <c r="Q1041" i="1" s="1"/>
  <c r="E1357" i="1"/>
  <c r="Q1357" i="1" s="1"/>
  <c r="E1358" i="1"/>
  <c r="Q1358" i="1" s="1"/>
  <c r="E716" i="1"/>
  <c r="Q716" i="1" s="1"/>
  <c r="E397" i="1"/>
  <c r="Q397" i="1" s="1"/>
  <c r="E236" i="1"/>
  <c r="Q236" i="1" s="1"/>
  <c r="E1186" i="1"/>
  <c r="Q1186" i="1" s="1"/>
  <c r="E237" i="1"/>
  <c r="Q237" i="1" s="1"/>
  <c r="E398" i="1"/>
  <c r="Q398" i="1" s="1"/>
  <c r="E873" i="1"/>
  <c r="Q873" i="1" s="1"/>
  <c r="E33" i="1"/>
  <c r="Q33" i="1" s="1"/>
  <c r="E1187" i="1"/>
  <c r="Q1187" i="1" s="1"/>
  <c r="E1042" i="1"/>
  <c r="Q1042" i="1" s="1"/>
  <c r="E238" i="1"/>
  <c r="Q238" i="1" s="1"/>
  <c r="E1188" i="1"/>
  <c r="Q1188" i="1" s="1"/>
  <c r="E1043" i="1"/>
  <c r="Q1043" i="1" s="1"/>
  <c r="E399" i="1"/>
  <c r="Q399" i="1" s="1"/>
  <c r="E1359" i="1"/>
  <c r="Q1359" i="1" s="1"/>
  <c r="E559" i="1"/>
  <c r="Q559" i="1" s="1"/>
  <c r="E874" i="1"/>
  <c r="Q874" i="1" s="1"/>
  <c r="E875" i="1"/>
  <c r="Q875" i="1" s="1"/>
  <c r="E1189" i="1"/>
  <c r="Q1189" i="1" s="1"/>
  <c r="E1044" i="1"/>
  <c r="Q1044" i="1" s="1"/>
  <c r="E1045" i="1"/>
  <c r="Q1045" i="1" s="1"/>
  <c r="E1190" i="1"/>
  <c r="Q1190" i="1" s="1"/>
  <c r="E1360" i="1"/>
  <c r="Q1360" i="1" s="1"/>
  <c r="E1361" i="1"/>
  <c r="Q1361" i="1" s="1"/>
  <c r="E876" i="1"/>
  <c r="Q876" i="1" s="1"/>
  <c r="E877" i="1"/>
  <c r="Q877" i="1" s="1"/>
  <c r="E1362" i="1"/>
  <c r="Q1362" i="1" s="1"/>
  <c r="E878" i="1"/>
  <c r="Q878" i="1" s="1"/>
  <c r="E1046" i="1"/>
  <c r="Q1046" i="1" s="1"/>
  <c r="E1047" i="1"/>
  <c r="Q1047" i="1" s="1"/>
  <c r="E560" i="1"/>
  <c r="Q560" i="1" s="1"/>
  <c r="E1048" i="1"/>
  <c r="Q1048" i="1" s="1"/>
  <c r="E239" i="1"/>
  <c r="Q239" i="1" s="1"/>
  <c r="E1191" i="1"/>
  <c r="Q1191" i="1" s="1"/>
  <c r="E717" i="1"/>
  <c r="Q717" i="1" s="1"/>
  <c r="E1192" i="1"/>
  <c r="Q1192" i="1" s="1"/>
  <c r="E879" i="1"/>
  <c r="Q879" i="1" s="1"/>
  <c r="E1049" i="1"/>
  <c r="Q1049" i="1" s="1"/>
  <c r="E561" i="1"/>
  <c r="Q561" i="1" s="1"/>
  <c r="E562" i="1"/>
  <c r="Q562" i="1" s="1"/>
  <c r="E34" i="1"/>
  <c r="Q34" i="1" s="1"/>
  <c r="E1363" i="1"/>
  <c r="Q1363" i="1" s="1"/>
  <c r="E400" i="1"/>
  <c r="Q400" i="1" s="1"/>
  <c r="E1193" i="1"/>
  <c r="Q1193" i="1" s="1"/>
  <c r="E718" i="1"/>
  <c r="Q718" i="1" s="1"/>
  <c r="E563" i="1"/>
  <c r="Q563" i="1" s="1"/>
  <c r="E719" i="1"/>
  <c r="Q719" i="1" s="1"/>
  <c r="E35" i="1"/>
  <c r="Q35" i="1" s="1"/>
  <c r="E1364" i="1"/>
  <c r="Q1364" i="1" s="1"/>
  <c r="E401" i="1"/>
  <c r="Q401" i="1" s="1"/>
  <c r="E1194" i="1"/>
  <c r="Q1194" i="1" s="1"/>
  <c r="E1050" i="1"/>
  <c r="Q1050" i="1" s="1"/>
  <c r="E36" i="1"/>
  <c r="Q36" i="1" s="1"/>
  <c r="E240" i="1"/>
  <c r="Q240" i="1" s="1"/>
  <c r="E241" i="1"/>
  <c r="Q241" i="1" s="1"/>
  <c r="E1051" i="1"/>
  <c r="Q1051" i="1" s="1"/>
  <c r="E37" i="1"/>
  <c r="Q37" i="1" s="1"/>
  <c r="E242" i="1"/>
  <c r="Q242" i="1" s="1"/>
  <c r="E1365" i="1"/>
  <c r="Q1365" i="1" s="1"/>
  <c r="E38" i="1"/>
  <c r="Q38" i="1" s="1"/>
  <c r="E880" i="1"/>
  <c r="Q880" i="1" s="1"/>
  <c r="E39" i="1"/>
  <c r="Q39" i="1" s="1"/>
  <c r="E564" i="1"/>
  <c r="Q564" i="1" s="1"/>
  <c r="E1195" i="1"/>
  <c r="Q1195" i="1" s="1"/>
  <c r="E1196" i="1"/>
  <c r="Q1196" i="1" s="1"/>
  <c r="E40" i="1"/>
  <c r="Q40" i="1" s="1"/>
  <c r="E1197" i="1"/>
  <c r="Q1197" i="1" s="1"/>
  <c r="E402" i="1"/>
  <c r="Q402" i="1" s="1"/>
  <c r="E881" i="1"/>
  <c r="Q881" i="1" s="1"/>
  <c r="E1198" i="1"/>
  <c r="Q1198" i="1" s="1"/>
  <c r="E720" i="1"/>
  <c r="Q720" i="1" s="1"/>
  <c r="E882" i="1"/>
  <c r="Q882" i="1" s="1"/>
  <c r="E243" i="1"/>
  <c r="Q243" i="1" s="1"/>
  <c r="E403" i="1"/>
  <c r="Q403" i="1" s="1"/>
  <c r="E1052" i="1"/>
  <c r="Q1052" i="1" s="1"/>
  <c r="E41" i="1"/>
  <c r="Q41" i="1" s="1"/>
  <c r="E1053" i="1"/>
  <c r="Q1053" i="1" s="1"/>
  <c r="E1199" i="1"/>
  <c r="Q1199" i="1" s="1"/>
  <c r="E721" i="1"/>
  <c r="Q721" i="1" s="1"/>
  <c r="E404" i="1"/>
  <c r="Q404" i="1" s="1"/>
  <c r="E883" i="1"/>
  <c r="Q883" i="1" s="1"/>
  <c r="E1054" i="1"/>
  <c r="Q1054" i="1" s="1"/>
  <c r="E405" i="1"/>
  <c r="Q405" i="1" s="1"/>
  <c r="E1366" i="1"/>
  <c r="Q1366" i="1" s="1"/>
  <c r="E722" i="1"/>
  <c r="Q722" i="1" s="1"/>
  <c r="E244" i="1"/>
  <c r="Q244" i="1" s="1"/>
  <c r="E1200" i="1"/>
  <c r="Q1200" i="1" s="1"/>
  <c r="E1055" i="1"/>
  <c r="Q1055" i="1" s="1"/>
  <c r="E42" i="1"/>
  <c r="Q42" i="1" s="1"/>
  <c r="E406" i="1"/>
  <c r="Q406" i="1" s="1"/>
  <c r="E245" i="1"/>
  <c r="Q245" i="1" s="1"/>
  <c r="E246" i="1"/>
  <c r="Q246" i="1" s="1"/>
  <c r="E43" i="1"/>
  <c r="Q43" i="1" s="1"/>
  <c r="E44" i="1"/>
  <c r="Q44" i="1" s="1"/>
  <c r="E723" i="1"/>
  <c r="Q723" i="1" s="1"/>
  <c r="E565" i="1"/>
  <c r="Q565" i="1" s="1"/>
  <c r="E407" i="1"/>
  <c r="Q407" i="1" s="1"/>
  <c r="E247" i="1"/>
  <c r="Q247" i="1" s="1"/>
  <c r="E1056" i="1"/>
  <c r="Q1056" i="1" s="1"/>
  <c r="E566" i="1"/>
  <c r="Q566" i="1" s="1"/>
  <c r="E45" i="1"/>
  <c r="Q45" i="1" s="1"/>
  <c r="E248" i="1"/>
  <c r="Q248" i="1" s="1"/>
  <c r="E1201" i="1"/>
  <c r="Q1201" i="1" s="1"/>
  <c r="E1367" i="1"/>
  <c r="Q1367" i="1" s="1"/>
  <c r="E567" i="1"/>
  <c r="Q567" i="1" s="1"/>
  <c r="E568" i="1"/>
  <c r="Q568" i="1" s="1"/>
  <c r="E408" i="1"/>
  <c r="Q408" i="1" s="1"/>
  <c r="E249" i="1"/>
  <c r="Q249" i="1" s="1"/>
  <c r="E250" i="1"/>
  <c r="Q250" i="1" s="1"/>
  <c r="E1057" i="1"/>
  <c r="Q1057" i="1" s="1"/>
  <c r="E1368" i="1"/>
  <c r="Q1368" i="1" s="1"/>
  <c r="E1202" i="1"/>
  <c r="Q1202" i="1" s="1"/>
  <c r="E251" i="1"/>
  <c r="Q251" i="1" s="1"/>
  <c r="E46" i="1"/>
  <c r="Q46" i="1" s="1"/>
  <c r="E409" i="1"/>
  <c r="Q409" i="1" s="1"/>
  <c r="E724" i="1"/>
  <c r="Q724" i="1" s="1"/>
  <c r="E1369" i="1"/>
  <c r="Q1369" i="1" s="1"/>
  <c r="E884" i="1"/>
  <c r="Q884" i="1" s="1"/>
  <c r="E410" i="1"/>
  <c r="Q410" i="1" s="1"/>
  <c r="E47" i="1"/>
  <c r="Q47" i="1" s="1"/>
  <c r="E252" i="1"/>
  <c r="Q252" i="1" s="1"/>
  <c r="E1058" i="1"/>
  <c r="Q1058" i="1" s="1"/>
  <c r="E411" i="1"/>
  <c r="Q411" i="1" s="1"/>
  <c r="E1370" i="1"/>
  <c r="Q1370" i="1" s="1"/>
  <c r="E1059" i="1"/>
  <c r="Q1059" i="1" s="1"/>
  <c r="E569" i="1"/>
  <c r="Q569" i="1" s="1"/>
  <c r="E725" i="1"/>
  <c r="Q725" i="1" s="1"/>
  <c r="E1371" i="1"/>
  <c r="Q1371" i="1" s="1"/>
  <c r="E1203" i="1"/>
  <c r="Q1203" i="1" s="1"/>
  <c r="E48" i="1"/>
  <c r="Q48" i="1" s="1"/>
  <c r="E1204" i="1"/>
  <c r="Q1204" i="1" s="1"/>
  <c r="E1060" i="1"/>
  <c r="Q1060" i="1" s="1"/>
  <c r="E726" i="1"/>
  <c r="Q726" i="1" s="1"/>
  <c r="E1061" i="1"/>
  <c r="Q1061" i="1" s="1"/>
  <c r="E570" i="1"/>
  <c r="Q570" i="1" s="1"/>
  <c r="E412" i="1"/>
  <c r="Q412" i="1" s="1"/>
  <c r="E49" i="1"/>
  <c r="Q49" i="1" s="1"/>
  <c r="E571" i="1"/>
  <c r="Q571" i="1" s="1"/>
  <c r="E253" i="1"/>
  <c r="Q253" i="1" s="1"/>
  <c r="E572" i="1"/>
  <c r="Q572" i="1" s="1"/>
  <c r="E885" i="1"/>
  <c r="Q885" i="1" s="1"/>
  <c r="E1372" i="1"/>
  <c r="Q1372" i="1" s="1"/>
  <c r="E1062" i="1"/>
  <c r="Q1062" i="1" s="1"/>
  <c r="E886" i="1"/>
  <c r="Q886" i="1" s="1"/>
  <c r="E887" i="1"/>
  <c r="Q887" i="1" s="1"/>
  <c r="E413" i="1"/>
  <c r="Q413" i="1" s="1"/>
  <c r="E888" i="1"/>
  <c r="Q888" i="1" s="1"/>
  <c r="E727" i="1"/>
  <c r="Q727" i="1" s="1"/>
  <c r="E1205" i="1"/>
  <c r="Q1205" i="1" s="1"/>
  <c r="E1206" i="1"/>
  <c r="Q1206" i="1" s="1"/>
  <c r="E728" i="1"/>
  <c r="Q728" i="1" s="1"/>
  <c r="E573" i="1"/>
  <c r="Q573" i="1" s="1"/>
  <c r="E574" i="1"/>
  <c r="Q574" i="1" s="1"/>
  <c r="E1207" i="1"/>
  <c r="Q1207" i="1" s="1"/>
  <c r="E1208" i="1"/>
  <c r="Q1208" i="1" s="1"/>
  <c r="E1063" i="1"/>
  <c r="Q1063" i="1" s="1"/>
  <c r="E729" i="1"/>
  <c r="Q729" i="1" s="1"/>
  <c r="E414" i="1"/>
  <c r="Q414" i="1" s="1"/>
  <c r="E1064" i="1"/>
  <c r="Q1064" i="1" s="1"/>
  <c r="E889" i="1"/>
  <c r="Q889" i="1" s="1"/>
  <c r="E890" i="1"/>
  <c r="Q890" i="1" s="1"/>
  <c r="E415" i="1"/>
  <c r="Q415" i="1" s="1"/>
  <c r="E1209" i="1"/>
  <c r="Q1209" i="1" s="1"/>
  <c r="E891" i="1"/>
  <c r="Q891" i="1" s="1"/>
  <c r="E254" i="1"/>
  <c r="Q254" i="1" s="1"/>
  <c r="E730" i="1"/>
  <c r="Q730" i="1" s="1"/>
  <c r="E731" i="1"/>
  <c r="Q731" i="1" s="1"/>
  <c r="E732" i="1"/>
  <c r="Q732" i="1" s="1"/>
  <c r="E575" i="1"/>
  <c r="Q575" i="1" s="1"/>
  <c r="E255" i="1"/>
  <c r="Q255" i="1" s="1"/>
  <c r="E733" i="1"/>
  <c r="Q733" i="1" s="1"/>
  <c r="E50" i="1"/>
  <c r="Q50" i="1" s="1"/>
  <c r="E576" i="1"/>
  <c r="Q576" i="1" s="1"/>
  <c r="E51" i="1"/>
  <c r="Q51" i="1" s="1"/>
  <c r="E1065" i="1"/>
  <c r="Q1065" i="1" s="1"/>
  <c r="E256" i="1"/>
  <c r="Q256" i="1" s="1"/>
  <c r="E1066" i="1"/>
  <c r="Q1066" i="1" s="1"/>
  <c r="E734" i="1"/>
  <c r="Q734" i="1" s="1"/>
  <c r="E1373" i="1"/>
  <c r="Q1373" i="1" s="1"/>
  <c r="E735" i="1"/>
  <c r="Q735" i="1" s="1"/>
  <c r="E577" i="1"/>
  <c r="Q577" i="1" s="1"/>
  <c r="E1210" i="1"/>
  <c r="Q1210" i="1" s="1"/>
  <c r="E416" i="1"/>
  <c r="Q416" i="1" s="1"/>
  <c r="E417" i="1"/>
  <c r="Q417" i="1" s="1"/>
  <c r="E1211" i="1"/>
  <c r="Q1211" i="1" s="1"/>
  <c r="E1212" i="1"/>
  <c r="Q1212" i="1" s="1"/>
  <c r="E418" i="1"/>
  <c r="Q418" i="1" s="1"/>
  <c r="E52" i="1"/>
  <c r="Q52" i="1" s="1"/>
  <c r="E53" i="1"/>
  <c r="Q53" i="1" s="1"/>
  <c r="E1067" i="1"/>
  <c r="Q1067" i="1" s="1"/>
  <c r="E419" i="1"/>
  <c r="Q419" i="1" s="1"/>
  <c r="E420" i="1"/>
  <c r="Q420" i="1" s="1"/>
  <c r="E1213" i="1"/>
  <c r="Q1213" i="1" s="1"/>
  <c r="E54" i="1"/>
  <c r="Q54" i="1" s="1"/>
  <c r="E892" i="1"/>
  <c r="Q892" i="1" s="1"/>
  <c r="E578" i="1"/>
  <c r="Q578" i="1" s="1"/>
  <c r="E1374" i="1"/>
  <c r="Q1374" i="1" s="1"/>
  <c r="E893" i="1"/>
  <c r="Q893" i="1" s="1"/>
  <c r="E421" i="1"/>
  <c r="Q421" i="1" s="1"/>
  <c r="E422" i="1"/>
  <c r="Q422" i="1" s="1"/>
  <c r="E1068" i="1"/>
  <c r="Q1068" i="1" s="1"/>
  <c r="E1375" i="1"/>
  <c r="Q1375" i="1" s="1"/>
  <c r="E1214" i="1"/>
  <c r="Q1214" i="1" s="1"/>
  <c r="E55" i="1"/>
  <c r="Q55" i="1" s="1"/>
  <c r="E894" i="1"/>
  <c r="Q894" i="1" s="1"/>
  <c r="E895" i="1"/>
  <c r="Q895" i="1" s="1"/>
  <c r="E257" i="1"/>
  <c r="Q257" i="1" s="1"/>
  <c r="E56" i="1"/>
  <c r="Q56" i="1" s="1"/>
  <c r="E1215" i="1"/>
  <c r="Q1215" i="1" s="1"/>
  <c r="E1069" i="1"/>
  <c r="Q1069" i="1" s="1"/>
  <c r="E258" i="1"/>
  <c r="Q258" i="1" s="1"/>
  <c r="E259" i="1"/>
  <c r="Q259" i="1" s="1"/>
  <c r="E736" i="1"/>
  <c r="Q736" i="1" s="1"/>
  <c r="E260" i="1"/>
  <c r="Q260" i="1" s="1"/>
  <c r="E1376" i="1"/>
  <c r="Q1376" i="1" s="1"/>
  <c r="E57" i="1"/>
  <c r="Q57" i="1" s="1"/>
  <c r="E1216" i="1"/>
  <c r="Q1216" i="1" s="1"/>
  <c r="E261" i="1"/>
  <c r="Q261" i="1" s="1"/>
  <c r="E579" i="1"/>
  <c r="Q579" i="1" s="1"/>
  <c r="E896" i="1"/>
  <c r="Q896" i="1" s="1"/>
  <c r="E262" i="1"/>
  <c r="Q262" i="1" s="1"/>
  <c r="E580" i="1"/>
  <c r="Q580" i="1" s="1"/>
  <c r="E58" i="1"/>
  <c r="Q58" i="1" s="1"/>
  <c r="E1070" i="1"/>
  <c r="Q1070" i="1" s="1"/>
  <c r="E897" i="1"/>
  <c r="Q897" i="1" s="1"/>
  <c r="E581" i="1"/>
  <c r="Q581" i="1" s="1"/>
  <c r="E737" i="1"/>
  <c r="Q737" i="1" s="1"/>
  <c r="E1217" i="1"/>
  <c r="Q1217" i="1" s="1"/>
  <c r="E1071" i="1"/>
  <c r="Q1071" i="1" s="1"/>
  <c r="E898" i="1"/>
  <c r="Q898" i="1" s="1"/>
  <c r="E263" i="1"/>
  <c r="Q263" i="1" s="1"/>
  <c r="E1377" i="1"/>
  <c r="Q1377" i="1" s="1"/>
  <c r="E423" i="1"/>
  <c r="Q423" i="1" s="1"/>
  <c r="E738" i="1"/>
  <c r="Q738" i="1" s="1"/>
  <c r="E739" i="1"/>
  <c r="Q739" i="1" s="1"/>
  <c r="E1218" i="1"/>
  <c r="Q1218" i="1" s="1"/>
  <c r="E740" i="1"/>
  <c r="Q740" i="1" s="1"/>
  <c r="E1378" i="1"/>
  <c r="Q1378" i="1" s="1"/>
  <c r="E1219" i="1"/>
  <c r="Q1219" i="1" s="1"/>
  <c r="E1220" i="1"/>
  <c r="Q1220" i="1" s="1"/>
  <c r="E264" i="1"/>
  <c r="Q264" i="1" s="1"/>
  <c r="E1379" i="1"/>
  <c r="Q1379" i="1" s="1"/>
  <c r="E899" i="1"/>
  <c r="Q899" i="1" s="1"/>
  <c r="E424" i="1"/>
  <c r="Q424" i="1" s="1"/>
  <c r="E59" i="1"/>
  <c r="Q59" i="1" s="1"/>
  <c r="E1072" i="1"/>
  <c r="Q1072" i="1" s="1"/>
  <c r="E741" i="1"/>
  <c r="Q741" i="1" s="1"/>
  <c r="E742" i="1"/>
  <c r="Q742" i="1" s="1"/>
  <c r="E1380" i="1"/>
  <c r="Q1380" i="1" s="1"/>
  <c r="E582" i="1"/>
  <c r="Q582" i="1" s="1"/>
  <c r="E1073" i="1"/>
  <c r="Q1073" i="1" s="1"/>
  <c r="E425" i="1"/>
  <c r="Q425" i="1" s="1"/>
  <c r="E426" i="1"/>
  <c r="Q426" i="1" s="1"/>
  <c r="E265" i="1"/>
  <c r="Q265" i="1" s="1"/>
  <c r="E900" i="1"/>
  <c r="Q900" i="1" s="1"/>
  <c r="E60" i="1"/>
  <c r="Q60" i="1" s="1"/>
  <c r="E1381" i="1"/>
  <c r="Q1381" i="1" s="1"/>
  <c r="E266" i="1"/>
  <c r="Q266" i="1" s="1"/>
  <c r="E1382" i="1"/>
  <c r="Q1382" i="1" s="1"/>
  <c r="E61" i="1"/>
  <c r="Q61" i="1" s="1"/>
  <c r="E1221" i="1"/>
  <c r="Q1221" i="1" s="1"/>
  <c r="E1074" i="1"/>
  <c r="Q1074" i="1" s="1"/>
  <c r="E427" i="1"/>
  <c r="Q427" i="1" s="1"/>
  <c r="E901" i="1"/>
  <c r="Q901" i="1" s="1"/>
  <c r="E583" i="1"/>
  <c r="Q583" i="1" s="1"/>
  <c r="E62" i="1"/>
  <c r="Q62" i="1" s="1"/>
  <c r="E63" i="1"/>
  <c r="Q63" i="1" s="1"/>
  <c r="E1222" i="1"/>
  <c r="Q1222" i="1" s="1"/>
  <c r="E1075" i="1"/>
  <c r="Q1075" i="1" s="1"/>
  <c r="E743" i="1"/>
  <c r="Q743" i="1" s="1"/>
  <c r="E267" i="1"/>
  <c r="Q267" i="1" s="1"/>
  <c r="E1383" i="1"/>
  <c r="Q1383" i="1" s="1"/>
  <c r="E64" i="1"/>
  <c r="Q64" i="1" s="1"/>
  <c r="E1223" i="1"/>
  <c r="Q1223" i="1" s="1"/>
  <c r="E268" i="1"/>
  <c r="Q268" i="1" s="1"/>
  <c r="E269" i="1"/>
  <c r="Q269" i="1" s="1"/>
  <c r="E1384" i="1"/>
  <c r="Q1384" i="1" s="1"/>
  <c r="E1224" i="1"/>
  <c r="Q1224" i="1" s="1"/>
  <c r="E1385" i="1"/>
  <c r="Q1385" i="1" s="1"/>
  <c r="E1076" i="1"/>
  <c r="Q1076" i="1" s="1"/>
  <c r="E1386" i="1"/>
  <c r="Q1386" i="1" s="1"/>
  <c r="E428" i="1"/>
  <c r="Q428" i="1" s="1"/>
  <c r="E1225" i="1"/>
  <c r="Q1225" i="1" s="1"/>
  <c r="E744" i="1"/>
  <c r="Q744" i="1" s="1"/>
  <c r="E902" i="1"/>
  <c r="Q902" i="1" s="1"/>
  <c r="E429" i="1"/>
  <c r="Q429" i="1" s="1"/>
  <c r="E903" i="1"/>
  <c r="Q903" i="1" s="1"/>
  <c r="E1387" i="1"/>
  <c r="Q1387" i="1" s="1"/>
  <c r="E65" i="1"/>
  <c r="Q65" i="1" s="1"/>
  <c r="E66" i="1"/>
  <c r="Q66" i="1" s="1"/>
  <c r="E67" i="1"/>
  <c r="Q67" i="1" s="1"/>
  <c r="E584" i="1"/>
  <c r="Q584" i="1" s="1"/>
  <c r="E270" i="1"/>
  <c r="Q270" i="1" s="1"/>
  <c r="E68" i="1"/>
  <c r="Q68" i="1" s="1"/>
  <c r="E1388" i="1"/>
  <c r="Q1388" i="1" s="1"/>
  <c r="E585" i="1"/>
  <c r="Q585" i="1" s="1"/>
  <c r="E1389" i="1"/>
  <c r="Q1389" i="1" s="1"/>
  <c r="E904" i="1"/>
  <c r="Q904" i="1" s="1"/>
  <c r="E745" i="1"/>
  <c r="Q745" i="1" s="1"/>
  <c r="E586" i="1"/>
  <c r="Q586" i="1" s="1"/>
  <c r="E1390" i="1"/>
  <c r="Q1390" i="1" s="1"/>
  <c r="E271" i="1"/>
  <c r="Q271" i="1" s="1"/>
  <c r="E69" i="1"/>
  <c r="Q69" i="1" s="1"/>
  <c r="E1391" i="1"/>
  <c r="Q1391" i="1" s="1"/>
  <c r="E746" i="1"/>
  <c r="Q746" i="1" s="1"/>
  <c r="E430" i="1"/>
  <c r="Q430" i="1" s="1"/>
  <c r="E747" i="1"/>
  <c r="Q747" i="1" s="1"/>
  <c r="E1077" i="1"/>
  <c r="Q1077" i="1" s="1"/>
  <c r="E1392" i="1"/>
  <c r="Q1392" i="1" s="1"/>
  <c r="E70" i="1"/>
  <c r="Q70" i="1" s="1"/>
  <c r="E748" i="1"/>
  <c r="Q748" i="1" s="1"/>
  <c r="E905" i="1"/>
  <c r="Q905" i="1" s="1"/>
  <c r="E1393" i="1"/>
  <c r="Q1393" i="1" s="1"/>
  <c r="E272" i="1"/>
  <c r="Q272" i="1" s="1"/>
  <c r="E1078" i="1"/>
  <c r="Q1078" i="1" s="1"/>
  <c r="E273" i="1"/>
  <c r="Q273" i="1" s="1"/>
  <c r="E1226" i="1"/>
  <c r="Q1226" i="1" s="1"/>
  <c r="E71" i="1"/>
  <c r="Q71" i="1" s="1"/>
  <c r="E431" i="1"/>
  <c r="Q431" i="1" s="1"/>
  <c r="E749" i="1"/>
  <c r="Q749" i="1" s="1"/>
  <c r="E750" i="1"/>
  <c r="Q750" i="1" s="1"/>
  <c r="E72" i="1"/>
  <c r="Q72" i="1" s="1"/>
  <c r="E1227" i="1"/>
  <c r="Q1227" i="1" s="1"/>
  <c r="E73" i="1"/>
  <c r="Q73" i="1" s="1"/>
  <c r="E274" i="1"/>
  <c r="Q274" i="1" s="1"/>
  <c r="E1394" i="1"/>
  <c r="Q1394" i="1" s="1"/>
  <c r="E1228" i="1"/>
  <c r="Q1228" i="1" s="1"/>
  <c r="E1395" i="1"/>
  <c r="Q1395" i="1" s="1"/>
  <c r="E906" i="1"/>
  <c r="Q906" i="1" s="1"/>
  <c r="E74" i="1"/>
  <c r="Q74" i="1" s="1"/>
  <c r="E75" i="1"/>
  <c r="Q75" i="1" s="1"/>
  <c r="E432" i="1"/>
  <c r="Q432" i="1" s="1"/>
  <c r="E751" i="1"/>
  <c r="Q751" i="1" s="1"/>
  <c r="E907" i="1"/>
  <c r="Q907" i="1" s="1"/>
  <c r="E908" i="1"/>
  <c r="Q908" i="1" s="1"/>
  <c r="E1229" i="1"/>
  <c r="Q1229" i="1" s="1"/>
  <c r="E752" i="1"/>
  <c r="Q752" i="1" s="1"/>
  <c r="E587" i="1"/>
  <c r="Q587" i="1" s="1"/>
  <c r="E1079" i="1"/>
  <c r="Q1079" i="1" s="1"/>
  <c r="E1230" i="1"/>
  <c r="Q1230" i="1" s="1"/>
  <c r="E433" i="1"/>
  <c r="Q433" i="1" s="1"/>
  <c r="E909" i="1"/>
  <c r="Q909" i="1" s="1"/>
  <c r="E76" i="1"/>
  <c r="Q76" i="1" s="1"/>
  <c r="E77" i="1"/>
  <c r="Q77" i="1" s="1"/>
  <c r="E1080" i="1"/>
  <c r="Q1080" i="1" s="1"/>
  <c r="E1081" i="1"/>
  <c r="Q1081" i="1" s="1"/>
  <c r="E753" i="1"/>
  <c r="Q753" i="1" s="1"/>
  <c r="E1231" i="1"/>
  <c r="Q1231" i="1" s="1"/>
  <c r="E275" i="1"/>
  <c r="Q275" i="1" s="1"/>
  <c r="E1082" i="1"/>
  <c r="Q1082" i="1" s="1"/>
  <c r="E1232" i="1"/>
  <c r="Q1232" i="1" s="1"/>
  <c r="E276" i="1"/>
  <c r="Q276" i="1" s="1"/>
  <c r="E1396" i="1"/>
  <c r="Q1396" i="1" s="1"/>
  <c r="E78" i="1"/>
  <c r="Q78" i="1" s="1"/>
  <c r="E434" i="1"/>
  <c r="Q434" i="1" s="1"/>
  <c r="E277" i="1"/>
  <c r="Q277" i="1" s="1"/>
  <c r="E1233" i="1"/>
  <c r="Q1233" i="1" s="1"/>
  <c r="E1397" i="1"/>
  <c r="Q1397" i="1" s="1"/>
  <c r="E588" i="1"/>
  <c r="Q588" i="1" s="1"/>
  <c r="E79" i="1"/>
  <c r="Q79" i="1" s="1"/>
  <c r="E1398" i="1"/>
  <c r="Q1398" i="1" s="1"/>
  <c r="E1083" i="1"/>
  <c r="Q1083" i="1" s="1"/>
  <c r="E910" i="1"/>
  <c r="Q910" i="1" s="1"/>
  <c r="E278" i="1"/>
  <c r="Q278" i="1" s="1"/>
  <c r="E279" i="1"/>
  <c r="Q279" i="1" s="1"/>
  <c r="E1084" i="1"/>
  <c r="Q1084" i="1" s="1"/>
  <c r="E80" i="1"/>
  <c r="Q80" i="1" s="1"/>
  <c r="E435" i="1"/>
  <c r="Q435" i="1" s="1"/>
  <c r="E436" i="1"/>
  <c r="Q436" i="1" s="1"/>
  <c r="E754" i="1"/>
  <c r="Q754" i="1" s="1"/>
  <c r="E1399" i="1"/>
  <c r="Q1399" i="1" s="1"/>
  <c r="E437" i="1"/>
  <c r="Q437" i="1" s="1"/>
  <c r="E1085" i="1"/>
  <c r="Q1085" i="1" s="1"/>
  <c r="E1086" i="1"/>
  <c r="Q1086" i="1" s="1"/>
  <c r="E438" i="1"/>
  <c r="Q438" i="1" s="1"/>
  <c r="E81" i="1"/>
  <c r="Q81" i="1" s="1"/>
  <c r="E589" i="1"/>
  <c r="Q589" i="1" s="1"/>
  <c r="E1400" i="1"/>
  <c r="Q1400" i="1" s="1"/>
  <c r="E1401" i="1"/>
  <c r="Q1401" i="1" s="1"/>
  <c r="E82" i="1"/>
  <c r="Q82" i="1" s="1"/>
  <c r="E755" i="1"/>
  <c r="Q755" i="1" s="1"/>
  <c r="E83" i="1"/>
  <c r="Q83" i="1" s="1"/>
  <c r="E1234" i="1"/>
  <c r="Q1234" i="1" s="1"/>
  <c r="E756" i="1"/>
  <c r="Q756" i="1" s="1"/>
  <c r="E1402" i="1"/>
  <c r="Q1402" i="1" s="1"/>
  <c r="E911" i="1"/>
  <c r="Q911" i="1" s="1"/>
  <c r="E280" i="1"/>
  <c r="Q280" i="1" s="1"/>
  <c r="E757" i="1"/>
  <c r="Q757" i="1" s="1"/>
  <c r="E590" i="1"/>
  <c r="Q590" i="1" s="1"/>
  <c r="E84" i="1"/>
  <c r="Q84" i="1" s="1"/>
  <c r="E1087" i="1"/>
  <c r="Q1087" i="1" s="1"/>
  <c r="E85" i="1"/>
  <c r="Q85" i="1" s="1"/>
  <c r="E1235" i="1"/>
  <c r="Q1235" i="1" s="1"/>
  <c r="E439" i="1"/>
  <c r="Q439" i="1" s="1"/>
  <c r="E758" i="1"/>
  <c r="Q758" i="1" s="1"/>
  <c r="E759" i="1"/>
  <c r="Q759" i="1" s="1"/>
  <c r="E281" i="1"/>
  <c r="Q281" i="1" s="1"/>
  <c r="E86" i="1"/>
  <c r="Q86" i="1" s="1"/>
  <c r="E87" i="1"/>
  <c r="Q87" i="1" s="1"/>
  <c r="E1236" i="1"/>
  <c r="Q1236" i="1" s="1"/>
  <c r="E1237" i="1"/>
  <c r="Q1237" i="1" s="1"/>
  <c r="E1238" i="1"/>
  <c r="Q1238" i="1" s="1"/>
  <c r="E591" i="1"/>
  <c r="Q591" i="1" s="1"/>
  <c r="E912" i="1"/>
  <c r="Q912" i="1" s="1"/>
  <c r="E1239" i="1"/>
  <c r="Q1239" i="1" s="1"/>
  <c r="E1088" i="1"/>
  <c r="Q1088" i="1" s="1"/>
  <c r="E760" i="1"/>
  <c r="Q760" i="1" s="1"/>
  <c r="E913" i="1"/>
  <c r="Q913" i="1" s="1"/>
  <c r="E761" i="1"/>
  <c r="Q761" i="1" s="1"/>
  <c r="E88" i="1"/>
  <c r="Q88" i="1" s="1"/>
  <c r="E762" i="1"/>
  <c r="Q762" i="1" s="1"/>
  <c r="E763" i="1"/>
  <c r="Q763" i="1" s="1"/>
  <c r="E440" i="1"/>
  <c r="Q440" i="1" s="1"/>
  <c r="E441" i="1"/>
  <c r="Q441" i="1" s="1"/>
  <c r="E442" i="1"/>
  <c r="Q442" i="1" s="1"/>
  <c r="E1240" i="1"/>
  <c r="Q1240" i="1" s="1"/>
  <c r="E89" i="1"/>
  <c r="Q89" i="1" s="1"/>
  <c r="E1089" i="1"/>
  <c r="Q1089" i="1" s="1"/>
  <c r="E282" i="1"/>
  <c r="Q282" i="1" s="1"/>
  <c r="E1403" i="1"/>
  <c r="Q1403" i="1" s="1"/>
  <c r="E1241" i="1"/>
  <c r="Q1241" i="1" s="1"/>
  <c r="E1090" i="1"/>
  <c r="Q1090" i="1" s="1"/>
  <c r="E283" i="1"/>
  <c r="Q283" i="1" s="1"/>
  <c r="E90" i="1"/>
  <c r="Q90" i="1" s="1"/>
  <c r="E443" i="1"/>
  <c r="Q443" i="1" s="1"/>
  <c r="E1091" i="1"/>
  <c r="Q1091" i="1" s="1"/>
  <c r="E91" i="1"/>
  <c r="Q91" i="1" s="1"/>
  <c r="E1242" i="1"/>
  <c r="Q1242" i="1" s="1"/>
  <c r="E444" i="1"/>
  <c r="Q444" i="1" s="1"/>
  <c r="E764" i="1"/>
  <c r="Q764" i="1" s="1"/>
  <c r="E914" i="1"/>
  <c r="E915" i="1"/>
  <c r="Q915" i="1" s="1"/>
  <c r="E1243" i="1"/>
  <c r="Q1243" i="1" s="1"/>
  <c r="E92" i="1"/>
  <c r="Q92" i="1" s="1"/>
  <c r="E916" i="1"/>
  <c r="Q916" i="1" s="1"/>
  <c r="E765" i="1"/>
  <c r="Q765" i="1" s="1"/>
  <c r="E284" i="1"/>
  <c r="Q284" i="1" s="1"/>
  <c r="E93" i="1"/>
  <c r="Q93" i="1" s="1"/>
  <c r="E1092" i="1"/>
  <c r="Q1092" i="1" s="1"/>
  <c r="E1404" i="1"/>
  <c r="Q1404" i="1" s="1"/>
  <c r="E1244" i="1"/>
  <c r="Q1244" i="1" s="1"/>
  <c r="E94" i="1"/>
  <c r="Q94" i="1" s="1"/>
  <c r="E95" i="1"/>
  <c r="Q95" i="1" s="1"/>
  <c r="E1405" i="1"/>
  <c r="Q1405" i="1" s="1"/>
  <c r="E285" i="1"/>
  <c r="Q285" i="1" s="1"/>
  <c r="E592" i="1"/>
  <c r="Q592" i="1" s="1"/>
  <c r="E96" i="1"/>
  <c r="Q96" i="1" s="1"/>
  <c r="E593" i="1"/>
  <c r="Q593" i="1" s="1"/>
  <c r="E594" i="1"/>
  <c r="Q594" i="1" s="1"/>
  <c r="E595" i="1"/>
  <c r="Q595" i="1" s="1"/>
  <c r="E286" i="1"/>
  <c r="Q286" i="1" s="1"/>
  <c r="E1245" i="1"/>
  <c r="Q1245" i="1" s="1"/>
  <c r="E445" i="1"/>
  <c r="Q445" i="1" s="1"/>
  <c r="E1246" i="1"/>
  <c r="Q1246" i="1" s="1"/>
  <c r="E1247" i="1"/>
  <c r="Q1247" i="1" s="1"/>
  <c r="E97" i="1"/>
  <c r="Q97" i="1" s="1"/>
  <c r="E446" i="1"/>
  <c r="Q446" i="1" s="1"/>
  <c r="E287" i="1"/>
  <c r="Q287" i="1" s="1"/>
  <c r="E1093" i="1"/>
  <c r="Q1093" i="1" s="1"/>
  <c r="E1094" i="1"/>
  <c r="Q1094" i="1" s="1"/>
  <c r="E1406" i="1"/>
  <c r="Q1406" i="1" s="1"/>
  <c r="E288" i="1"/>
  <c r="Q288" i="1" s="1"/>
  <c r="E447" i="1"/>
  <c r="Q447" i="1" s="1"/>
  <c r="E448" i="1"/>
  <c r="Q448" i="1" s="1"/>
  <c r="E1407" i="1"/>
  <c r="Q1407" i="1" s="1"/>
  <c r="E1248" i="1"/>
  <c r="Q1248" i="1" s="1"/>
  <c r="E98" i="1"/>
  <c r="Q98" i="1" s="1"/>
  <c r="E917" i="1"/>
  <c r="Q917" i="1" s="1"/>
  <c r="E449" i="1"/>
  <c r="Q449" i="1" s="1"/>
  <c r="E918" i="1"/>
  <c r="Q918" i="1" s="1"/>
  <c r="E289" i="1"/>
  <c r="Q289" i="1" s="1"/>
  <c r="E919" i="1"/>
  <c r="Q919" i="1" s="1"/>
  <c r="E1249" i="1"/>
  <c r="Q1249" i="1" s="1"/>
  <c r="E99" i="1"/>
  <c r="Q99" i="1" s="1"/>
  <c r="E596" i="1"/>
  <c r="Q596" i="1" s="1"/>
  <c r="E766" i="1"/>
  <c r="Q766" i="1" s="1"/>
  <c r="E100" i="1"/>
  <c r="Q100" i="1" s="1"/>
  <c r="E920" i="1"/>
  <c r="Q920" i="1" s="1"/>
  <c r="E1250" i="1"/>
  <c r="Q1250" i="1" s="1"/>
  <c r="E450" i="1"/>
  <c r="Q450" i="1" s="1"/>
  <c r="E921" i="1"/>
  <c r="Q921" i="1" s="1"/>
  <c r="E1408" i="1"/>
  <c r="Q1408" i="1" s="1"/>
  <c r="E922" i="1"/>
  <c r="Q922" i="1" s="1"/>
  <c r="E1251" i="1"/>
  <c r="Q1251" i="1" s="1"/>
  <c r="E1252" i="1"/>
  <c r="Q1252" i="1" s="1"/>
  <c r="E1095" i="1"/>
  <c r="Q1095" i="1" s="1"/>
  <c r="E1096" i="1"/>
  <c r="Q1096" i="1" s="1"/>
  <c r="E290" i="1"/>
  <c r="Q290" i="1" s="1"/>
  <c r="E451" i="1"/>
  <c r="Q451" i="1" s="1"/>
  <c r="E101" i="1"/>
  <c r="Q101" i="1" s="1"/>
  <c r="E1253" i="1"/>
  <c r="Q1253" i="1" s="1"/>
  <c r="E1097" i="1"/>
  <c r="Q1097" i="1" s="1"/>
  <c r="E597" i="1"/>
  <c r="Q597" i="1" s="1"/>
  <c r="E1254" i="1"/>
  <c r="Q1254" i="1" s="1"/>
  <c r="E1409" i="1"/>
  <c r="Q1409" i="1" s="1"/>
  <c r="E291" i="1"/>
  <c r="Q291" i="1" s="1"/>
  <c r="E1410" i="1"/>
  <c r="Q1410" i="1" s="1"/>
  <c r="E452" i="1"/>
  <c r="Q452" i="1" s="1"/>
  <c r="E292" i="1"/>
  <c r="Q292" i="1" s="1"/>
  <c r="E767" i="1"/>
  <c r="Q767" i="1" s="1"/>
  <c r="E1098" i="1"/>
  <c r="Q1098" i="1" s="1"/>
  <c r="E453" i="1"/>
  <c r="Q453" i="1" s="1"/>
  <c r="E102" i="1"/>
  <c r="Q102" i="1" s="1"/>
  <c r="E293" i="1"/>
  <c r="Q293" i="1" s="1"/>
  <c r="E294" i="1"/>
  <c r="Q294" i="1" s="1"/>
  <c r="E1099" i="1"/>
  <c r="Q1099" i="1" s="1"/>
  <c r="E598" i="1"/>
  <c r="Q598" i="1" s="1"/>
  <c r="E103" i="1"/>
  <c r="Q103" i="1" s="1"/>
  <c r="E599" i="1"/>
  <c r="Q599" i="1" s="1"/>
  <c r="E923" i="1"/>
  <c r="Q923" i="1" s="1"/>
  <c r="E295" i="1"/>
  <c r="Q295" i="1" s="1"/>
  <c r="E1255" i="1"/>
  <c r="Q1255" i="1" s="1"/>
  <c r="E600" i="1"/>
  <c r="Q600" i="1" s="1"/>
  <c r="E454" i="1"/>
  <c r="Q454" i="1" s="1"/>
  <c r="E296" i="1"/>
  <c r="Q296" i="1" s="1"/>
  <c r="E1100" i="1"/>
  <c r="Q1100" i="1" s="1"/>
  <c r="E1411" i="1"/>
  <c r="Q1411" i="1" s="1"/>
  <c r="E1256" i="1"/>
  <c r="Q1256" i="1" s="1"/>
  <c r="E1101" i="1"/>
  <c r="Q1101" i="1" s="1"/>
  <c r="E924" i="1"/>
  <c r="Q924" i="1" s="1"/>
  <c r="E104" i="1"/>
  <c r="Q104" i="1" s="1"/>
  <c r="E1257" i="1"/>
  <c r="Q1257" i="1" s="1"/>
  <c r="E297" i="1"/>
  <c r="Q297" i="1" s="1"/>
  <c r="E1102" i="1"/>
  <c r="Q1102" i="1" s="1"/>
  <c r="E1412" i="1"/>
  <c r="Q1412" i="1" s="1"/>
  <c r="E925" i="1"/>
  <c r="Q925" i="1" s="1"/>
  <c r="E298" i="1"/>
  <c r="Q298" i="1" s="1"/>
  <c r="E1258" i="1"/>
  <c r="Q1258" i="1" s="1"/>
  <c r="E105" i="1"/>
  <c r="Q105" i="1" s="1"/>
  <c r="E601" i="1"/>
  <c r="Q601" i="1" s="1"/>
  <c r="E926" i="1"/>
  <c r="Q926" i="1" s="1"/>
  <c r="E1259" i="1"/>
  <c r="Q1259" i="1" s="1"/>
  <c r="E1260" i="1"/>
  <c r="Q1260" i="1" s="1"/>
  <c r="E106" i="1"/>
  <c r="Q106" i="1" s="1"/>
  <c r="E1103" i="1"/>
  <c r="Q1103" i="1" s="1"/>
  <c r="E602" i="1"/>
  <c r="Q602" i="1" s="1"/>
  <c r="E603" i="1"/>
  <c r="Q603" i="1" s="1"/>
  <c r="E604" i="1"/>
  <c r="Q604" i="1" s="1"/>
  <c r="E1104" i="1"/>
  <c r="Q1104" i="1" s="1"/>
  <c r="E1413" i="1"/>
  <c r="Q1413" i="1" s="1"/>
  <c r="E1414" i="1"/>
  <c r="Q1414" i="1" s="1"/>
  <c r="E455" i="1"/>
  <c r="Q455" i="1" s="1"/>
  <c r="E107" i="1"/>
  <c r="Q107" i="1" s="1"/>
  <c r="E1415" i="1"/>
  <c r="Q1415" i="1" s="1"/>
  <c r="E1261" i="1"/>
  <c r="Q1261" i="1" s="1"/>
  <c r="E605" i="1"/>
  <c r="Q605" i="1" s="1"/>
  <c r="E108" i="1"/>
  <c r="Q108" i="1" s="1"/>
  <c r="E606" i="1"/>
  <c r="Q606" i="1" s="1"/>
  <c r="E768" i="1"/>
  <c r="Q768" i="1" s="1"/>
  <c r="E1105" i="1"/>
  <c r="Q1105" i="1" s="1"/>
  <c r="E299" i="1"/>
  <c r="Q299" i="1" s="1"/>
  <c r="E456" i="1"/>
  <c r="Q456" i="1" s="1"/>
  <c r="E1262" i="1"/>
  <c r="Q1262" i="1" s="1"/>
  <c r="E457" i="1"/>
  <c r="Q457" i="1" s="1"/>
  <c r="E769" i="1"/>
  <c r="Q769" i="1" s="1"/>
  <c r="E300" i="1"/>
  <c r="Q300" i="1" s="1"/>
  <c r="E1263" i="1"/>
  <c r="Q1263" i="1" s="1"/>
  <c r="E1416" i="1"/>
  <c r="Q1416" i="1" s="1"/>
  <c r="E458" i="1"/>
  <c r="Q458" i="1" s="1"/>
  <c r="E459" i="1"/>
  <c r="Q459" i="1" s="1"/>
  <c r="E927" i="1"/>
  <c r="Q927" i="1" s="1"/>
  <c r="E928" i="1"/>
  <c r="Q928" i="1" s="1"/>
  <c r="E1417" i="1"/>
  <c r="Q1417" i="1" s="1"/>
  <c r="E301" i="1"/>
  <c r="Q301" i="1" s="1"/>
  <c r="E302" i="1"/>
  <c r="Q302" i="1" s="1"/>
  <c r="E929" i="1"/>
  <c r="Q929" i="1" s="1"/>
  <c r="E1264" i="1"/>
  <c r="Q1264" i="1" s="1"/>
  <c r="E303" i="1"/>
  <c r="Q303" i="1" s="1"/>
  <c r="E607" i="1"/>
  <c r="Q607" i="1" s="1"/>
  <c r="E770" i="1"/>
  <c r="Q770" i="1" s="1"/>
  <c r="E304" i="1"/>
  <c r="Q304" i="1" s="1"/>
  <c r="E608" i="1"/>
  <c r="Q608" i="1" s="1"/>
  <c r="E109" i="1"/>
  <c r="Q109" i="1" s="1"/>
  <c r="E1106" i="1"/>
  <c r="Q1106" i="1" s="1"/>
  <c r="E930" i="1"/>
  <c r="Q930" i="1" s="1"/>
  <c r="E1265" i="1"/>
  <c r="Q1265" i="1" s="1"/>
  <c r="E1266" i="1"/>
  <c r="Q1266" i="1" s="1"/>
  <c r="E609" i="1"/>
  <c r="Q609" i="1" s="1"/>
  <c r="E1107" i="1"/>
  <c r="Q1107" i="1" s="1"/>
  <c r="E1108" i="1"/>
  <c r="Q1108" i="1" s="1"/>
  <c r="E305" i="1"/>
  <c r="Q305" i="1" s="1"/>
  <c r="E110" i="1"/>
  <c r="Q110" i="1" s="1"/>
  <c r="E460" i="1"/>
  <c r="Q460" i="1" s="1"/>
  <c r="E771" i="1"/>
  <c r="Q771" i="1" s="1"/>
  <c r="E1267" i="1"/>
  <c r="Q1267" i="1" s="1"/>
  <c r="E1418" i="1"/>
  <c r="Q1418" i="1" s="1"/>
  <c r="E931" i="1"/>
  <c r="Q931" i="1" s="1"/>
  <c r="E1109" i="1"/>
  <c r="Q1109" i="1" s="1"/>
  <c r="E1268" i="1"/>
  <c r="Q1268" i="1" s="1"/>
  <c r="E772" i="1"/>
  <c r="Q772" i="1" s="1"/>
  <c r="E1419" i="1"/>
  <c r="Q1419" i="1" s="1"/>
  <c r="E111" i="1"/>
  <c r="Q111" i="1" s="1"/>
  <c r="E306" i="1"/>
  <c r="Q306" i="1" s="1"/>
  <c r="E307" i="1"/>
  <c r="Q307" i="1" s="1"/>
  <c r="E1420" i="1"/>
  <c r="Q1420" i="1" s="1"/>
  <c r="E932" i="1"/>
  <c r="Q932" i="1" s="1"/>
  <c r="E933" i="1"/>
  <c r="Q933" i="1" s="1"/>
  <c r="E461" i="1"/>
  <c r="Q461" i="1" s="1"/>
  <c r="E1421" i="1"/>
  <c r="Q1421" i="1" s="1"/>
  <c r="E308" i="1"/>
  <c r="Q308" i="1" s="1"/>
  <c r="E1110" i="1"/>
  <c r="Q1110" i="1" s="1"/>
  <c r="E1422" i="1"/>
  <c r="Q1422" i="1" s="1"/>
  <c r="E309" i="1"/>
  <c r="Q309" i="1" s="1"/>
  <c r="E1423" i="1"/>
  <c r="Q1423" i="1" s="1"/>
  <c r="E773" i="1"/>
  <c r="Q773" i="1" s="1"/>
  <c r="E1269" i="1"/>
  <c r="Q1269" i="1" s="1"/>
  <c r="E934" i="1"/>
  <c r="Q934" i="1" s="1"/>
  <c r="E112" i="1"/>
  <c r="E935" i="1"/>
  <c r="Q935" i="1" s="1"/>
  <c r="E610" i="1"/>
  <c r="Q610" i="1" s="1"/>
  <c r="E1270" i="1"/>
  <c r="Q1270" i="1" s="1"/>
  <c r="E936" i="1"/>
  <c r="Q936" i="1" s="1"/>
  <c r="E1424" i="1"/>
  <c r="Q1424" i="1" s="1"/>
  <c r="E310" i="1"/>
  <c r="Q310" i="1" s="1"/>
  <c r="E1425" i="1"/>
  <c r="Q1425" i="1" s="1"/>
  <c r="E311" i="1"/>
  <c r="Q311" i="1" s="1"/>
  <c r="E774" i="1"/>
  <c r="Q774" i="1" s="1"/>
  <c r="E611" i="1"/>
  <c r="Q611" i="1" s="1"/>
  <c r="E1271" i="1"/>
  <c r="Q1271" i="1" s="1"/>
  <c r="E113" i="1"/>
  <c r="Q113" i="1" s="1"/>
  <c r="E1426" i="1"/>
  <c r="Q1426" i="1" s="1"/>
  <c r="E612" i="1"/>
  <c r="Q612" i="1" s="1"/>
  <c r="E1111" i="1"/>
  <c r="Q1111" i="1" s="1"/>
  <c r="E114" i="1"/>
  <c r="Q114" i="1" s="1"/>
  <c r="E462" i="1"/>
  <c r="Q462" i="1" s="1"/>
  <c r="E1112" i="1"/>
  <c r="Q1112" i="1" s="1"/>
  <c r="E312" i="1"/>
  <c r="Q312" i="1" s="1"/>
  <c r="E1427" i="1"/>
  <c r="Q1427" i="1" s="1"/>
  <c r="E463" i="1"/>
  <c r="Q463" i="1" s="1"/>
  <c r="E115" i="1"/>
  <c r="Q115" i="1" s="1"/>
  <c r="E937" i="1"/>
  <c r="Q937" i="1" s="1"/>
  <c r="E1272" i="1"/>
  <c r="Q1272" i="1" s="1"/>
  <c r="E464" i="1"/>
  <c r="Q464" i="1" s="1"/>
  <c r="E1273" i="1"/>
  <c r="Q1273" i="1" s="1"/>
  <c r="E1428" i="1"/>
  <c r="Q1428" i="1" s="1"/>
  <c r="E116" i="1"/>
  <c r="Q116" i="1" s="1"/>
  <c r="E1429" i="1"/>
  <c r="Q1429" i="1" s="1"/>
  <c r="E938" i="1"/>
  <c r="Q938" i="1" s="1"/>
  <c r="E1113" i="1"/>
  <c r="Q1113" i="1" s="1"/>
  <c r="E117" i="1"/>
  <c r="Q117" i="1" s="1"/>
  <c r="E118" i="1"/>
  <c r="Q118" i="1" s="1"/>
  <c r="E1114" i="1"/>
  <c r="Q1114" i="1" s="1"/>
  <c r="E119" i="1"/>
  <c r="Q119" i="1" s="1"/>
  <c r="E1274" i="1"/>
  <c r="Q1274" i="1" s="1"/>
  <c r="E120" i="1"/>
  <c r="Q120" i="1" s="1"/>
  <c r="E121" i="1"/>
  <c r="Q121" i="1" s="1"/>
  <c r="E775" i="1"/>
  <c r="Q775" i="1" s="1"/>
  <c r="E939" i="1"/>
  <c r="Q939" i="1" s="1"/>
  <c r="E313" i="1"/>
  <c r="Q313" i="1" s="1"/>
  <c r="E940" i="1"/>
  <c r="Q940" i="1" s="1"/>
  <c r="E1430" i="1"/>
  <c r="Q1430" i="1" s="1"/>
  <c r="E1431" i="1"/>
  <c r="Q1431" i="1" s="1"/>
  <c r="E1275" i="1"/>
  <c r="Q1275" i="1" s="1"/>
  <c r="E1115" i="1"/>
  <c r="Q1115" i="1" s="1"/>
  <c r="E941" i="1"/>
  <c r="Q941" i="1" s="1"/>
  <c r="E1116" i="1"/>
  <c r="Q1116" i="1" s="1"/>
  <c r="E1276" i="1"/>
  <c r="Q1276" i="1" s="1"/>
  <c r="E1277" i="1"/>
  <c r="Q1277" i="1" s="1"/>
  <c r="E465" i="1"/>
  <c r="Q465" i="1" s="1"/>
  <c r="E122" i="1"/>
  <c r="Q122" i="1" s="1"/>
  <c r="E1278" i="1"/>
  <c r="Q1278" i="1" s="1"/>
  <c r="E942" i="1"/>
  <c r="Q942" i="1" s="1"/>
  <c r="E1432" i="1"/>
  <c r="Q1432" i="1" s="1"/>
  <c r="E776" i="1"/>
  <c r="Q776" i="1" s="1"/>
  <c r="E123" i="1"/>
  <c r="Q123" i="1" s="1"/>
  <c r="E613" i="1"/>
  <c r="Q613" i="1" s="1"/>
  <c r="E777" i="1"/>
  <c r="Q777" i="1" s="1"/>
  <c r="E778" i="1"/>
  <c r="Q778" i="1" s="1"/>
  <c r="E943" i="1"/>
  <c r="Q943" i="1" s="1"/>
  <c r="E779" i="1"/>
  <c r="Q779" i="1" s="1"/>
  <c r="E944" i="1"/>
  <c r="Q944" i="1" s="1"/>
  <c r="E780" i="1"/>
  <c r="Q780" i="1" s="1"/>
  <c r="E614" i="1"/>
  <c r="Q614" i="1" s="1"/>
  <c r="E1433" i="1"/>
  <c r="Q1433" i="1" s="1"/>
  <c r="E124" i="1"/>
  <c r="Q124" i="1" s="1"/>
  <c r="E125" i="1"/>
  <c r="Q125" i="1" s="1"/>
  <c r="E466" i="1"/>
  <c r="Q466" i="1" s="1"/>
  <c r="E1279" i="1"/>
  <c r="Q1279" i="1" s="1"/>
  <c r="E1280" i="1"/>
  <c r="Q1280" i="1" s="1"/>
  <c r="E615" i="1"/>
  <c r="Q615" i="1" s="1"/>
  <c r="E1434" i="1"/>
  <c r="Q1434" i="1" s="1"/>
  <c r="E467" i="1"/>
  <c r="Q467" i="1" s="1"/>
  <c r="E945" i="1"/>
  <c r="Q945" i="1" s="1"/>
  <c r="E781" i="1"/>
  <c r="Q781" i="1" s="1"/>
  <c r="E782" i="1"/>
  <c r="Q782" i="1" s="1"/>
  <c r="E314" i="1"/>
  <c r="Q314" i="1" s="1"/>
  <c r="E946" i="1"/>
  <c r="Q946" i="1" s="1"/>
  <c r="E783" i="1"/>
  <c r="Q783" i="1" s="1"/>
  <c r="E1435" i="1"/>
  <c r="Q1435" i="1" s="1"/>
  <c r="E1117" i="1"/>
  <c r="Q1117" i="1" s="1"/>
  <c r="E1118" i="1"/>
  <c r="Q1118" i="1" s="1"/>
  <c r="E1436" i="1"/>
  <c r="Q1436" i="1" s="1"/>
  <c r="E784" i="1"/>
  <c r="E1437" i="1"/>
  <c r="Q1437" i="1" s="1"/>
  <c r="E785" i="1"/>
  <c r="Q785" i="1" s="1"/>
  <c r="E126" i="1"/>
  <c r="Q126" i="1" s="1"/>
  <c r="E616" i="1"/>
  <c r="Q616" i="1" s="1"/>
  <c r="E315" i="1"/>
  <c r="Q315" i="1" s="1"/>
  <c r="E947" i="1"/>
  <c r="Q947" i="1" s="1"/>
  <c r="E617" i="1"/>
  <c r="Q617" i="1" s="1"/>
  <c r="E1281" i="1"/>
  <c r="Q1281" i="1" s="1"/>
  <c r="E468" i="1"/>
  <c r="Q468" i="1" s="1"/>
  <c r="E786" i="1"/>
  <c r="Q786" i="1" s="1"/>
  <c r="E618" i="1"/>
  <c r="Q618" i="1" s="1"/>
  <c r="E127" i="1"/>
  <c r="Q127" i="1" s="1"/>
  <c r="E1119" i="1"/>
  <c r="Q1119" i="1" s="1"/>
  <c r="E1438" i="1"/>
  <c r="Q1438" i="1" s="1"/>
  <c r="E787" i="1"/>
  <c r="Q787" i="1" s="1"/>
  <c r="E1120" i="1"/>
  <c r="Q1120" i="1" s="1"/>
  <c r="E619" i="1"/>
  <c r="Q619" i="1" s="1"/>
  <c r="E128" i="1"/>
  <c r="Q128" i="1" s="1"/>
  <c r="E948" i="1"/>
  <c r="Q948" i="1" s="1"/>
  <c r="E620" i="1"/>
  <c r="Q620" i="1" s="1"/>
  <c r="E129" i="1"/>
  <c r="Q129" i="1" s="1"/>
  <c r="E316" i="1"/>
  <c r="Q316" i="1" s="1"/>
  <c r="E317" i="1"/>
  <c r="Q317" i="1" s="1"/>
  <c r="E469" i="1"/>
  <c r="Q469" i="1" s="1"/>
  <c r="E470" i="1"/>
  <c r="Q470" i="1" s="1"/>
  <c r="E1282" i="1"/>
  <c r="Q1282" i="1" s="1"/>
  <c r="E1283" i="1"/>
  <c r="Q1283" i="1" s="1"/>
  <c r="E471" i="1"/>
  <c r="Q471" i="1" s="1"/>
  <c r="E472" i="1"/>
  <c r="Q472" i="1" s="1"/>
  <c r="E1439" i="1"/>
  <c r="Q1439" i="1" s="1"/>
  <c r="E130" i="1"/>
  <c r="Q130" i="1" s="1"/>
  <c r="E1121" i="1"/>
  <c r="Q1121" i="1" s="1"/>
  <c r="E621" i="1"/>
  <c r="Q621" i="1" s="1"/>
  <c r="E622" i="1"/>
  <c r="Q622" i="1" s="1"/>
  <c r="E788" i="1"/>
  <c r="Q788" i="1" s="1"/>
  <c r="E949" i="1"/>
  <c r="Q949" i="1" s="1"/>
  <c r="E623" i="1"/>
  <c r="Q623" i="1" s="1"/>
  <c r="E1284" i="1"/>
  <c r="Q1284" i="1" s="1"/>
  <c r="E1285" i="1"/>
  <c r="Q1285" i="1" s="1"/>
  <c r="E624" i="1"/>
  <c r="Q624" i="1" s="1"/>
  <c r="E1286" i="1"/>
  <c r="Q1286" i="1" s="1"/>
  <c r="E473" i="1"/>
  <c r="Q473" i="1" s="1"/>
  <c r="E789" i="1"/>
  <c r="Q789" i="1" s="1"/>
  <c r="E1287" i="1"/>
  <c r="Q1287" i="1" s="1"/>
  <c r="E131" i="1"/>
  <c r="Q131" i="1" s="1"/>
  <c r="E790" i="1"/>
  <c r="Q790" i="1" s="1"/>
  <c r="E625" i="1"/>
  <c r="Q625" i="1" s="1"/>
  <c r="E318" i="1"/>
  <c r="Q318" i="1" s="1"/>
  <c r="E474" i="1"/>
  <c r="Q474" i="1" s="1"/>
  <c r="E319" i="1"/>
  <c r="Q319" i="1" s="1"/>
  <c r="E1440" i="1"/>
  <c r="Q1440" i="1" s="1"/>
  <c r="E132" i="1"/>
  <c r="Q132" i="1" s="1"/>
  <c r="E1441" i="1"/>
  <c r="Q1441" i="1" s="1"/>
  <c r="E320" i="1"/>
  <c r="Q320" i="1" s="1"/>
  <c r="E1288" i="1"/>
  <c r="Q1288" i="1" s="1"/>
  <c r="E1122" i="1"/>
  <c r="Q1122" i="1" s="1"/>
  <c r="E321" i="1"/>
  <c r="Q321" i="1" s="1"/>
  <c r="E626" i="1"/>
  <c r="Q626" i="1" s="1"/>
  <c r="E475" i="1"/>
  <c r="Q475" i="1" s="1"/>
  <c r="E950" i="1"/>
  <c r="Q950" i="1" s="1"/>
  <c r="E791" i="1"/>
  <c r="Q791" i="1" s="1"/>
  <c r="E1289" i="1"/>
  <c r="Q1289" i="1" s="1"/>
  <c r="E627" i="1"/>
  <c r="Q627" i="1" s="1"/>
  <c r="E1442" i="1"/>
  <c r="Q1442" i="1" s="1"/>
  <c r="E1443" i="1"/>
  <c r="Q1443" i="1" s="1"/>
  <c r="E1444" i="1"/>
  <c r="Q1444" i="1" s="1"/>
  <c r="E476" i="1"/>
  <c r="Q476" i="1" s="1"/>
  <c r="E1445" i="1"/>
  <c r="Q1445" i="1" s="1"/>
  <c r="E477" i="1"/>
  <c r="Q477" i="1" s="1"/>
  <c r="E133" i="1"/>
  <c r="Q133" i="1" s="1"/>
  <c r="E951" i="1"/>
  <c r="Q951" i="1" s="1"/>
  <c r="E952" i="1"/>
  <c r="Q952" i="1" s="1"/>
  <c r="E953" i="1"/>
  <c r="Q953" i="1" s="1"/>
  <c r="E1446" i="1"/>
  <c r="Q1446" i="1" s="1"/>
  <c r="E792" i="1"/>
  <c r="Q792" i="1" s="1"/>
  <c r="E1123" i="1"/>
  <c r="Q1123" i="1" s="1"/>
  <c r="E134" i="1"/>
  <c r="Q134" i="1" s="1"/>
  <c r="E954" i="1"/>
  <c r="Q954" i="1" s="1"/>
  <c r="E1124" i="1"/>
  <c r="Q1124" i="1" s="1"/>
  <c r="E135" i="1"/>
  <c r="Q135" i="1" s="1"/>
  <c r="E322" i="1"/>
  <c r="Q322" i="1" s="1"/>
  <c r="E136" i="1"/>
  <c r="Q136" i="1" s="1"/>
  <c r="E955" i="1"/>
  <c r="Q955" i="1" s="1"/>
  <c r="E628" i="1"/>
  <c r="Q628" i="1" s="1"/>
  <c r="E1290" i="1"/>
  <c r="Q1290" i="1" s="1"/>
  <c r="E1291" i="1"/>
  <c r="Q1291" i="1" s="1"/>
  <c r="E629" i="1"/>
  <c r="Q629" i="1" s="1"/>
  <c r="E478" i="1"/>
  <c r="Q478" i="1" s="1"/>
  <c r="E956" i="1"/>
  <c r="Q956" i="1" s="1"/>
  <c r="E479" i="1"/>
  <c r="Q479" i="1" s="1"/>
  <c r="E957" i="1"/>
  <c r="Q957" i="1" s="1"/>
  <c r="E137" i="1"/>
  <c r="Q137" i="1" s="1"/>
  <c r="E630" i="1"/>
  <c r="Q630" i="1" s="1"/>
  <c r="E958" i="1"/>
  <c r="Q958" i="1" s="1"/>
  <c r="E480" i="1"/>
  <c r="Q480" i="1" s="1"/>
  <c r="E138" i="1"/>
  <c r="Q138" i="1" s="1"/>
  <c r="E631" i="1"/>
  <c r="Q631" i="1" s="1"/>
  <c r="E1447" i="1"/>
  <c r="Q1447" i="1" s="1"/>
  <c r="E1292" i="1"/>
  <c r="Q1292" i="1" s="1"/>
  <c r="E139" i="1"/>
  <c r="Q139" i="1" s="1"/>
  <c r="E959" i="1"/>
  <c r="Q959" i="1" s="1"/>
  <c r="E481" i="1"/>
  <c r="Q481" i="1" s="1"/>
  <c r="E1448" i="1"/>
  <c r="Q1448" i="1" s="1"/>
  <c r="E793" i="1"/>
  <c r="Q793" i="1" s="1"/>
  <c r="E482" i="1"/>
  <c r="Q482" i="1" s="1"/>
  <c r="E1293" i="1"/>
  <c r="Q1293" i="1" s="1"/>
  <c r="E632" i="1"/>
  <c r="Q632" i="1" s="1"/>
  <c r="E1449" i="1"/>
  <c r="Q1449" i="1" s="1"/>
  <c r="E483" i="1"/>
  <c r="Q483" i="1" s="1"/>
  <c r="E323" i="1"/>
  <c r="Q323" i="1" s="1"/>
  <c r="E140" i="1"/>
  <c r="Q140" i="1" s="1"/>
  <c r="E1450" i="1"/>
  <c r="Q1450" i="1" s="1"/>
  <c r="E794" i="1"/>
  <c r="Q794" i="1" s="1"/>
  <c r="E324" i="1"/>
  <c r="Q324" i="1" s="1"/>
  <c r="E141" i="1"/>
  <c r="Q141" i="1" s="1"/>
  <c r="E633" i="1"/>
  <c r="Q633" i="1" s="1"/>
  <c r="E142" i="1"/>
  <c r="Q142" i="1" s="1"/>
  <c r="E795" i="1"/>
  <c r="Q795" i="1" s="1"/>
  <c r="E960" i="1"/>
  <c r="Q960" i="1" s="1"/>
  <c r="E634" i="1"/>
  <c r="Q634" i="1" s="1"/>
  <c r="E325" i="1"/>
  <c r="Q325" i="1" s="1"/>
  <c r="E635" i="1"/>
  <c r="Q635" i="1" s="1"/>
  <c r="E961" i="1"/>
  <c r="Q961" i="1" s="1"/>
  <c r="E143" i="1"/>
  <c r="Q143" i="1" s="1"/>
  <c r="E796" i="1"/>
  <c r="Q796" i="1" s="1"/>
  <c r="E1125" i="1"/>
  <c r="Q1125" i="1" s="1"/>
  <c r="E1451" i="1"/>
  <c r="Q1451" i="1" s="1"/>
  <c r="E144" i="1"/>
  <c r="Q144" i="1" s="1"/>
  <c r="E962" i="1"/>
  <c r="Q962" i="1" s="1"/>
  <c r="E484" i="1"/>
  <c r="Q484" i="1" s="1"/>
  <c r="E963" i="1"/>
  <c r="Q963" i="1" s="1"/>
  <c r="E964" i="1"/>
  <c r="Q964" i="1" s="1"/>
  <c r="E636" i="1"/>
  <c r="Q636" i="1" s="1"/>
  <c r="E1452" i="1"/>
  <c r="Q1452" i="1" s="1"/>
  <c r="E1126" i="1"/>
  <c r="Q1126" i="1" s="1"/>
  <c r="E1453" i="1"/>
  <c r="Q1453" i="1" s="1"/>
  <c r="E797" i="1"/>
  <c r="Q797" i="1" s="1"/>
  <c r="E326" i="1"/>
  <c r="Q326" i="1" s="1"/>
  <c r="E145" i="1"/>
  <c r="Q145" i="1" s="1"/>
  <c r="E146" i="1"/>
  <c r="Q146" i="1" s="1"/>
  <c r="E965" i="1"/>
  <c r="Q965" i="1" s="1"/>
  <c r="E147" i="1"/>
  <c r="Q147" i="1" s="1"/>
  <c r="E485" i="1"/>
  <c r="Q485" i="1" s="1"/>
  <c r="E966" i="1"/>
  <c r="Q966" i="1" s="1"/>
  <c r="E798" i="1"/>
  <c r="Q798" i="1" s="1"/>
  <c r="E1294" i="1"/>
  <c r="Q1294" i="1" s="1"/>
  <c r="E486" i="1"/>
  <c r="Q486" i="1" s="1"/>
  <c r="E967" i="1"/>
  <c r="Q967" i="1" s="1"/>
  <c r="E148" i="1"/>
  <c r="Q148" i="1" s="1"/>
  <c r="E1127" i="1"/>
  <c r="Q1127" i="1" s="1"/>
  <c r="E637" i="1"/>
  <c r="Q637" i="1" s="1"/>
  <c r="E799" i="1"/>
  <c r="Q799" i="1" s="1"/>
  <c r="E638" i="1"/>
  <c r="Q638" i="1" s="1"/>
  <c r="E639" i="1"/>
  <c r="Q639" i="1" s="1"/>
  <c r="E640" i="1"/>
  <c r="Q640" i="1" s="1"/>
  <c r="E800" i="1"/>
  <c r="Q800" i="1" s="1"/>
  <c r="E487" i="1"/>
  <c r="Q487" i="1" s="1"/>
  <c r="E968" i="1"/>
  <c r="Q968" i="1" s="1"/>
  <c r="E488" i="1"/>
  <c r="Q488" i="1" s="1"/>
  <c r="E1454" i="1"/>
  <c r="Q1454" i="1" s="1"/>
  <c r="E1295" i="1"/>
  <c r="Q1295" i="1" s="1"/>
  <c r="E327" i="1"/>
  <c r="Q327" i="1" s="1"/>
  <c r="E328" i="1"/>
  <c r="Q328" i="1" s="1"/>
  <c r="E329" i="1"/>
  <c r="Q329" i="1" s="1"/>
  <c r="E801" i="1"/>
  <c r="Q801" i="1" s="1"/>
  <c r="E1128" i="1"/>
  <c r="Q1128" i="1" s="1"/>
  <c r="E330" i="1"/>
  <c r="Q330" i="1" s="1"/>
  <c r="E489" i="1"/>
  <c r="Q489" i="1" s="1"/>
  <c r="E149" i="1"/>
  <c r="Q149" i="1" s="1"/>
  <c r="E1129" i="1"/>
  <c r="Q1129" i="1" s="1"/>
  <c r="E490" i="1"/>
  <c r="E1455" i="1"/>
  <c r="Q1455" i="1" s="1"/>
  <c r="E802" i="1"/>
  <c r="Q802" i="1" s="1"/>
  <c r="E150" i="1"/>
  <c r="Q150" i="1" s="1"/>
  <c r="E331" i="1"/>
  <c r="Q331" i="1" s="1"/>
  <c r="E969" i="1"/>
  <c r="Q969" i="1" s="1"/>
  <c r="E1456" i="1"/>
  <c r="Q1456" i="1" s="1"/>
  <c r="E1457" i="1"/>
  <c r="Q1457" i="1" s="1"/>
  <c r="E970" i="1"/>
  <c r="Q970" i="1" s="1"/>
  <c r="E803" i="1"/>
  <c r="Q803" i="1" s="1"/>
  <c r="E151" i="1"/>
  <c r="Q151" i="1" s="1"/>
  <c r="E804" i="1"/>
  <c r="Q804" i="1" s="1"/>
  <c r="E152" i="1"/>
  <c r="Q152" i="1" s="1"/>
  <c r="E332" i="1"/>
  <c r="Q332" i="1" s="1"/>
  <c r="E333" i="1"/>
  <c r="Q333" i="1" s="1"/>
  <c r="E971" i="1"/>
  <c r="Q971" i="1" s="1"/>
  <c r="E972" i="1"/>
  <c r="Q972" i="1" s="1"/>
  <c r="E1130" i="1"/>
  <c r="Q1130" i="1" s="1"/>
  <c r="E973" i="1"/>
  <c r="Q973" i="1" s="1"/>
  <c r="E153" i="1"/>
  <c r="Q153" i="1" s="1"/>
  <c r="E641" i="1"/>
  <c r="Q641" i="1" s="1"/>
  <c r="E491" i="1"/>
  <c r="Q491" i="1" s="1"/>
  <c r="E492" i="1"/>
  <c r="Q492" i="1" s="1"/>
  <c r="E974" i="1"/>
  <c r="Q974" i="1" s="1"/>
  <c r="E154" i="1"/>
  <c r="Q154" i="1" s="1"/>
  <c r="E1131" i="1"/>
  <c r="Q1131" i="1" s="1"/>
  <c r="E155" i="1"/>
  <c r="Q155" i="1" s="1"/>
  <c r="E975" i="1"/>
  <c r="Q975" i="1" s="1"/>
  <c r="E1458" i="1"/>
  <c r="Q1458" i="1" s="1"/>
  <c r="E976" i="1"/>
  <c r="Q976" i="1" s="1"/>
  <c r="E1459" i="1"/>
  <c r="Q1459" i="1" s="1"/>
  <c r="E1460" i="1"/>
  <c r="Q1460" i="1" s="1"/>
  <c r="E156" i="1"/>
  <c r="Q156" i="1" s="1"/>
  <c r="E1461" i="1"/>
  <c r="Q1461" i="1" s="1"/>
  <c r="E1462" i="1"/>
  <c r="Q1462" i="1" s="1"/>
  <c r="E157" i="1"/>
  <c r="Q157" i="1" s="1"/>
  <c r="E642" i="1"/>
  <c r="Q642" i="1" s="1"/>
  <c r="E334" i="1"/>
  <c r="Q334" i="1" s="1"/>
  <c r="E1463" i="1"/>
  <c r="Q1463" i="1" s="1"/>
  <c r="E1296" i="1"/>
  <c r="Q1296" i="1" s="1"/>
  <c r="E643" i="1"/>
  <c r="Q643" i="1" s="1"/>
  <c r="E493" i="1"/>
  <c r="Q493" i="1" s="1"/>
  <c r="E494" i="1"/>
  <c r="Q494" i="1" s="1"/>
  <c r="E335" i="1"/>
  <c r="Q335" i="1" s="1"/>
  <c r="E336" i="1"/>
  <c r="Q336" i="1" s="1"/>
  <c r="E977" i="1"/>
  <c r="Q977" i="1" s="1"/>
  <c r="E644" i="1"/>
  <c r="Q644" i="1" s="1"/>
  <c r="E645" i="1"/>
  <c r="Q645" i="1" s="1"/>
  <c r="E1297" i="1"/>
  <c r="Q1297" i="1" s="1"/>
  <c r="E337" i="1"/>
  <c r="Q337" i="1" s="1"/>
  <c r="E646" i="1"/>
  <c r="Q646" i="1" s="1"/>
  <c r="E1464" i="1"/>
  <c r="Q1464" i="1" s="1"/>
  <c r="E647" i="1"/>
  <c r="Q647" i="1" s="1"/>
  <c r="E805" i="1"/>
  <c r="Q805" i="1" s="1"/>
  <c r="E1132" i="1"/>
  <c r="Q1132" i="1" s="1"/>
  <c r="Q158" i="1"/>
  <c r="E648" i="1"/>
  <c r="Q648" i="1" s="1"/>
  <c r="E1298" i="1"/>
  <c r="Q1298" i="1" s="1"/>
  <c r="E495" i="1"/>
  <c r="Q495" i="1" s="1"/>
  <c r="E1299" i="1"/>
  <c r="Q1299" i="1" s="1"/>
  <c r="Q159" i="1"/>
  <c r="E806" i="1"/>
  <c r="Q806" i="1" s="1"/>
  <c r="E338" i="1"/>
  <c r="Q338" i="1" s="1"/>
  <c r="E807" i="1"/>
  <c r="Q807" i="1" s="1"/>
  <c r="E978" i="1"/>
  <c r="Q978" i="1" s="1"/>
  <c r="E979" i="1"/>
  <c r="Q979" i="1" s="1"/>
  <c r="E496" i="1"/>
  <c r="Q496" i="1" s="1"/>
  <c r="E980" i="1"/>
  <c r="Q980" i="1" s="1"/>
  <c r="E1465" i="1"/>
  <c r="Q1465" i="1" s="1"/>
  <c r="E981" i="1"/>
  <c r="Q981" i="1" s="1"/>
  <c r="Q160" i="1"/>
  <c r="E497" i="1"/>
  <c r="Q497" i="1" s="1"/>
  <c r="E339" i="1"/>
  <c r="Q339" i="1" s="1"/>
  <c r="E808" i="1"/>
  <c r="Q808" i="1" s="1"/>
  <c r="E982" i="1"/>
  <c r="Q982" i="1" s="1"/>
  <c r="E1133" i="1"/>
  <c r="Q1133" i="1" s="1"/>
  <c r="E1466" i="1"/>
  <c r="Q1466" i="1" s="1"/>
  <c r="E1134" i="1"/>
  <c r="Q1134" i="1" s="1"/>
  <c r="E649" i="1"/>
  <c r="Q649" i="1" s="1"/>
  <c r="E498" i="1"/>
  <c r="Q498" i="1" s="1"/>
  <c r="E650" i="1"/>
  <c r="Q650" i="1" s="1"/>
  <c r="E651" i="1"/>
  <c r="Q651" i="1" s="1"/>
  <c r="E983" i="1"/>
  <c r="Q983" i="1" s="1"/>
  <c r="Q161" i="1"/>
  <c r="E340" i="1"/>
  <c r="Q340" i="1" s="1"/>
  <c r="E341" i="1"/>
  <c r="E809" i="1"/>
  <c r="Q809" i="1" s="1"/>
  <c r="E1135" i="1"/>
  <c r="Q1135" i="1" s="1"/>
  <c r="E652" i="1"/>
  <c r="Q652" i="1" s="1"/>
  <c r="Q162" i="1"/>
  <c r="E342" i="1"/>
  <c r="Q342" i="1" s="1"/>
  <c r="E499" i="1"/>
  <c r="Q499" i="1" s="1"/>
  <c r="E1136" i="1"/>
  <c r="Q1136" i="1" s="1"/>
  <c r="E653" i="1"/>
  <c r="Q653" i="1" s="1"/>
  <c r="E500" i="1"/>
  <c r="Q500" i="1" s="1"/>
  <c r="Q163" i="1"/>
  <c r="E984" i="1"/>
  <c r="Q984" i="1" s="1"/>
  <c r="E1137" i="1"/>
  <c r="Q1137" i="1" s="1"/>
  <c r="E343" i="1"/>
  <c r="Q343" i="1" s="1"/>
  <c r="Q164" i="1"/>
  <c r="E1138" i="1"/>
  <c r="Q1138" i="1" s="1"/>
  <c r="E1467" i="1"/>
  <c r="Q1467" i="1" s="1"/>
  <c r="E654" i="1"/>
  <c r="Q654" i="1" s="1"/>
  <c r="E1468" i="1"/>
  <c r="Q1468" i="1" s="1"/>
  <c r="E810" i="1"/>
  <c r="Q810" i="1" s="1"/>
  <c r="E985" i="1"/>
  <c r="Q985" i="1" s="1"/>
  <c r="E655" i="1"/>
  <c r="Q655" i="1" s="1"/>
  <c r="E1139" i="1"/>
  <c r="Q1139" i="1" s="1"/>
  <c r="E811" i="1"/>
  <c r="Q811" i="1" s="1"/>
  <c r="E501" i="1"/>
  <c r="Q501" i="1" s="1"/>
  <c r="E1469" i="1"/>
  <c r="Q1469" i="1" s="1"/>
  <c r="E502" i="1"/>
  <c r="Q502" i="1" s="1"/>
  <c r="E1140" i="1"/>
  <c r="Q1140" i="1" s="1"/>
  <c r="E1300" i="1"/>
  <c r="Q1300" i="1" s="1"/>
  <c r="E1470" i="1"/>
  <c r="Q1470" i="1" s="1"/>
  <c r="E1301" i="1"/>
  <c r="Q1301" i="1" s="1"/>
  <c r="E656" i="1"/>
  <c r="Q656" i="1" s="1"/>
  <c r="E165" i="1"/>
  <c r="Q165" i="1" s="1"/>
  <c r="E986" i="1"/>
  <c r="Q986" i="1" s="1"/>
  <c r="E166" i="1"/>
  <c r="Q166" i="1" s="1"/>
  <c r="E344" i="1"/>
  <c r="Q344" i="1" s="1"/>
  <c r="E1141" i="1"/>
  <c r="Q1141" i="1" s="1"/>
  <c r="E1471" i="1"/>
  <c r="Q1471" i="1" s="1"/>
  <c r="E167" i="1"/>
  <c r="Q167" i="1" s="1"/>
  <c r="E1302" i="1"/>
  <c r="Q1302" i="1" s="1"/>
  <c r="E345" i="1"/>
  <c r="Q345" i="1" s="1"/>
  <c r="E1142" i="1"/>
  <c r="Q1142" i="1" s="1"/>
  <c r="E1472" i="1"/>
  <c r="Q1472" i="1" s="1"/>
  <c r="E812" i="1"/>
  <c r="Q812" i="1" s="1"/>
  <c r="E813" i="1"/>
  <c r="Q813" i="1" s="1"/>
  <c r="E1303" i="1"/>
  <c r="Q1303" i="1" s="1"/>
  <c r="E1473" i="1"/>
  <c r="Q1473" i="1" s="1"/>
  <c r="E168" i="1"/>
  <c r="Q168" i="1" s="1"/>
  <c r="E1474" i="1"/>
  <c r="Q1474" i="1" s="1"/>
  <c r="E1143" i="1"/>
  <c r="Q1143" i="1" s="1"/>
  <c r="E503" i="1"/>
  <c r="Q503" i="1" s="1"/>
  <c r="E1475" i="1"/>
  <c r="Q1475" i="1" s="1"/>
  <c r="E987" i="1"/>
  <c r="Q987" i="1" s="1"/>
  <c r="E988" i="1"/>
  <c r="Q988" i="1" s="1"/>
  <c r="E346" i="1"/>
  <c r="Q346" i="1" s="1"/>
  <c r="E169" i="1"/>
  <c r="Q169" i="1" s="1"/>
  <c r="E989" i="1"/>
  <c r="Q989" i="1" s="1"/>
  <c r="E814" i="1"/>
  <c r="Q814" i="1" s="1"/>
  <c r="E990" i="1"/>
  <c r="Q990" i="1" s="1"/>
  <c r="E347" i="1"/>
  <c r="Q347" i="1" s="1"/>
  <c r="E504" i="1"/>
  <c r="Q504" i="1" s="1"/>
  <c r="E815" i="1"/>
  <c r="Q815" i="1" s="1"/>
  <c r="E348" i="1"/>
  <c r="Q348" i="1" s="1"/>
  <c r="E816" i="1"/>
  <c r="Q816" i="1" s="1"/>
  <c r="E817" i="1"/>
  <c r="Q817" i="1" s="1"/>
  <c r="E349" i="1"/>
  <c r="Q349" i="1" s="1"/>
  <c r="E991" i="1"/>
  <c r="Q991" i="1" s="1"/>
  <c r="E657" i="1"/>
  <c r="Q657" i="1" s="1"/>
  <c r="E658" i="1"/>
  <c r="Q658" i="1" s="1"/>
  <c r="E505" i="1"/>
  <c r="Q505" i="1" s="1"/>
  <c r="E818" i="1"/>
  <c r="Q818" i="1" s="1"/>
  <c r="E659" i="1"/>
  <c r="Q659" i="1" s="1"/>
  <c r="E819" i="1"/>
  <c r="Q819" i="1" s="1"/>
  <c r="E170" i="1"/>
  <c r="Q170" i="1" s="1"/>
  <c r="E1144" i="1"/>
  <c r="Q1144" i="1" s="1"/>
  <c r="E350" i="1"/>
  <c r="Q350" i="1" s="1"/>
  <c r="E660" i="1"/>
  <c r="Q660" i="1" s="1"/>
  <c r="E661" i="1"/>
  <c r="Q661" i="1" s="1"/>
  <c r="E992" i="1"/>
  <c r="Q992" i="1" s="1"/>
  <c r="E1304" i="1"/>
  <c r="Q1304" i="1" s="1"/>
  <c r="E662" i="1"/>
  <c r="Q662" i="1" s="1"/>
  <c r="E171" i="1"/>
  <c r="Q171" i="1" s="1"/>
  <c r="E1305" i="1"/>
  <c r="Q1305" i="1" s="1"/>
  <c r="E1306" i="1"/>
  <c r="Q1306" i="1" s="1"/>
  <c r="E506" i="1"/>
  <c r="Q506" i="1" s="1"/>
  <c r="E1307" i="1"/>
  <c r="Q1307" i="1" s="1"/>
  <c r="E351" i="1"/>
  <c r="Q351" i="1" s="1"/>
  <c r="E1476" i="1"/>
  <c r="Q1476" i="1" s="1"/>
  <c r="E663" i="1"/>
  <c r="Q663" i="1" s="1"/>
  <c r="E1308" i="1"/>
  <c r="Q1308" i="1" s="1"/>
  <c r="E664" i="1"/>
  <c r="Q664" i="1" s="1"/>
  <c r="E665" i="1"/>
  <c r="Q665" i="1" s="1"/>
  <c r="E1145" i="1"/>
  <c r="Q1145" i="1" s="1"/>
  <c r="E1146" i="1"/>
  <c r="Q1146" i="1" s="1"/>
  <c r="E1147" i="1"/>
  <c r="Q1147" i="1" s="1"/>
  <c r="E172" i="1"/>
  <c r="Q172" i="1" s="1"/>
  <c r="E173" i="1"/>
  <c r="Q173" i="1" s="1"/>
  <c r="E993" i="1"/>
  <c r="Q993" i="1" s="1"/>
  <c r="E666" i="1"/>
  <c r="Q666" i="1" s="1"/>
  <c r="E1477" i="1"/>
  <c r="Q1477" i="1" s="1"/>
  <c r="E507" i="1"/>
  <c r="Q507" i="1" s="1"/>
  <c r="E1309" i="1"/>
  <c r="Q1309" i="1" s="1"/>
  <c r="E1148" i="1"/>
  <c r="Q1148" i="1" s="1"/>
  <c r="E508" i="1"/>
  <c r="Q508" i="1" s="1"/>
  <c r="E820" i="1"/>
  <c r="Q820" i="1" s="1"/>
  <c r="E994" i="1"/>
  <c r="Q994" i="1" s="1"/>
  <c r="E995" i="1"/>
  <c r="Q995" i="1" s="1"/>
  <c r="E1478" i="1"/>
  <c r="Q1478" i="1" s="1"/>
  <c r="E509" i="1"/>
  <c r="Q509" i="1" s="1"/>
  <c r="E667" i="1"/>
  <c r="Q667" i="1" s="1"/>
  <c r="E352" i="1"/>
  <c r="Q352" i="1" s="1"/>
  <c r="E353" i="1"/>
  <c r="Q353" i="1" s="1"/>
  <c r="E1310" i="1"/>
  <c r="Q1310" i="1" s="1"/>
  <c r="E668" i="1"/>
  <c r="Q668" i="1" s="1"/>
  <c r="E821" i="1"/>
  <c r="Q821" i="1" s="1"/>
  <c r="E174" i="1"/>
  <c r="Q174" i="1" s="1"/>
  <c r="E1311" i="1"/>
  <c r="Q1311" i="1" s="1"/>
  <c r="E822" i="1"/>
  <c r="Q822" i="1" s="1"/>
  <c r="E823" i="1"/>
  <c r="Q823" i="1" s="1"/>
  <c r="E354" i="1"/>
  <c r="Q354" i="1" s="1"/>
  <c r="E1479" i="1"/>
  <c r="Q1479" i="1" s="1"/>
  <c r="E175" i="1"/>
  <c r="Q175" i="1" s="1"/>
  <c r="E176" i="1"/>
  <c r="Q176" i="1" s="1"/>
  <c r="E824" i="1"/>
  <c r="Q824" i="1" s="1"/>
  <c r="E510" i="1"/>
  <c r="Q510" i="1" s="1"/>
  <c r="E511" i="1"/>
  <c r="Q511" i="1" s="1"/>
  <c r="E355" i="1"/>
  <c r="Q355" i="1" s="1"/>
  <c r="E1312" i="1"/>
  <c r="Q1312" i="1" s="1"/>
  <c r="E512" i="1"/>
  <c r="Q512" i="1" s="1"/>
  <c r="E1480" i="1"/>
  <c r="Q1480" i="1" s="1"/>
  <c r="E1149" i="1"/>
  <c r="Q1149" i="1" s="1"/>
  <c r="E825" i="1"/>
  <c r="Q825" i="1" s="1"/>
  <c r="E1313" i="1"/>
  <c r="Q1313" i="1" s="1"/>
  <c r="E177" i="1"/>
  <c r="Q177" i="1" s="1"/>
  <c r="E178" i="1"/>
  <c r="Q178" i="1" s="1"/>
  <c r="E996" i="1"/>
  <c r="Q996" i="1" s="1"/>
  <c r="E1314" i="1"/>
  <c r="Q1314" i="1" s="1"/>
  <c r="E356" i="1"/>
  <c r="Q356" i="1" s="1"/>
  <c r="E357" i="1"/>
  <c r="Q357" i="1" s="1"/>
  <c r="E1150" i="1"/>
  <c r="Q1150" i="1" s="1"/>
  <c r="E1315" i="1"/>
  <c r="Q1315" i="1" s="1"/>
  <c r="E179" i="1"/>
  <c r="Q179" i="1" s="1"/>
  <c r="E997" i="1"/>
  <c r="Q997" i="1" s="1"/>
  <c r="E1316" i="1"/>
  <c r="Q1316" i="1" s="1"/>
  <c r="E513" i="1"/>
  <c r="Q513" i="1" s="1"/>
  <c r="E998" i="1"/>
  <c r="Q998" i="1" s="1"/>
  <c r="E826" i="1"/>
  <c r="Q826" i="1" s="1"/>
  <c r="E1317" i="1"/>
  <c r="Q1317" i="1" s="1"/>
  <c r="E999" i="1"/>
  <c r="Q999" i="1" s="1"/>
  <c r="E827" i="1"/>
  <c r="Q827" i="1" s="1"/>
  <c r="E1318" i="1"/>
  <c r="Q1318" i="1" s="1"/>
  <c r="E358" i="1"/>
  <c r="Q358" i="1" s="1"/>
  <c r="E514" i="1"/>
  <c r="Q514" i="1" s="1"/>
  <c r="E515" i="1"/>
  <c r="Q515" i="1" s="1"/>
  <c r="E516" i="1"/>
  <c r="Q516" i="1" s="1"/>
  <c r="E180" i="1"/>
  <c r="Q180" i="1" s="1"/>
  <c r="E1000" i="1"/>
  <c r="E1481" i="1"/>
  <c r="Q1481" i="1" s="1"/>
  <c r="E669" i="1"/>
  <c r="Q669" i="1" s="1"/>
  <c r="E1482" i="1"/>
  <c r="Q1482" i="1" s="1"/>
  <c r="E1483" i="1"/>
  <c r="Q1483" i="1" s="1"/>
  <c r="E1319" i="1"/>
  <c r="Q1319" i="1" s="1"/>
  <c r="E181" i="1"/>
  <c r="Q181" i="1" s="1"/>
  <c r="E359" i="1"/>
  <c r="Q359" i="1" s="1"/>
  <c r="E517" i="1"/>
  <c r="Q517" i="1" s="1"/>
  <c r="E182" i="1"/>
  <c r="Q182" i="1" s="1"/>
  <c r="E670" i="1"/>
  <c r="Q670" i="1" s="1"/>
  <c r="E828" i="1"/>
  <c r="Q828" i="1" s="1"/>
  <c r="E1484" i="1"/>
  <c r="Q1484" i="1" s="1"/>
  <c r="E1151" i="1"/>
  <c r="Q1151" i="1" s="1"/>
  <c r="E183" i="1"/>
  <c r="Q183" i="1" s="1"/>
  <c r="E1320" i="1"/>
  <c r="Q1320" i="1" s="1"/>
  <c r="E671" i="1"/>
  <c r="Q671" i="1" s="1"/>
  <c r="E184" i="1"/>
  <c r="Q184" i="1" s="1"/>
  <c r="E829" i="1"/>
  <c r="Q829" i="1" s="1"/>
  <c r="E830" i="1"/>
  <c r="Q830" i="1" s="1"/>
  <c r="E1152" i="1"/>
  <c r="Q1152" i="1" s="1"/>
  <c r="E518" i="1"/>
  <c r="Q518" i="1" s="1"/>
  <c r="E360" i="1"/>
  <c r="Q360" i="1" s="1"/>
  <c r="E831" i="1"/>
  <c r="Q831" i="1" s="1"/>
  <c r="E1153" i="1"/>
  <c r="Q1153" i="1" s="1"/>
  <c r="E1154" i="1"/>
  <c r="Q1154" i="1" s="1"/>
  <c r="E832" i="1"/>
  <c r="Q832" i="1" s="1"/>
  <c r="E185" i="1"/>
  <c r="Q185" i="1" s="1"/>
  <c r="E361" i="1"/>
  <c r="Q361" i="1" s="1"/>
  <c r="E833" i="1"/>
  <c r="Q833" i="1" s="1"/>
  <c r="E672" i="1"/>
  <c r="Q672" i="1" s="1"/>
  <c r="E1321" i="1"/>
  <c r="Q1321" i="1" s="1"/>
  <c r="E1001" i="1"/>
  <c r="Q1001" i="1" s="1"/>
  <c r="E1155" i="1"/>
  <c r="Q1155" i="1" s="1"/>
  <c r="E834" i="1"/>
  <c r="Q834" i="1" s="1"/>
  <c r="E186" i="1"/>
  <c r="Q186" i="1" s="1"/>
  <c r="E362" i="1"/>
  <c r="Q362" i="1" s="1"/>
  <c r="E1485" i="1"/>
  <c r="Q1485" i="1" s="1"/>
  <c r="E1486" i="1"/>
  <c r="Q1486" i="1" s="1"/>
  <c r="E187" i="1"/>
  <c r="Q187" i="1" s="1"/>
  <c r="E519" i="1"/>
  <c r="Q519" i="1" s="1"/>
  <c r="E188" i="1"/>
  <c r="Q188" i="1" s="1"/>
  <c r="E363" i="1"/>
  <c r="Q363" i="1" s="1"/>
  <c r="E835" i="1"/>
  <c r="E836" i="1"/>
  <c r="Q836" i="1" s="1"/>
  <c r="E1156" i="1"/>
  <c r="Q1156" i="1" s="1"/>
  <c r="E1322" i="1"/>
  <c r="Q1322" i="1" s="1"/>
  <c r="E1323" i="1"/>
  <c r="Q1323" i="1" s="1"/>
  <c r="E837" i="1"/>
  <c r="Q837" i="1" s="1"/>
  <c r="E1324" i="1"/>
  <c r="Q1324" i="1" s="1"/>
  <c r="E1002" i="1"/>
  <c r="Q1002" i="1" s="1"/>
  <c r="E520" i="1"/>
  <c r="Q520" i="1" s="1"/>
  <c r="E673" i="1"/>
  <c r="Q673" i="1" s="1"/>
  <c r="E838" i="1"/>
  <c r="Q838" i="1" s="1"/>
  <c r="E1157" i="1"/>
  <c r="Q1157" i="1" s="1"/>
  <c r="E1487" i="1"/>
  <c r="Q1487" i="1" s="1"/>
  <c r="E674" i="1"/>
  <c r="Q674" i="1" s="1"/>
  <c r="E1003" i="1"/>
  <c r="Q1003" i="1" s="1"/>
  <c r="E189" i="1"/>
  <c r="Q189" i="1" s="1"/>
  <c r="E190" i="1"/>
  <c r="Q190" i="1" s="1"/>
  <c r="E1004" i="1"/>
  <c r="Q1004" i="1" s="1"/>
  <c r="E675" i="1"/>
  <c r="Q675" i="1" s="1"/>
  <c r="E191" i="1"/>
  <c r="Q191" i="1" s="1"/>
  <c r="E676" i="1"/>
  <c r="Q676" i="1" s="1"/>
  <c r="E1488" i="1"/>
  <c r="Q1488" i="1" s="1"/>
  <c r="E521" i="1"/>
  <c r="Q521" i="1" s="1"/>
  <c r="E839" i="1"/>
  <c r="Q839" i="1" s="1"/>
  <c r="E192" i="1"/>
  <c r="Q192" i="1" s="1"/>
  <c r="E1489" i="1"/>
  <c r="Q1489" i="1" s="1"/>
  <c r="E1005" i="1"/>
  <c r="Q1005" i="1" s="1"/>
  <c r="E1490" i="1"/>
  <c r="Q1490" i="1" s="1"/>
  <c r="E364" i="1"/>
  <c r="Q364" i="1" s="1"/>
  <c r="E365" i="1"/>
  <c r="Q365" i="1" s="1"/>
  <c r="E677" i="1"/>
  <c r="Q677" i="1" s="1"/>
  <c r="B840" i="1"/>
  <c r="B366" i="1"/>
  <c r="B678" i="1"/>
  <c r="B193" i="1"/>
  <c r="B1006" i="1"/>
  <c r="B194" i="1"/>
  <c r="B2" i="1"/>
  <c r="B367" i="1"/>
  <c r="B522" i="1"/>
  <c r="B523" i="1"/>
  <c r="B841" i="1"/>
  <c r="B195" i="1"/>
  <c r="B1325" i="1"/>
  <c r="B842" i="1"/>
  <c r="B368" i="1"/>
  <c r="B1326" i="1"/>
  <c r="B1158" i="1"/>
  <c r="B1159" i="1"/>
  <c r="B524" i="1"/>
  <c r="B1160" i="1"/>
  <c r="B679" i="1"/>
  <c r="B369" i="1"/>
  <c r="B680" i="1"/>
  <c r="B3" i="1"/>
  <c r="B843" i="1"/>
  <c r="B1327" i="1"/>
  <c r="B1161" i="1"/>
  <c r="B1162" i="1"/>
  <c r="B525" i="1"/>
  <c r="B681" i="1"/>
  <c r="B1163" i="1"/>
  <c r="B526" i="1"/>
  <c r="B682" i="1"/>
  <c r="B1007" i="1"/>
  <c r="B1328" i="1"/>
  <c r="B844" i="1"/>
  <c r="B683" i="1"/>
  <c r="B1008" i="1"/>
  <c r="B527" i="1"/>
  <c r="B845" i="1"/>
  <c r="B196" i="1"/>
  <c r="B684" i="1"/>
  <c r="B528" i="1"/>
  <c r="B1164" i="1"/>
  <c r="B529" i="1"/>
  <c r="B370" i="1"/>
  <c r="B371" i="1"/>
  <c r="B1329" i="1"/>
  <c r="B4" i="1"/>
  <c r="B5" i="1"/>
  <c r="B1165" i="1"/>
  <c r="B372" i="1"/>
  <c r="B6" i="1"/>
  <c r="B1330" i="1"/>
  <c r="B7" i="1"/>
  <c r="B373" i="1"/>
  <c r="B1166" i="1"/>
  <c r="B846" i="1"/>
  <c r="B1009" i="1"/>
  <c r="B1010" i="1"/>
  <c r="B1167" i="1"/>
  <c r="B530" i="1"/>
  <c r="B374" i="1"/>
  <c r="B685" i="1"/>
  <c r="B686" i="1"/>
  <c r="B1168" i="1"/>
  <c r="B847" i="1"/>
  <c r="B531" i="1"/>
  <c r="B1331" i="1"/>
  <c r="B1169" i="1"/>
  <c r="B8" i="1"/>
  <c r="B1170" i="1"/>
  <c r="B1011" i="1"/>
  <c r="B375" i="1"/>
  <c r="B197" i="1"/>
  <c r="B1171" i="1"/>
  <c r="B1172" i="1"/>
  <c r="B376" i="1"/>
  <c r="B1332" i="1"/>
  <c r="B687" i="1"/>
  <c r="B198" i="1"/>
  <c r="B532" i="1"/>
  <c r="B1012" i="1"/>
  <c r="B848" i="1"/>
  <c r="B688" i="1"/>
  <c r="B1173" i="1"/>
  <c r="B533" i="1"/>
  <c r="B689" i="1"/>
  <c r="B199" i="1"/>
  <c r="B1333" i="1"/>
  <c r="B534" i="1"/>
  <c r="B200" i="1"/>
  <c r="B849" i="1"/>
  <c r="B1013" i="1"/>
  <c r="B9" i="1"/>
  <c r="B690" i="1"/>
  <c r="B535" i="1"/>
  <c r="B691" i="1"/>
  <c r="B201" i="1"/>
  <c r="B692" i="1"/>
  <c r="B1174" i="1"/>
  <c r="B1014" i="1"/>
  <c r="B202" i="1"/>
  <c r="B1334" i="1"/>
  <c r="B1015" i="1"/>
  <c r="B203" i="1"/>
  <c r="B850" i="1"/>
  <c r="B204" i="1"/>
  <c r="B693" i="1"/>
  <c r="B1175" i="1"/>
  <c r="B10" i="1"/>
  <c r="B205" i="1"/>
  <c r="B206" i="1"/>
  <c r="B1335" i="1"/>
  <c r="B1336" i="1"/>
  <c r="B1016" i="1"/>
  <c r="B851" i="1"/>
  <c r="B852" i="1"/>
  <c r="B1337" i="1"/>
  <c r="B1338" i="1"/>
  <c r="B377" i="1"/>
  <c r="B853" i="1"/>
  <c r="B854" i="1"/>
  <c r="B1017" i="1"/>
  <c r="B378" i="1"/>
  <c r="B694" i="1"/>
  <c r="B1018" i="1"/>
  <c r="B379" i="1"/>
  <c r="B1339" i="1"/>
  <c r="B1340" i="1"/>
  <c r="B380" i="1"/>
  <c r="B207" i="1"/>
  <c r="B1019" i="1"/>
  <c r="B855" i="1"/>
  <c r="B208" i="1"/>
  <c r="B11" i="1"/>
  <c r="B1341" i="1"/>
  <c r="B1176" i="1"/>
  <c r="B12" i="1"/>
  <c r="B1020" i="1"/>
  <c r="B856" i="1"/>
  <c r="B857" i="1"/>
  <c r="B1021" i="1"/>
  <c r="B1177" i="1"/>
  <c r="B13" i="1"/>
  <c r="B1022" i="1"/>
  <c r="B209" i="1"/>
  <c r="B536" i="1"/>
  <c r="B1342" i="1"/>
  <c r="B1343" i="1"/>
  <c r="B858" i="1"/>
  <c r="B210" i="1"/>
  <c r="B381" i="1"/>
  <c r="B537" i="1"/>
  <c r="B859" i="1"/>
  <c r="B1344" i="1"/>
  <c r="B695" i="1"/>
  <c r="B382" i="1"/>
  <c r="B14" i="1"/>
  <c r="B538" i="1"/>
  <c r="B860" i="1"/>
  <c r="B1023" i="1"/>
  <c r="B15" i="1"/>
  <c r="B1178" i="1"/>
  <c r="B16" i="1"/>
  <c r="B1179" i="1"/>
  <c r="B539" i="1"/>
  <c r="B383" i="1"/>
  <c r="B861" i="1"/>
  <c r="B384" i="1"/>
  <c r="B696" i="1"/>
  <c r="B697" i="1"/>
  <c r="B17" i="1"/>
  <c r="B385" i="1"/>
  <c r="B698" i="1"/>
  <c r="B699" i="1"/>
  <c r="B1345" i="1"/>
  <c r="B386" i="1"/>
  <c r="B1346" i="1"/>
  <c r="B211" i="1"/>
  <c r="B18" i="1"/>
  <c r="B1347" i="1"/>
  <c r="B19" i="1"/>
  <c r="B387" i="1"/>
  <c r="B1024" i="1"/>
  <c r="B700" i="1"/>
  <c r="B540" i="1"/>
  <c r="B862" i="1"/>
  <c r="B1348" i="1"/>
  <c r="B541" i="1"/>
  <c r="B212" i="1"/>
  <c r="B213" i="1"/>
  <c r="B863" i="1"/>
  <c r="B701" i="1"/>
  <c r="B1349" i="1"/>
  <c r="B214" i="1"/>
  <c r="B1180" i="1"/>
  <c r="B1025" i="1"/>
  <c r="B215" i="1"/>
  <c r="B20" i="1"/>
  <c r="B702" i="1"/>
  <c r="B388" i="1"/>
  <c r="B21" i="1"/>
  <c r="B216" i="1"/>
  <c r="B217" i="1"/>
  <c r="B1026" i="1"/>
  <c r="B542" i="1"/>
  <c r="B218" i="1"/>
  <c r="B389" i="1"/>
  <c r="B219" i="1"/>
  <c r="B1350" i="1"/>
  <c r="B543" i="1"/>
  <c r="B864" i="1"/>
  <c r="B703" i="1"/>
  <c r="B1181" i="1"/>
  <c r="B544" i="1"/>
  <c r="B1027" i="1"/>
  <c r="B704" i="1"/>
  <c r="B22" i="1"/>
  <c r="B705" i="1"/>
  <c r="B23" i="1"/>
  <c r="B24" i="1"/>
  <c r="B220" i="1"/>
  <c r="B1028" i="1"/>
  <c r="B1351" i="1"/>
  <c r="B545" i="1"/>
  <c r="B1029" i="1"/>
  <c r="B706" i="1"/>
  <c r="B865" i="1"/>
  <c r="B25" i="1"/>
  <c r="B221" i="1"/>
  <c r="B1030" i="1"/>
  <c r="B866" i="1"/>
  <c r="B1031" i="1"/>
  <c r="B1352" i="1"/>
  <c r="B546" i="1"/>
  <c r="B390" i="1"/>
  <c r="B1032" i="1"/>
  <c r="B547" i="1"/>
  <c r="B26" i="1"/>
  <c r="B1182" i="1"/>
  <c r="B1033" i="1"/>
  <c r="B222" i="1"/>
  <c r="B391" i="1"/>
  <c r="B392" i="1"/>
  <c r="B1353" i="1"/>
  <c r="B223" i="1"/>
  <c r="B27" i="1"/>
  <c r="B224" i="1"/>
  <c r="B548" i="1"/>
  <c r="B225" i="1"/>
  <c r="B28" i="1"/>
  <c r="B1183" i="1"/>
  <c r="B226" i="1"/>
  <c r="B867" i="1"/>
  <c r="B868" i="1"/>
  <c r="B227" i="1"/>
  <c r="B707" i="1"/>
  <c r="B869" i="1"/>
  <c r="B393" i="1"/>
  <c r="B1034" i="1"/>
  <c r="B870" i="1"/>
  <c r="B549" i="1"/>
  <c r="B29" i="1"/>
  <c r="B550" i="1"/>
  <c r="B1035" i="1"/>
  <c r="B228" i="1"/>
  <c r="B229" i="1"/>
  <c r="B871" i="1"/>
  <c r="B230" i="1"/>
  <c r="B551" i="1"/>
  <c r="B552" i="1"/>
  <c r="B708" i="1"/>
  <c r="B1036" i="1"/>
  <c r="B553" i="1"/>
  <c r="B1354" i="1"/>
  <c r="B554" i="1"/>
  <c r="B1184" i="1"/>
  <c r="B709" i="1"/>
  <c r="B710" i="1"/>
  <c r="B394" i="1"/>
  <c r="B1355" i="1"/>
  <c r="B711" i="1"/>
  <c r="B1037" i="1"/>
  <c r="B395" i="1"/>
  <c r="B1038" i="1"/>
  <c r="B231" i="1"/>
  <c r="B555" i="1"/>
  <c r="B1039" i="1"/>
  <c r="B1185" i="1"/>
  <c r="B232" i="1"/>
  <c r="B872" i="1"/>
  <c r="B30" i="1"/>
  <c r="B31" i="1"/>
  <c r="B396" i="1"/>
  <c r="B556" i="1"/>
  <c r="B712" i="1"/>
  <c r="B713" i="1"/>
  <c r="B714" i="1"/>
  <c r="B1356" i="1"/>
  <c r="B233" i="1"/>
  <c r="B1040" i="1"/>
  <c r="B557" i="1"/>
  <c r="B715" i="1"/>
  <c r="B558" i="1"/>
  <c r="B234" i="1"/>
  <c r="B235" i="1"/>
  <c r="B32" i="1"/>
  <c r="B1041" i="1"/>
  <c r="B1357" i="1"/>
  <c r="B1358" i="1"/>
  <c r="B716" i="1"/>
  <c r="B397" i="1"/>
  <c r="B236" i="1"/>
  <c r="B1186" i="1"/>
  <c r="B237" i="1"/>
  <c r="B398" i="1"/>
  <c r="B873" i="1"/>
  <c r="B33" i="1"/>
  <c r="B1187" i="1"/>
  <c r="B1042" i="1"/>
  <c r="B238" i="1"/>
  <c r="B1188" i="1"/>
  <c r="B1043" i="1"/>
  <c r="B399" i="1"/>
  <c r="B1359" i="1"/>
  <c r="B559" i="1"/>
  <c r="B874" i="1"/>
  <c r="B875" i="1"/>
  <c r="B1189" i="1"/>
  <c r="B1044" i="1"/>
  <c r="B1045" i="1"/>
  <c r="B1190" i="1"/>
  <c r="B1360" i="1"/>
  <c r="B1361" i="1"/>
  <c r="B876" i="1"/>
  <c r="B877" i="1"/>
  <c r="B1362" i="1"/>
  <c r="B878" i="1"/>
  <c r="B1046" i="1"/>
  <c r="B1047" i="1"/>
  <c r="B560" i="1"/>
  <c r="B1048" i="1"/>
  <c r="B239" i="1"/>
  <c r="B1191" i="1"/>
  <c r="B717" i="1"/>
  <c r="B1192" i="1"/>
  <c r="B879" i="1"/>
  <c r="B1049" i="1"/>
  <c r="B561" i="1"/>
  <c r="B562" i="1"/>
  <c r="B34" i="1"/>
  <c r="B1363" i="1"/>
  <c r="B400" i="1"/>
  <c r="B1193" i="1"/>
  <c r="B718" i="1"/>
  <c r="B563" i="1"/>
  <c r="B719" i="1"/>
  <c r="B35" i="1"/>
  <c r="B1364" i="1"/>
  <c r="B401" i="1"/>
  <c r="B1194" i="1"/>
  <c r="B1050" i="1"/>
  <c r="B36" i="1"/>
  <c r="B240" i="1"/>
  <c r="B241" i="1"/>
  <c r="B1051" i="1"/>
  <c r="B37" i="1"/>
  <c r="B242" i="1"/>
  <c r="B1365" i="1"/>
  <c r="B38" i="1"/>
  <c r="B880" i="1"/>
  <c r="B39" i="1"/>
  <c r="B564" i="1"/>
  <c r="B1195" i="1"/>
  <c r="B1196" i="1"/>
  <c r="B40" i="1"/>
  <c r="B1197" i="1"/>
  <c r="B402" i="1"/>
  <c r="B881" i="1"/>
  <c r="B1198" i="1"/>
  <c r="B720" i="1"/>
  <c r="B882" i="1"/>
  <c r="B243" i="1"/>
  <c r="B403" i="1"/>
  <c r="B1052" i="1"/>
  <c r="B41" i="1"/>
  <c r="B1053" i="1"/>
  <c r="B1199" i="1"/>
  <c r="B721" i="1"/>
  <c r="B404" i="1"/>
  <c r="B883" i="1"/>
  <c r="B1054" i="1"/>
  <c r="B405" i="1"/>
  <c r="B1366" i="1"/>
  <c r="B722" i="1"/>
  <c r="B244" i="1"/>
  <c r="B1200" i="1"/>
  <c r="B1055" i="1"/>
  <c r="B42" i="1"/>
  <c r="B406" i="1"/>
  <c r="B245" i="1"/>
  <c r="B246" i="1"/>
  <c r="B43" i="1"/>
  <c r="B44" i="1"/>
  <c r="B723" i="1"/>
  <c r="B565" i="1"/>
  <c r="B407" i="1"/>
  <c r="B247" i="1"/>
  <c r="B1056" i="1"/>
  <c r="B566" i="1"/>
  <c r="B45" i="1"/>
  <c r="B248" i="1"/>
  <c r="B1201" i="1"/>
  <c r="B1367" i="1"/>
  <c r="B567" i="1"/>
  <c r="B568" i="1"/>
  <c r="B408" i="1"/>
  <c r="B249" i="1"/>
  <c r="B250" i="1"/>
  <c r="B1057" i="1"/>
  <c r="B1368" i="1"/>
  <c r="B1202" i="1"/>
  <c r="B251" i="1"/>
  <c r="B46" i="1"/>
  <c r="B409" i="1"/>
  <c r="B724" i="1"/>
  <c r="B1369" i="1"/>
  <c r="B884" i="1"/>
  <c r="B410" i="1"/>
  <c r="B47" i="1"/>
  <c r="B252" i="1"/>
  <c r="B1058" i="1"/>
  <c r="B411" i="1"/>
  <c r="B1370" i="1"/>
  <c r="B1059" i="1"/>
  <c r="B569" i="1"/>
  <c r="B725" i="1"/>
  <c r="B1371" i="1"/>
  <c r="B1203" i="1"/>
  <c r="B48" i="1"/>
  <c r="B1204" i="1"/>
  <c r="B1060" i="1"/>
  <c r="B726" i="1"/>
  <c r="B1061" i="1"/>
  <c r="B570" i="1"/>
  <c r="B412" i="1"/>
  <c r="B49" i="1"/>
  <c r="B571" i="1"/>
  <c r="B253" i="1"/>
  <c r="B572" i="1"/>
  <c r="B885" i="1"/>
  <c r="B1372" i="1"/>
  <c r="B1062" i="1"/>
  <c r="B886" i="1"/>
  <c r="B887" i="1"/>
  <c r="B413" i="1"/>
  <c r="B888" i="1"/>
  <c r="B727" i="1"/>
  <c r="B1205" i="1"/>
  <c r="B1206" i="1"/>
  <c r="B728" i="1"/>
  <c r="B573" i="1"/>
  <c r="B574" i="1"/>
  <c r="B1207" i="1"/>
  <c r="B1208" i="1"/>
  <c r="B1063" i="1"/>
  <c r="B729" i="1"/>
  <c r="B414" i="1"/>
  <c r="B1064" i="1"/>
  <c r="B889" i="1"/>
  <c r="B890" i="1"/>
  <c r="B415" i="1"/>
  <c r="B1209" i="1"/>
  <c r="B891" i="1"/>
  <c r="B254" i="1"/>
  <c r="B730" i="1"/>
  <c r="B731" i="1"/>
  <c r="B732" i="1"/>
  <c r="B575" i="1"/>
  <c r="B255" i="1"/>
  <c r="B733" i="1"/>
  <c r="B50" i="1"/>
  <c r="B576" i="1"/>
  <c r="B51" i="1"/>
  <c r="B1065" i="1"/>
  <c r="B256" i="1"/>
  <c r="B1066" i="1"/>
  <c r="B734" i="1"/>
  <c r="B1373" i="1"/>
  <c r="B735" i="1"/>
  <c r="B577" i="1"/>
  <c r="B1210" i="1"/>
  <c r="B416" i="1"/>
  <c r="B417" i="1"/>
  <c r="B1211" i="1"/>
  <c r="B1212" i="1"/>
  <c r="B418" i="1"/>
  <c r="B52" i="1"/>
  <c r="B53" i="1"/>
  <c r="B1067" i="1"/>
  <c r="B419" i="1"/>
  <c r="B420" i="1"/>
  <c r="B1213" i="1"/>
  <c r="B54" i="1"/>
  <c r="B892" i="1"/>
  <c r="B578" i="1"/>
  <c r="B1374" i="1"/>
  <c r="B893" i="1"/>
  <c r="B421" i="1"/>
  <c r="B422" i="1"/>
  <c r="B1068" i="1"/>
  <c r="B1375" i="1"/>
  <c r="B1214" i="1"/>
  <c r="B55" i="1"/>
  <c r="B894" i="1"/>
  <c r="B895" i="1"/>
  <c r="B257" i="1"/>
  <c r="B56" i="1"/>
  <c r="B1215" i="1"/>
  <c r="B1069" i="1"/>
  <c r="B258" i="1"/>
  <c r="B259" i="1"/>
  <c r="B736" i="1"/>
  <c r="B260" i="1"/>
  <c r="B1376" i="1"/>
  <c r="B57" i="1"/>
  <c r="B1216" i="1"/>
  <c r="B261" i="1"/>
  <c r="B579" i="1"/>
  <c r="B896" i="1"/>
  <c r="B262" i="1"/>
  <c r="B580" i="1"/>
  <c r="B58" i="1"/>
  <c r="B1070" i="1"/>
  <c r="B897" i="1"/>
  <c r="B581" i="1"/>
  <c r="B737" i="1"/>
  <c r="B1217" i="1"/>
  <c r="B1071" i="1"/>
  <c r="B898" i="1"/>
  <c r="B263" i="1"/>
  <c r="B1377" i="1"/>
  <c r="B423" i="1"/>
  <c r="B738" i="1"/>
  <c r="B739" i="1"/>
  <c r="B1218" i="1"/>
  <c r="B740" i="1"/>
  <c r="B1378" i="1"/>
  <c r="B1219" i="1"/>
  <c r="B1220" i="1"/>
  <c r="B264" i="1"/>
  <c r="B1379" i="1"/>
  <c r="B899" i="1"/>
  <c r="B424" i="1"/>
  <c r="B59" i="1"/>
  <c r="B1072" i="1"/>
  <c r="B741" i="1"/>
  <c r="B742" i="1"/>
  <c r="B1380" i="1"/>
  <c r="B582" i="1"/>
  <c r="B1073" i="1"/>
  <c r="B425" i="1"/>
  <c r="B426" i="1"/>
  <c r="B265" i="1"/>
  <c r="B900" i="1"/>
  <c r="B60" i="1"/>
  <c r="B1381" i="1"/>
  <c r="B266" i="1"/>
  <c r="B1382" i="1"/>
  <c r="B61" i="1"/>
  <c r="B1221" i="1"/>
  <c r="B1074" i="1"/>
  <c r="B427" i="1"/>
  <c r="B901" i="1"/>
  <c r="B583" i="1"/>
  <c r="B62" i="1"/>
  <c r="B63" i="1"/>
  <c r="B1222" i="1"/>
  <c r="B1075" i="1"/>
  <c r="B743" i="1"/>
  <c r="B267" i="1"/>
  <c r="B1383" i="1"/>
  <c r="B64" i="1"/>
  <c r="B1223" i="1"/>
  <c r="B268" i="1"/>
  <c r="B269" i="1"/>
  <c r="B1384" i="1"/>
  <c r="B1224" i="1"/>
  <c r="B1385" i="1"/>
  <c r="B1076" i="1"/>
  <c r="B1386" i="1"/>
  <c r="B428" i="1"/>
  <c r="B1225" i="1"/>
  <c r="B744" i="1"/>
  <c r="B902" i="1"/>
  <c r="B429" i="1"/>
  <c r="B903" i="1"/>
  <c r="B1387" i="1"/>
  <c r="B65" i="1"/>
  <c r="B66" i="1"/>
  <c r="B67" i="1"/>
  <c r="B584" i="1"/>
  <c r="B270" i="1"/>
  <c r="B68" i="1"/>
  <c r="B1388" i="1"/>
  <c r="B585" i="1"/>
  <c r="B1389" i="1"/>
  <c r="B904" i="1"/>
  <c r="B745" i="1"/>
  <c r="B586" i="1"/>
  <c r="B1390" i="1"/>
  <c r="B271" i="1"/>
  <c r="B69" i="1"/>
  <c r="B1391" i="1"/>
  <c r="B746" i="1"/>
  <c r="B430" i="1"/>
  <c r="B747" i="1"/>
  <c r="B1077" i="1"/>
  <c r="B1392" i="1"/>
  <c r="B70" i="1"/>
  <c r="B748" i="1"/>
  <c r="B905" i="1"/>
  <c r="B1393" i="1"/>
  <c r="B272" i="1"/>
  <c r="B1078" i="1"/>
  <c r="B273" i="1"/>
  <c r="B1226" i="1"/>
  <c r="B71" i="1"/>
  <c r="B431" i="1"/>
  <c r="B749" i="1"/>
  <c r="B750" i="1"/>
  <c r="B72" i="1"/>
  <c r="B1227" i="1"/>
  <c r="B73" i="1"/>
  <c r="B274" i="1"/>
  <c r="B1394" i="1"/>
  <c r="B1228" i="1"/>
  <c r="B1395" i="1"/>
  <c r="B906" i="1"/>
  <c r="B74" i="1"/>
  <c r="B75" i="1"/>
  <c r="B432" i="1"/>
  <c r="B751" i="1"/>
  <c r="B907" i="1"/>
  <c r="B908" i="1"/>
  <c r="B1229" i="1"/>
  <c r="B752" i="1"/>
  <c r="B587" i="1"/>
  <c r="B1079" i="1"/>
  <c r="B1230" i="1"/>
  <c r="B433" i="1"/>
  <c r="B909" i="1"/>
  <c r="B76" i="1"/>
  <c r="B77" i="1"/>
  <c r="B1080" i="1"/>
  <c r="B1081" i="1"/>
  <c r="B753" i="1"/>
  <c r="B1231" i="1"/>
  <c r="B275" i="1"/>
  <c r="B1082" i="1"/>
  <c r="B1232" i="1"/>
  <c r="B276" i="1"/>
  <c r="B1396" i="1"/>
  <c r="B78" i="1"/>
  <c r="B434" i="1"/>
  <c r="B277" i="1"/>
  <c r="B1233" i="1"/>
  <c r="B1397" i="1"/>
  <c r="B588" i="1"/>
  <c r="B79" i="1"/>
  <c r="B1398" i="1"/>
  <c r="B1083" i="1"/>
  <c r="B910" i="1"/>
  <c r="B278" i="1"/>
  <c r="B279" i="1"/>
  <c r="B1084" i="1"/>
  <c r="B80" i="1"/>
  <c r="B435" i="1"/>
  <c r="B436" i="1"/>
  <c r="B754" i="1"/>
  <c r="B1399" i="1"/>
  <c r="B437" i="1"/>
  <c r="B1085" i="1"/>
  <c r="B1086" i="1"/>
  <c r="B438" i="1"/>
  <c r="B81" i="1"/>
  <c r="B589" i="1"/>
  <c r="B1400" i="1"/>
  <c r="B1401" i="1"/>
  <c r="B82" i="1"/>
  <c r="B755" i="1"/>
  <c r="B83" i="1"/>
  <c r="B1234" i="1"/>
  <c r="B756" i="1"/>
  <c r="B1402" i="1"/>
  <c r="B911" i="1"/>
  <c r="B280" i="1"/>
  <c r="B757" i="1"/>
  <c r="B590" i="1"/>
  <c r="B84" i="1"/>
  <c r="B1087" i="1"/>
  <c r="B85" i="1"/>
  <c r="B1235" i="1"/>
  <c r="B439" i="1"/>
  <c r="B758" i="1"/>
  <c r="B759" i="1"/>
  <c r="B281" i="1"/>
  <c r="B86" i="1"/>
  <c r="B87" i="1"/>
  <c r="B1236" i="1"/>
  <c r="B1237" i="1"/>
  <c r="B1238" i="1"/>
  <c r="B591" i="1"/>
  <c r="B912" i="1"/>
  <c r="B1239" i="1"/>
  <c r="B1088" i="1"/>
  <c r="B760" i="1"/>
  <c r="B913" i="1"/>
  <c r="B761" i="1"/>
  <c r="B88" i="1"/>
  <c r="B762" i="1"/>
  <c r="B763" i="1"/>
  <c r="B440" i="1"/>
  <c r="B441" i="1"/>
  <c r="B442" i="1"/>
  <c r="B1240" i="1"/>
  <c r="B89" i="1"/>
  <c r="B1089" i="1"/>
  <c r="B282" i="1"/>
  <c r="B1403" i="1"/>
  <c r="B1241" i="1"/>
  <c r="B1090" i="1"/>
  <c r="B283" i="1"/>
  <c r="B90" i="1"/>
  <c r="B443" i="1"/>
  <c r="B1091" i="1"/>
  <c r="B91" i="1"/>
  <c r="B1242" i="1"/>
  <c r="B444" i="1"/>
  <c r="B764" i="1"/>
  <c r="B914" i="1"/>
  <c r="B915" i="1"/>
  <c r="B1243" i="1"/>
  <c r="B92" i="1"/>
  <c r="B916" i="1"/>
  <c r="B765" i="1"/>
  <c r="B284" i="1"/>
  <c r="B93" i="1"/>
  <c r="B1092" i="1"/>
  <c r="B1404" i="1"/>
  <c r="B1244" i="1"/>
  <c r="B94" i="1"/>
  <c r="B95" i="1"/>
  <c r="B1405" i="1"/>
  <c r="B285" i="1"/>
  <c r="B592" i="1"/>
  <c r="B96" i="1"/>
  <c r="B593" i="1"/>
  <c r="B594" i="1"/>
  <c r="B595" i="1"/>
  <c r="B286" i="1"/>
  <c r="B1245" i="1"/>
  <c r="B445" i="1"/>
  <c r="B1246" i="1"/>
  <c r="B1247" i="1"/>
  <c r="B97" i="1"/>
  <c r="B446" i="1"/>
  <c r="B287" i="1"/>
  <c r="B1093" i="1"/>
  <c r="B1094" i="1"/>
  <c r="B1406" i="1"/>
  <c r="B288" i="1"/>
  <c r="B447" i="1"/>
  <c r="B448" i="1"/>
  <c r="B1407" i="1"/>
  <c r="B1248" i="1"/>
  <c r="B98" i="1"/>
  <c r="B917" i="1"/>
  <c r="B449" i="1"/>
  <c r="B918" i="1"/>
  <c r="B289" i="1"/>
  <c r="B919" i="1"/>
  <c r="B1249" i="1"/>
  <c r="B99" i="1"/>
  <c r="B596" i="1"/>
  <c r="B766" i="1"/>
  <c r="B100" i="1"/>
  <c r="B920" i="1"/>
  <c r="B1250" i="1"/>
  <c r="B450" i="1"/>
  <c r="B921" i="1"/>
  <c r="B1408" i="1"/>
  <c r="B922" i="1"/>
  <c r="B1251" i="1"/>
  <c r="B1252" i="1"/>
  <c r="B1095" i="1"/>
  <c r="B1096" i="1"/>
  <c r="B290" i="1"/>
  <c r="B451" i="1"/>
  <c r="B101" i="1"/>
  <c r="B1253" i="1"/>
  <c r="B1097" i="1"/>
  <c r="B597" i="1"/>
  <c r="B1254" i="1"/>
  <c r="B1409" i="1"/>
  <c r="B291" i="1"/>
  <c r="B1410" i="1"/>
  <c r="B452" i="1"/>
  <c r="B292" i="1"/>
  <c r="B767" i="1"/>
  <c r="B1098" i="1"/>
  <c r="B453" i="1"/>
  <c r="B102" i="1"/>
  <c r="B293" i="1"/>
  <c r="B294" i="1"/>
  <c r="B1099" i="1"/>
  <c r="B598" i="1"/>
  <c r="B103" i="1"/>
  <c r="B599" i="1"/>
  <c r="B923" i="1"/>
  <c r="B295" i="1"/>
  <c r="B1255" i="1"/>
  <c r="B600" i="1"/>
  <c r="B454" i="1"/>
  <c r="B296" i="1"/>
  <c r="B1100" i="1"/>
  <c r="B1411" i="1"/>
  <c r="B1256" i="1"/>
  <c r="B1101" i="1"/>
  <c r="B924" i="1"/>
  <c r="B104" i="1"/>
  <c r="B1257" i="1"/>
  <c r="B297" i="1"/>
  <c r="B1102" i="1"/>
  <c r="B1412" i="1"/>
  <c r="B925" i="1"/>
  <c r="B298" i="1"/>
  <c r="B1258" i="1"/>
  <c r="B105" i="1"/>
  <c r="B601" i="1"/>
  <c r="B926" i="1"/>
  <c r="B1259" i="1"/>
  <c r="B1260" i="1"/>
  <c r="B106" i="1"/>
  <c r="B1103" i="1"/>
  <c r="B602" i="1"/>
  <c r="B603" i="1"/>
  <c r="B604" i="1"/>
  <c r="B1104" i="1"/>
  <c r="B1413" i="1"/>
  <c r="B1414" i="1"/>
  <c r="B455" i="1"/>
  <c r="B107" i="1"/>
  <c r="B1415" i="1"/>
  <c r="B1261" i="1"/>
  <c r="B605" i="1"/>
  <c r="B108" i="1"/>
  <c r="B606" i="1"/>
  <c r="B768" i="1"/>
  <c r="B1105" i="1"/>
  <c r="B299" i="1"/>
  <c r="B456" i="1"/>
  <c r="B1262" i="1"/>
  <c r="B457" i="1"/>
  <c r="B769" i="1"/>
  <c r="B300" i="1"/>
  <c r="B1263" i="1"/>
  <c r="B1416" i="1"/>
  <c r="B458" i="1"/>
  <c r="B459" i="1"/>
  <c r="B927" i="1"/>
  <c r="B928" i="1"/>
  <c r="B1417" i="1"/>
  <c r="B301" i="1"/>
  <c r="B302" i="1"/>
  <c r="B929" i="1"/>
  <c r="B1264" i="1"/>
  <c r="B303" i="1"/>
  <c r="B607" i="1"/>
  <c r="B770" i="1"/>
  <c r="B304" i="1"/>
  <c r="B608" i="1"/>
  <c r="B109" i="1"/>
  <c r="B1106" i="1"/>
  <c r="B930" i="1"/>
  <c r="B1265" i="1"/>
  <c r="B1266" i="1"/>
  <c r="B609" i="1"/>
  <c r="B1107" i="1"/>
  <c r="B1108" i="1"/>
  <c r="B305" i="1"/>
  <c r="B110" i="1"/>
  <c r="B460" i="1"/>
  <c r="B771" i="1"/>
  <c r="B1267" i="1"/>
  <c r="B1418" i="1"/>
  <c r="B931" i="1"/>
  <c r="B1109" i="1"/>
  <c r="B1268" i="1"/>
  <c r="B772" i="1"/>
  <c r="B1419" i="1"/>
  <c r="B111" i="1"/>
  <c r="B306" i="1"/>
  <c r="B307" i="1"/>
  <c r="B1420" i="1"/>
  <c r="B932" i="1"/>
  <c r="B933" i="1"/>
  <c r="B461" i="1"/>
  <c r="B1421" i="1"/>
  <c r="B308" i="1"/>
  <c r="B1110" i="1"/>
  <c r="B1422" i="1"/>
  <c r="B309" i="1"/>
  <c r="B1423" i="1"/>
  <c r="B773" i="1"/>
  <c r="B1269" i="1"/>
  <c r="B934" i="1"/>
  <c r="B112" i="1"/>
  <c r="B935" i="1"/>
  <c r="B610" i="1"/>
  <c r="B1270" i="1"/>
  <c r="B936" i="1"/>
  <c r="B1424" i="1"/>
  <c r="B310" i="1"/>
  <c r="B1425" i="1"/>
  <c r="B311" i="1"/>
  <c r="B774" i="1"/>
  <c r="B611" i="1"/>
  <c r="B1271" i="1"/>
  <c r="B113" i="1"/>
  <c r="B1426" i="1"/>
  <c r="B612" i="1"/>
  <c r="B1111" i="1"/>
  <c r="B114" i="1"/>
  <c r="B462" i="1"/>
  <c r="B1112" i="1"/>
  <c r="B312" i="1"/>
  <c r="B1427" i="1"/>
  <c r="B463" i="1"/>
  <c r="B115" i="1"/>
  <c r="B937" i="1"/>
  <c r="B1272" i="1"/>
  <c r="B464" i="1"/>
  <c r="B1273" i="1"/>
  <c r="B1428" i="1"/>
  <c r="B116" i="1"/>
  <c r="B1429" i="1"/>
  <c r="B938" i="1"/>
  <c r="B1113" i="1"/>
  <c r="B117" i="1"/>
  <c r="B118" i="1"/>
  <c r="B1114" i="1"/>
  <c r="B119" i="1"/>
  <c r="B1274" i="1"/>
  <c r="B120" i="1"/>
  <c r="B121" i="1"/>
  <c r="B775" i="1"/>
  <c r="B939" i="1"/>
  <c r="B313" i="1"/>
  <c r="B940" i="1"/>
  <c r="B1430" i="1"/>
  <c r="B1431" i="1"/>
  <c r="B1275" i="1"/>
  <c r="B1115" i="1"/>
  <c r="B941" i="1"/>
  <c r="B1116" i="1"/>
  <c r="B1276" i="1"/>
  <c r="B1277" i="1"/>
  <c r="B465" i="1"/>
  <c r="B122" i="1"/>
  <c r="B1278" i="1"/>
  <c r="B942" i="1"/>
  <c r="B1432" i="1"/>
  <c r="B776" i="1"/>
  <c r="B123" i="1"/>
  <c r="B613" i="1"/>
  <c r="B777" i="1"/>
  <c r="B778" i="1"/>
  <c r="B943" i="1"/>
  <c r="B779" i="1"/>
  <c r="B944" i="1"/>
  <c r="B780" i="1"/>
  <c r="B614" i="1"/>
  <c r="B1433" i="1"/>
  <c r="B124" i="1"/>
  <c r="B125" i="1"/>
  <c r="B466" i="1"/>
  <c r="B1279" i="1"/>
  <c r="B1280" i="1"/>
  <c r="B615" i="1"/>
  <c r="B1434" i="1"/>
  <c r="B467" i="1"/>
  <c r="B945" i="1"/>
  <c r="B781" i="1"/>
  <c r="B782" i="1"/>
  <c r="B314" i="1"/>
  <c r="B946" i="1"/>
  <c r="B783" i="1"/>
  <c r="B1435" i="1"/>
  <c r="B1117" i="1"/>
  <c r="B1118" i="1"/>
  <c r="B1436" i="1"/>
  <c r="B784" i="1"/>
  <c r="B1437" i="1"/>
  <c r="B785" i="1"/>
  <c r="B126" i="1"/>
  <c r="B616" i="1"/>
  <c r="B315" i="1"/>
  <c r="B947" i="1"/>
  <c r="B617" i="1"/>
  <c r="B1281" i="1"/>
  <c r="B468" i="1"/>
  <c r="B786" i="1"/>
  <c r="B618" i="1"/>
  <c r="B127" i="1"/>
  <c r="B1119" i="1"/>
  <c r="B1438" i="1"/>
  <c r="B787" i="1"/>
  <c r="B1120" i="1"/>
  <c r="B619" i="1"/>
  <c r="B128" i="1"/>
  <c r="B948" i="1"/>
  <c r="B620" i="1"/>
  <c r="B129" i="1"/>
  <c r="B316" i="1"/>
  <c r="B317" i="1"/>
  <c r="B469" i="1"/>
  <c r="B470" i="1"/>
  <c r="B1282" i="1"/>
  <c r="B1283" i="1"/>
  <c r="B471" i="1"/>
  <c r="B472" i="1"/>
  <c r="B1439" i="1"/>
  <c r="B130" i="1"/>
  <c r="B1121" i="1"/>
  <c r="B621" i="1"/>
  <c r="B622" i="1"/>
  <c r="B788" i="1"/>
  <c r="B949" i="1"/>
  <c r="B623" i="1"/>
  <c r="B1284" i="1"/>
  <c r="B1285" i="1"/>
  <c r="B624" i="1"/>
  <c r="B1286" i="1"/>
  <c r="B473" i="1"/>
  <c r="B789" i="1"/>
  <c r="B1287" i="1"/>
  <c r="B131" i="1"/>
  <c r="B790" i="1"/>
  <c r="B625" i="1"/>
  <c r="B318" i="1"/>
  <c r="B474" i="1"/>
  <c r="B319" i="1"/>
  <c r="B1440" i="1"/>
  <c r="B132" i="1"/>
  <c r="B1441" i="1"/>
  <c r="B320" i="1"/>
  <c r="B1288" i="1"/>
  <c r="B1122" i="1"/>
  <c r="B321" i="1"/>
  <c r="B626" i="1"/>
  <c r="B475" i="1"/>
  <c r="B950" i="1"/>
  <c r="B791" i="1"/>
  <c r="B1289" i="1"/>
  <c r="B627" i="1"/>
  <c r="B1442" i="1"/>
  <c r="B1443" i="1"/>
  <c r="B1444" i="1"/>
  <c r="B476" i="1"/>
  <c r="B1445" i="1"/>
  <c r="B477" i="1"/>
  <c r="B133" i="1"/>
  <c r="B951" i="1"/>
  <c r="B952" i="1"/>
  <c r="B953" i="1"/>
  <c r="B1446" i="1"/>
  <c r="B792" i="1"/>
  <c r="B1123" i="1"/>
  <c r="B134" i="1"/>
  <c r="B954" i="1"/>
  <c r="B1124" i="1"/>
  <c r="B135" i="1"/>
  <c r="B322" i="1"/>
  <c r="B136" i="1"/>
  <c r="B955" i="1"/>
  <c r="B628" i="1"/>
  <c r="B1290" i="1"/>
  <c r="B1291" i="1"/>
  <c r="B629" i="1"/>
  <c r="B478" i="1"/>
  <c r="B956" i="1"/>
  <c r="B479" i="1"/>
  <c r="B957" i="1"/>
  <c r="B137" i="1"/>
  <c r="B630" i="1"/>
  <c r="B958" i="1"/>
  <c r="B480" i="1"/>
  <c r="B138" i="1"/>
  <c r="B631" i="1"/>
  <c r="B1447" i="1"/>
  <c r="B1292" i="1"/>
  <c r="B139" i="1"/>
  <c r="B959" i="1"/>
  <c r="B481" i="1"/>
  <c r="B1448" i="1"/>
  <c r="B793" i="1"/>
  <c r="B482" i="1"/>
  <c r="B1293" i="1"/>
  <c r="B632" i="1"/>
  <c r="B1449" i="1"/>
  <c r="B483" i="1"/>
  <c r="B323" i="1"/>
  <c r="B140" i="1"/>
  <c r="B1450" i="1"/>
  <c r="B794" i="1"/>
  <c r="B324" i="1"/>
  <c r="B141" i="1"/>
  <c r="B633" i="1"/>
  <c r="B142" i="1"/>
  <c r="B795" i="1"/>
  <c r="B960" i="1"/>
  <c r="B634" i="1"/>
  <c r="B325" i="1"/>
  <c r="B635" i="1"/>
  <c r="B961" i="1"/>
  <c r="B143" i="1"/>
  <c r="B796" i="1"/>
  <c r="B1125" i="1"/>
  <c r="B1451" i="1"/>
  <c r="B144" i="1"/>
  <c r="B962" i="1"/>
  <c r="B484" i="1"/>
  <c r="B963" i="1"/>
  <c r="B964" i="1"/>
  <c r="B636" i="1"/>
  <c r="B1452" i="1"/>
  <c r="B1126" i="1"/>
  <c r="B1453" i="1"/>
  <c r="B797" i="1"/>
  <c r="B326" i="1"/>
  <c r="B145" i="1"/>
  <c r="B146" i="1"/>
  <c r="B965" i="1"/>
  <c r="B147" i="1"/>
  <c r="B485" i="1"/>
  <c r="B966" i="1"/>
  <c r="B798" i="1"/>
  <c r="B1294" i="1"/>
  <c r="B486" i="1"/>
  <c r="B967" i="1"/>
  <c r="B148" i="1"/>
  <c r="B1127" i="1"/>
  <c r="B637" i="1"/>
  <c r="B799" i="1"/>
  <c r="B638" i="1"/>
  <c r="B639" i="1"/>
  <c r="B640" i="1"/>
  <c r="B800" i="1"/>
  <c r="B487" i="1"/>
  <c r="B968" i="1"/>
  <c r="B488" i="1"/>
  <c r="B1454" i="1"/>
  <c r="B1295" i="1"/>
  <c r="B327" i="1"/>
  <c r="B328" i="1"/>
  <c r="B329" i="1"/>
  <c r="B801" i="1"/>
  <c r="B1128" i="1"/>
  <c r="B330" i="1"/>
  <c r="B489" i="1"/>
  <c r="B149" i="1"/>
  <c r="B1129" i="1"/>
  <c r="B490" i="1"/>
  <c r="B1455" i="1"/>
  <c r="B802" i="1"/>
  <c r="B150" i="1"/>
  <c r="B331" i="1"/>
  <c r="B969" i="1"/>
  <c r="B1456" i="1"/>
  <c r="B1457" i="1"/>
  <c r="B970" i="1"/>
  <c r="B803" i="1"/>
  <c r="B151" i="1"/>
  <c r="B804" i="1"/>
  <c r="B152" i="1"/>
  <c r="B332" i="1"/>
  <c r="B333" i="1"/>
  <c r="B971" i="1"/>
  <c r="B972" i="1"/>
  <c r="B1130" i="1"/>
  <c r="B973" i="1"/>
  <c r="B153" i="1"/>
  <c r="B641" i="1"/>
  <c r="B491" i="1"/>
  <c r="B492" i="1"/>
  <c r="B974" i="1"/>
  <c r="B154" i="1"/>
  <c r="B1131" i="1"/>
  <c r="B155" i="1"/>
  <c r="B975" i="1"/>
  <c r="B1458" i="1"/>
  <c r="B976" i="1"/>
  <c r="B1459" i="1"/>
  <c r="B1460" i="1"/>
  <c r="B156" i="1"/>
  <c r="B1461" i="1"/>
  <c r="B1462" i="1"/>
  <c r="B157" i="1"/>
  <c r="B642" i="1"/>
  <c r="B334" i="1"/>
  <c r="B1463" i="1"/>
  <c r="B1296" i="1"/>
  <c r="B643" i="1"/>
  <c r="B493" i="1"/>
  <c r="B494" i="1"/>
  <c r="B335" i="1"/>
  <c r="B336" i="1"/>
  <c r="B977" i="1"/>
  <c r="B644" i="1"/>
  <c r="B645" i="1"/>
  <c r="B1297" i="1"/>
  <c r="B337" i="1"/>
  <c r="B646" i="1"/>
  <c r="B1464" i="1"/>
  <c r="B647" i="1"/>
  <c r="B805" i="1"/>
  <c r="B1132" i="1"/>
  <c r="B648" i="1"/>
  <c r="B1298" i="1"/>
  <c r="B495" i="1"/>
  <c r="B1299" i="1"/>
  <c r="B806" i="1"/>
  <c r="B338" i="1"/>
  <c r="B807" i="1"/>
  <c r="B978" i="1"/>
  <c r="B979" i="1"/>
  <c r="B496" i="1"/>
  <c r="B980" i="1"/>
  <c r="B1465" i="1"/>
  <c r="B981" i="1"/>
  <c r="B497" i="1"/>
  <c r="B339" i="1"/>
  <c r="B808" i="1"/>
  <c r="B982" i="1"/>
  <c r="B1133" i="1"/>
  <c r="B1466" i="1"/>
  <c r="B1134" i="1"/>
  <c r="B649" i="1"/>
  <c r="B498" i="1"/>
  <c r="B650" i="1"/>
  <c r="B651" i="1"/>
  <c r="B983" i="1"/>
  <c r="B340" i="1"/>
  <c r="B341" i="1"/>
  <c r="B809" i="1"/>
  <c r="B1135" i="1"/>
  <c r="B652" i="1"/>
  <c r="B342" i="1"/>
  <c r="B499" i="1"/>
  <c r="B1136" i="1"/>
  <c r="B653" i="1"/>
  <c r="B500" i="1"/>
  <c r="B984" i="1"/>
  <c r="B1137" i="1"/>
  <c r="B343" i="1"/>
  <c r="B1138" i="1"/>
  <c r="B1467" i="1"/>
  <c r="B654" i="1"/>
  <c r="B1468" i="1"/>
  <c r="B810" i="1"/>
  <c r="B985" i="1"/>
  <c r="B655" i="1"/>
  <c r="B1139" i="1"/>
  <c r="B811" i="1"/>
  <c r="B501" i="1"/>
  <c r="B1469" i="1"/>
  <c r="B502" i="1"/>
  <c r="B1140" i="1"/>
  <c r="B1300" i="1"/>
  <c r="B1470" i="1"/>
  <c r="B1301" i="1"/>
  <c r="B656" i="1"/>
  <c r="B165" i="1"/>
  <c r="B986" i="1"/>
  <c r="B166" i="1"/>
  <c r="B344" i="1"/>
  <c r="B1141" i="1"/>
  <c r="B1471" i="1"/>
  <c r="B167" i="1"/>
  <c r="B1302" i="1"/>
  <c r="B345" i="1"/>
  <c r="B1142" i="1"/>
  <c r="B1472" i="1"/>
  <c r="B812" i="1"/>
  <c r="B813" i="1"/>
  <c r="B1303" i="1"/>
  <c r="B1473" i="1"/>
  <c r="B168" i="1"/>
  <c r="B1474" i="1"/>
  <c r="B1143" i="1"/>
  <c r="B503" i="1"/>
  <c r="B1475" i="1"/>
  <c r="B987" i="1"/>
  <c r="B988" i="1"/>
  <c r="B346" i="1"/>
  <c r="B169" i="1"/>
  <c r="B989" i="1"/>
  <c r="B814" i="1"/>
  <c r="B990" i="1"/>
  <c r="B347" i="1"/>
  <c r="B504" i="1"/>
  <c r="B815" i="1"/>
  <c r="B348" i="1"/>
  <c r="B816" i="1"/>
  <c r="B817" i="1"/>
  <c r="B349" i="1"/>
  <c r="B991" i="1"/>
  <c r="B657" i="1"/>
  <c r="B658" i="1"/>
  <c r="B505" i="1"/>
  <c r="B818" i="1"/>
  <c r="B659" i="1"/>
  <c r="B819" i="1"/>
  <c r="B170" i="1"/>
  <c r="B1144" i="1"/>
  <c r="B350" i="1"/>
  <c r="B660" i="1"/>
  <c r="B661" i="1"/>
  <c r="B992" i="1"/>
  <c r="B1304" i="1"/>
  <c r="B662" i="1"/>
  <c r="B171" i="1"/>
  <c r="B1305" i="1"/>
  <c r="B1306" i="1"/>
  <c r="B506" i="1"/>
  <c r="B1307" i="1"/>
  <c r="B351" i="1"/>
  <c r="B1476" i="1"/>
  <c r="B663" i="1"/>
  <c r="B1308" i="1"/>
  <c r="B664" i="1"/>
  <c r="B665" i="1"/>
  <c r="B1145" i="1"/>
  <c r="B1146" i="1"/>
  <c r="B1147" i="1"/>
  <c r="B172" i="1"/>
  <c r="B173" i="1"/>
  <c r="B993" i="1"/>
  <c r="B666" i="1"/>
  <c r="B1477" i="1"/>
  <c r="B507" i="1"/>
  <c r="B1309" i="1"/>
  <c r="B1148" i="1"/>
  <c r="B508" i="1"/>
  <c r="B820" i="1"/>
  <c r="B994" i="1"/>
  <c r="B995" i="1"/>
  <c r="B1478" i="1"/>
  <c r="B509" i="1"/>
  <c r="B667" i="1"/>
  <c r="B352" i="1"/>
  <c r="B353" i="1"/>
  <c r="B1310" i="1"/>
  <c r="B668" i="1"/>
  <c r="B821" i="1"/>
  <c r="B174" i="1"/>
  <c r="B1311" i="1"/>
  <c r="B822" i="1"/>
  <c r="B823" i="1"/>
  <c r="B354" i="1"/>
  <c r="B1479" i="1"/>
  <c r="B175" i="1"/>
  <c r="B176" i="1"/>
  <c r="B824" i="1"/>
  <c r="B510" i="1"/>
  <c r="B511" i="1"/>
  <c r="B355" i="1"/>
  <c r="B1312" i="1"/>
  <c r="B512" i="1"/>
  <c r="B1480" i="1"/>
  <c r="B1149" i="1"/>
  <c r="B825" i="1"/>
  <c r="B1313" i="1"/>
  <c r="B177" i="1"/>
  <c r="B178" i="1"/>
  <c r="B996" i="1"/>
  <c r="B1314" i="1"/>
  <c r="B356" i="1"/>
  <c r="B357" i="1"/>
  <c r="B1150" i="1"/>
  <c r="B1315" i="1"/>
  <c r="B179" i="1"/>
  <c r="B997" i="1"/>
  <c r="B1316" i="1"/>
  <c r="B513" i="1"/>
  <c r="B998" i="1"/>
  <c r="B826" i="1"/>
  <c r="B1317" i="1"/>
  <c r="B999" i="1"/>
  <c r="B827" i="1"/>
  <c r="B1318" i="1"/>
  <c r="B358" i="1"/>
  <c r="B514" i="1"/>
  <c r="B515" i="1"/>
  <c r="B516" i="1"/>
  <c r="B180" i="1"/>
  <c r="B1000" i="1"/>
  <c r="B1481" i="1"/>
  <c r="B669" i="1"/>
  <c r="B1482" i="1"/>
  <c r="B1483" i="1"/>
  <c r="B1319" i="1"/>
  <c r="B181" i="1"/>
  <c r="B359" i="1"/>
  <c r="B517" i="1"/>
  <c r="B182" i="1"/>
  <c r="B670" i="1"/>
  <c r="B828" i="1"/>
  <c r="B1484" i="1"/>
  <c r="B1151" i="1"/>
  <c r="B183" i="1"/>
  <c r="B1320" i="1"/>
  <c r="B671" i="1"/>
  <c r="B184" i="1"/>
  <c r="B829" i="1"/>
  <c r="B830" i="1"/>
  <c r="B1152" i="1"/>
  <c r="B518" i="1"/>
  <c r="B360" i="1"/>
  <c r="B831" i="1"/>
  <c r="B1153" i="1"/>
  <c r="B1154" i="1"/>
  <c r="B832" i="1"/>
  <c r="B185" i="1"/>
  <c r="B361" i="1"/>
  <c r="B833" i="1"/>
  <c r="B672" i="1"/>
  <c r="B1321" i="1"/>
  <c r="B1001" i="1"/>
  <c r="B1155" i="1"/>
  <c r="B834" i="1"/>
  <c r="B186" i="1"/>
  <c r="B362" i="1"/>
  <c r="B1485" i="1"/>
  <c r="B1486" i="1"/>
  <c r="B187" i="1"/>
  <c r="B519" i="1"/>
  <c r="B188" i="1"/>
  <c r="B363" i="1"/>
  <c r="B835" i="1"/>
  <c r="B836" i="1"/>
  <c r="B1156" i="1"/>
  <c r="B1322" i="1"/>
  <c r="B1323" i="1"/>
  <c r="B837" i="1"/>
  <c r="B1324" i="1"/>
  <c r="B1002" i="1"/>
  <c r="B520" i="1"/>
  <c r="B673" i="1"/>
  <c r="B838" i="1"/>
  <c r="B1157" i="1"/>
  <c r="B1487" i="1"/>
  <c r="B674" i="1"/>
  <c r="B1003" i="1"/>
  <c r="B189" i="1"/>
  <c r="B190" i="1"/>
  <c r="B1004" i="1"/>
  <c r="B675" i="1"/>
  <c r="B191" i="1"/>
  <c r="B676" i="1"/>
  <c r="B1488" i="1"/>
  <c r="B521" i="1"/>
  <c r="B839" i="1"/>
  <c r="B192" i="1"/>
  <c r="B1489" i="1"/>
  <c r="B1005" i="1"/>
  <c r="B1490" i="1"/>
  <c r="B364" i="1"/>
  <c r="B365" i="1"/>
  <c r="B677" i="1"/>
  <c r="B19" i="2"/>
  <c r="B11" i="2"/>
  <c r="B13" i="2"/>
  <c r="G7" i="9" l="1"/>
  <c r="C7" i="9"/>
  <c r="G15" i="9"/>
  <c r="C15" i="9"/>
  <c r="C11" i="9"/>
  <c r="C10" i="9"/>
  <c r="G10" i="9"/>
  <c r="F10" i="9"/>
  <c r="D10" i="9"/>
  <c r="E10" i="9"/>
  <c r="C14" i="9"/>
  <c r="G14" i="9"/>
  <c r="E14" i="9"/>
  <c r="F14" i="9"/>
  <c r="D14" i="9"/>
  <c r="C6" i="9"/>
  <c r="G6" i="9"/>
  <c r="E6" i="9"/>
  <c r="F6" i="9"/>
  <c r="D6" i="9"/>
  <c r="F16" i="9"/>
  <c r="G16" i="9"/>
  <c r="E16" i="9"/>
  <c r="C16" i="9"/>
  <c r="D16" i="9"/>
  <c r="D8" i="9"/>
  <c r="G8" i="9"/>
  <c r="E8" i="9"/>
  <c r="C8" i="9"/>
  <c r="F8" i="9"/>
  <c r="C12" i="9"/>
  <c r="F12" i="9"/>
  <c r="G12" i="9"/>
  <c r="E12" i="9"/>
  <c r="D12" i="9"/>
  <c r="C4" i="9"/>
  <c r="F4" i="9"/>
  <c r="G4" i="9"/>
  <c r="E4" i="9"/>
  <c r="D4" i="9"/>
  <c r="D11" i="9"/>
  <c r="D7" i="9"/>
  <c r="E9" i="9"/>
  <c r="E5" i="9"/>
  <c r="F11" i="9"/>
  <c r="C5" i="9"/>
  <c r="C9" i="9"/>
  <c r="C13" i="9"/>
  <c r="C17" i="9"/>
  <c r="D15" i="9"/>
  <c r="E17" i="9"/>
  <c r="E13" i="9"/>
  <c r="F15" i="9"/>
  <c r="F7" i="9"/>
  <c r="G17" i="9"/>
  <c r="G13" i="9"/>
  <c r="G9" i="9"/>
  <c r="G5" i="9"/>
  <c r="D17" i="9"/>
  <c r="D13" i="9"/>
  <c r="D9" i="9"/>
  <c r="D5" i="9"/>
  <c r="E15" i="9"/>
  <c r="E11" i="9"/>
  <c r="E7" i="9"/>
  <c r="F3" i="9"/>
  <c r="C3" i="9"/>
  <c r="D3" i="9"/>
  <c r="G3" i="9"/>
  <c r="E3" i="9"/>
  <c r="P186" i="1"/>
  <c r="P154" i="1"/>
  <c r="P130" i="1"/>
  <c r="P126" i="1"/>
  <c r="P1017" i="1"/>
  <c r="P205" i="1"/>
  <c r="P200" i="1"/>
  <c r="P687" i="1"/>
  <c r="P1010" i="1"/>
  <c r="P1329" i="1"/>
  <c r="P1162" i="1"/>
  <c r="P1326" i="1"/>
  <c r="P1489" i="1"/>
  <c r="P1488" i="1"/>
  <c r="P1004" i="1"/>
  <c r="P674" i="1"/>
  <c r="P673" i="1"/>
  <c r="P837" i="1"/>
  <c r="P836" i="1"/>
  <c r="P519" i="1"/>
  <c r="P362" i="1"/>
  <c r="P1001" i="1"/>
  <c r="P361" i="1"/>
  <c r="P1153" i="1"/>
  <c r="P1152" i="1"/>
  <c r="P671" i="1"/>
  <c r="P1484" i="1"/>
  <c r="P517" i="1"/>
  <c r="P1483" i="1"/>
  <c r="P1000" i="1"/>
  <c r="P514" i="1"/>
  <c r="P999" i="1"/>
  <c r="P513" i="1"/>
  <c r="P1315" i="1"/>
  <c r="P1314" i="1"/>
  <c r="P1313" i="1"/>
  <c r="P512" i="1"/>
  <c r="P510" i="1"/>
  <c r="P1479" i="1"/>
  <c r="P1311" i="1"/>
  <c r="P1310" i="1"/>
  <c r="P509" i="1"/>
  <c r="P820" i="1"/>
  <c r="P507" i="1"/>
  <c r="P173" i="1"/>
  <c r="P1145" i="1"/>
  <c r="P663" i="1"/>
  <c r="P506" i="1"/>
  <c r="P662" i="1"/>
  <c r="P660" i="1"/>
  <c r="P819" i="1"/>
  <c r="P658" i="1"/>
  <c r="P817" i="1"/>
  <c r="P504" i="1"/>
  <c r="P989" i="1"/>
  <c r="P987" i="1"/>
  <c r="P1474" i="1"/>
  <c r="P813" i="1"/>
  <c r="P345" i="1"/>
  <c r="P1141" i="1"/>
  <c r="P165" i="1"/>
  <c r="P1300" i="1"/>
  <c r="P501" i="1"/>
  <c r="P985" i="1"/>
  <c r="P1467" i="1"/>
  <c r="P1137" i="1"/>
  <c r="P653" i="1"/>
  <c r="P162" i="1"/>
  <c r="P341" i="1"/>
  <c r="P651" i="1"/>
  <c r="P1134" i="1"/>
  <c r="P808" i="1"/>
  <c r="P981" i="1"/>
  <c r="P979" i="1"/>
  <c r="P806" i="1"/>
  <c r="P1298" i="1"/>
  <c r="P805" i="1"/>
  <c r="P337" i="1"/>
  <c r="P977" i="1"/>
  <c r="P493" i="1"/>
  <c r="P334" i="1"/>
  <c r="P1461" i="1"/>
  <c r="P976" i="1"/>
  <c r="P1131" i="1"/>
  <c r="P491" i="1"/>
  <c r="P1130" i="1"/>
  <c r="P332" i="1"/>
  <c r="P803" i="1"/>
  <c r="P969" i="1"/>
  <c r="P1455" i="1"/>
  <c r="P489" i="1"/>
  <c r="P329" i="1"/>
  <c r="P1454" i="1"/>
  <c r="P800" i="1"/>
  <c r="P799" i="1"/>
  <c r="P967" i="1"/>
  <c r="P966" i="1"/>
  <c r="P146" i="1"/>
  <c r="P1453" i="1"/>
  <c r="P964" i="1"/>
  <c r="P144" i="1"/>
  <c r="P143" i="1"/>
  <c r="P634" i="1"/>
  <c r="P633" i="1"/>
  <c r="P1450" i="1"/>
  <c r="P1449" i="1"/>
  <c r="P793" i="1"/>
  <c r="P139" i="1"/>
  <c r="P138" i="1"/>
  <c r="P137" i="1"/>
  <c r="P478" i="1"/>
  <c r="P628" i="1"/>
  <c r="P135" i="1"/>
  <c r="P1123" i="1"/>
  <c r="P952" i="1"/>
  <c r="P1445" i="1"/>
  <c r="P1442" i="1"/>
  <c r="P950" i="1"/>
  <c r="P1122" i="1"/>
  <c r="P132" i="1"/>
  <c r="P318" i="1"/>
  <c r="P1287" i="1"/>
  <c r="P624" i="1"/>
  <c r="P949" i="1"/>
  <c r="P1121" i="1"/>
  <c r="P471" i="1"/>
  <c r="P469" i="1"/>
  <c r="P620" i="1"/>
  <c r="P1120" i="1"/>
  <c r="P127" i="1"/>
  <c r="P1281" i="1"/>
  <c r="P616" i="1"/>
  <c r="P784" i="1"/>
  <c r="P1435" i="1"/>
  <c r="P782" i="1"/>
  <c r="P1434" i="1"/>
  <c r="P466" i="1"/>
  <c r="P614" i="1"/>
  <c r="P943" i="1"/>
  <c r="P123" i="1"/>
  <c r="P1278" i="1"/>
  <c r="P1276" i="1"/>
  <c r="P1275" i="1"/>
  <c r="P313" i="1"/>
  <c r="P120" i="1"/>
  <c r="P118" i="1"/>
  <c r="P1429" i="1"/>
  <c r="P464" i="1"/>
  <c r="P463" i="1"/>
  <c r="P462" i="1"/>
  <c r="P1426" i="1"/>
  <c r="P774" i="1"/>
  <c r="P1424" i="1"/>
  <c r="P935" i="1"/>
  <c r="P773" i="1"/>
  <c r="P1110" i="1"/>
  <c r="P933" i="1"/>
  <c r="P306" i="1"/>
  <c r="P1268" i="1"/>
  <c r="P1267" i="1"/>
  <c r="P305" i="1"/>
  <c r="P1266" i="1"/>
  <c r="P109" i="1"/>
  <c r="P607" i="1"/>
  <c r="P302" i="1"/>
  <c r="P927" i="1"/>
  <c r="P1263" i="1"/>
  <c r="P1262" i="1"/>
  <c r="P768" i="1"/>
  <c r="P1261" i="1"/>
  <c r="P1414" i="1"/>
  <c r="P603" i="1"/>
  <c r="P1260" i="1"/>
  <c r="P105" i="1"/>
  <c r="P1412" i="1"/>
  <c r="P104" i="1"/>
  <c r="P1411" i="1"/>
  <c r="P600" i="1"/>
  <c r="P599" i="1"/>
  <c r="P294" i="1"/>
  <c r="P1098" i="1"/>
  <c r="P1410" i="1"/>
  <c r="P597" i="1"/>
  <c r="P451" i="1"/>
  <c r="P1252" i="1"/>
  <c r="P921" i="1"/>
  <c r="P100" i="1"/>
  <c r="P1249" i="1"/>
  <c r="P449" i="1"/>
  <c r="P1407" i="1"/>
  <c r="P1406" i="1"/>
  <c r="P446" i="1"/>
  <c r="P445" i="1"/>
  <c r="P594" i="1"/>
  <c r="P285" i="1"/>
  <c r="P1244" i="1"/>
  <c r="P284" i="1"/>
  <c r="P1243" i="1"/>
  <c r="P444" i="1"/>
  <c r="P443" i="1"/>
  <c r="P1241" i="1"/>
  <c r="P89" i="1"/>
  <c r="P440" i="1"/>
  <c r="P761" i="1"/>
  <c r="P1239" i="1"/>
  <c r="P1237" i="1"/>
  <c r="P281" i="1"/>
  <c r="P1235" i="1"/>
  <c r="P590" i="1"/>
  <c r="P1402" i="1"/>
  <c r="P755" i="1"/>
  <c r="P589" i="1"/>
  <c r="P1085" i="1"/>
  <c r="P436" i="1"/>
  <c r="P279" i="1"/>
  <c r="P1398" i="1"/>
  <c r="P1233" i="1"/>
  <c r="P1396" i="1"/>
  <c r="P275" i="1"/>
  <c r="P1080" i="1"/>
  <c r="P433" i="1"/>
  <c r="P752" i="1"/>
  <c r="P751" i="1"/>
  <c r="P906" i="1"/>
  <c r="P274" i="1"/>
  <c r="P750" i="1"/>
  <c r="P1226" i="1"/>
  <c r="P1393" i="1"/>
  <c r="P1392" i="1"/>
  <c r="P746" i="1"/>
  <c r="P1390" i="1"/>
  <c r="P1389" i="1"/>
  <c r="P270" i="1"/>
  <c r="P65" i="1"/>
  <c r="P902" i="1"/>
  <c r="P1386" i="1"/>
  <c r="P1384" i="1"/>
  <c r="P64" i="1"/>
  <c r="P1075" i="1"/>
  <c r="P583" i="1"/>
  <c r="P1221" i="1"/>
  <c r="P1381" i="1"/>
  <c r="P426" i="1"/>
  <c r="P1380" i="1"/>
  <c r="P59" i="1"/>
  <c r="P264" i="1"/>
  <c r="P740" i="1"/>
  <c r="P423" i="1"/>
  <c r="P1071" i="1"/>
  <c r="P897" i="1"/>
  <c r="P262" i="1"/>
  <c r="P1216" i="1"/>
  <c r="P736" i="1"/>
  <c r="P1215" i="1"/>
  <c r="P894" i="1"/>
  <c r="P1068" i="1"/>
  <c r="P1374" i="1"/>
  <c r="P1213" i="1"/>
  <c r="P53" i="1"/>
  <c r="P1211" i="1"/>
  <c r="P577" i="1"/>
  <c r="P1066" i="1"/>
  <c r="P576" i="1"/>
  <c r="P575" i="1"/>
  <c r="P254" i="1"/>
  <c r="P890" i="1"/>
  <c r="P729" i="1"/>
  <c r="P574" i="1"/>
  <c r="P1205" i="1"/>
  <c r="P887" i="1"/>
  <c r="P885" i="1"/>
  <c r="P49" i="1"/>
  <c r="P726" i="1"/>
  <c r="P1203" i="1"/>
  <c r="P1059" i="1"/>
  <c r="P252" i="1"/>
  <c r="P1369" i="1"/>
  <c r="P251" i="1"/>
  <c r="P250" i="1"/>
  <c r="P567" i="1"/>
  <c r="P45" i="1"/>
  <c r="P407" i="1"/>
  <c r="P43" i="1"/>
  <c r="P42" i="1"/>
  <c r="P722" i="1"/>
  <c r="P883" i="1"/>
  <c r="P1053" i="1"/>
  <c r="P243" i="1"/>
  <c r="P881" i="1"/>
  <c r="P1196" i="1"/>
  <c r="P880" i="1"/>
  <c r="P37" i="1"/>
  <c r="P36" i="1"/>
  <c r="P1364" i="1"/>
  <c r="P718" i="1"/>
  <c r="P34" i="1"/>
  <c r="P879" i="1"/>
  <c r="P239" i="1"/>
  <c r="P1046" i="1"/>
  <c r="P876" i="1"/>
  <c r="P1045" i="1"/>
  <c r="P874" i="1"/>
  <c r="P1043" i="1"/>
  <c r="P1187" i="1"/>
  <c r="P237" i="1"/>
  <c r="P716" i="1"/>
  <c r="P32" i="1"/>
  <c r="P715" i="1"/>
  <c r="P1356" i="1"/>
  <c r="P556" i="1"/>
  <c r="P872" i="1"/>
  <c r="P555" i="1"/>
  <c r="P1037" i="1"/>
  <c r="P710" i="1"/>
  <c r="P1354" i="1"/>
  <c r="P552" i="1"/>
  <c r="P229" i="1"/>
  <c r="P29" i="1"/>
  <c r="P393" i="1"/>
  <c r="P868" i="1"/>
  <c r="P28" i="1"/>
  <c r="P27" i="1"/>
  <c r="P391" i="1"/>
  <c r="P26" i="1"/>
  <c r="P546" i="1"/>
  <c r="P1030" i="1"/>
  <c r="P706" i="1"/>
  <c r="P1028" i="1"/>
  <c r="P705" i="1"/>
  <c r="P544" i="1"/>
  <c r="P543" i="1"/>
  <c r="P218" i="1"/>
  <c r="P216" i="1"/>
  <c r="P20" i="1"/>
  <c r="P214" i="1"/>
  <c r="P213" i="1"/>
  <c r="P862" i="1"/>
  <c r="P387" i="1"/>
  <c r="P211" i="1"/>
  <c r="P699" i="1"/>
  <c r="P697" i="1"/>
  <c r="P383" i="1"/>
  <c r="P1178" i="1"/>
  <c r="P538" i="1"/>
  <c r="P1344" i="1"/>
  <c r="P210" i="1"/>
  <c r="P536" i="1"/>
  <c r="P1177" i="1"/>
  <c r="P1020" i="1"/>
  <c r="P11" i="1"/>
  <c r="P207" i="1"/>
  <c r="P1338" i="1"/>
  <c r="P1016" i="1"/>
  <c r="P1334" i="1"/>
  <c r="P692" i="1"/>
  <c r="P689" i="1"/>
  <c r="P848" i="1"/>
  <c r="P1170" i="1"/>
  <c r="P531" i="1"/>
  <c r="P373" i="1"/>
  <c r="P372" i="1"/>
  <c r="P845" i="1"/>
  <c r="P844" i="1"/>
  <c r="P3" i="1"/>
  <c r="P1160" i="1"/>
  <c r="P367" i="1"/>
  <c r="P193" i="1"/>
  <c r="P125" i="1"/>
  <c r="P780" i="1"/>
  <c r="P778" i="1"/>
  <c r="P776" i="1"/>
  <c r="P122" i="1"/>
  <c r="P1116" i="1"/>
  <c r="P1431" i="1"/>
  <c r="P939" i="1"/>
  <c r="P1274" i="1"/>
  <c r="P117" i="1"/>
  <c r="P116" i="1"/>
  <c r="P1272" i="1"/>
  <c r="P1427" i="1"/>
  <c r="P114" i="1"/>
  <c r="P113" i="1"/>
  <c r="P311" i="1"/>
  <c r="P936" i="1"/>
  <c r="P112" i="1"/>
  <c r="P1423" i="1"/>
  <c r="P308" i="1"/>
  <c r="P932" i="1"/>
  <c r="P111" i="1"/>
  <c r="P1109" i="1"/>
  <c r="P771" i="1"/>
  <c r="P1108" i="1"/>
  <c r="P1265" i="1"/>
  <c r="P608" i="1"/>
  <c r="P303" i="1"/>
  <c r="P301" i="1"/>
  <c r="P459" i="1"/>
  <c r="P300" i="1"/>
  <c r="P456" i="1"/>
  <c r="P606" i="1"/>
  <c r="P1415" i="1"/>
  <c r="P1413" i="1"/>
  <c r="P602" i="1"/>
  <c r="P1259" i="1"/>
  <c r="P1258" i="1"/>
  <c r="P1102" i="1"/>
  <c r="P924" i="1"/>
  <c r="P1100" i="1"/>
  <c r="P1255" i="1"/>
  <c r="P103" i="1"/>
  <c r="B6" i="5"/>
  <c r="B5" i="5"/>
  <c r="B8" i="4"/>
  <c r="B6" i="4"/>
  <c r="B5" i="4"/>
  <c r="B7" i="4"/>
  <c r="B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0A63B9-78F2-4DDF-AF8B-D684401EB6ED}" keepAlive="1" name="Query - Dataset" description="Connection to the 'Dataset' query in the workbook." type="5" refreshedVersion="0" background="1">
    <dbPr connection="Provider=Microsoft.Mashup.OleDb.1;Data Source=$Workbook$;Location=Dataset;Extended Properties=&quot;&quot;" command="SELECT * FROM [Dataset]"/>
  </connection>
  <connection id="2" xr16:uid="{834D374D-240D-43A2-92A7-9BA56DE72DE2}" keepAlive="1" name="Query - Dataset (2)" description="Connection to the 'Dataset (2)' query in the workbook." type="5" refreshedVersion="8" background="1" saveData="1">
    <dbPr connection="Provider=Microsoft.Mashup.OleDb.1;Data Source=$Workbook$;Location=&quot;Dataset (2)&quot;;Extended Properties=&quot;&quot;" command="SELECT * FROM [Dataset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<sst xmlns="http://schemas.openxmlformats.org/spreadsheetml/2006/main" count="5988" uniqueCount="1587">
  <si>
    <t>Employee ID</t>
  </si>
  <si>
    <t>First Name</t>
  </si>
  <si>
    <t>Last Name</t>
  </si>
  <si>
    <t>Department</t>
  </si>
  <si>
    <t>Date of Joining</t>
  </si>
  <si>
    <t>email</t>
  </si>
  <si>
    <t>Manager ID</t>
  </si>
  <si>
    <t>Performance Score</t>
  </si>
  <si>
    <t>Generate Employee codes for all employees  in the following format</t>
  </si>
  <si>
    <t>ADMINISTRATION</t>
  </si>
  <si>
    <t>BRAND COMMUNICATIONS</t>
  </si>
  <si>
    <t>DIGITAL</t>
  </si>
  <si>
    <t>FINANCE &amp; ACCOUNTS</t>
  </si>
  <si>
    <t>HR &amp; ADMIN</t>
  </si>
  <si>
    <t>MANAGEMENT</t>
  </si>
  <si>
    <t>MIS &amp; STRATEGY</t>
  </si>
  <si>
    <t>PROGRAMMING</t>
  </si>
  <si>
    <t>TECHNICAL</t>
  </si>
  <si>
    <t>MOHIT</t>
  </si>
  <si>
    <t>AMIT</t>
  </si>
  <si>
    <t>VINAY</t>
  </si>
  <si>
    <t>MEENAKSHI </t>
  </si>
  <si>
    <t>AMANDEEP</t>
  </si>
  <si>
    <t>ROHIT</t>
  </si>
  <si>
    <t>RAVI</t>
  </si>
  <si>
    <t>DIVYA</t>
  </si>
  <si>
    <t>KAJAL</t>
  </si>
  <si>
    <t>GUNJAN</t>
  </si>
  <si>
    <t>VARINDER</t>
  </si>
  <si>
    <t>ANU</t>
  </si>
  <si>
    <t>SUDEEP</t>
  </si>
  <si>
    <t>JOHNY</t>
  </si>
  <si>
    <t>SUSHIL</t>
  </si>
  <si>
    <t>KIRAN</t>
  </si>
  <si>
    <t>ARPIT</t>
  </si>
  <si>
    <t>SAHIL</t>
  </si>
  <si>
    <t>PINKI</t>
  </si>
  <si>
    <t>SOURABH</t>
  </si>
  <si>
    <t>SUHANI</t>
  </si>
  <si>
    <t>RANJANA</t>
  </si>
  <si>
    <t>SHUBHAM</t>
  </si>
  <si>
    <t>JITENDER</t>
  </si>
  <si>
    <t>AKSHITA</t>
  </si>
  <si>
    <t>PRERNA</t>
  </si>
  <si>
    <t>SHALINI</t>
  </si>
  <si>
    <t>GARIMA</t>
  </si>
  <si>
    <t>DINESH</t>
  </si>
  <si>
    <t>PUNEET</t>
  </si>
  <si>
    <t>SANJAY</t>
  </si>
  <si>
    <t>MATHUR</t>
  </si>
  <si>
    <t>SANDEEP</t>
  </si>
  <si>
    <t>PUSHKERNA</t>
  </si>
  <si>
    <t>LALIT</t>
  </si>
  <si>
    <t>PANWAR</t>
  </si>
  <si>
    <t>GANESH</t>
  </si>
  <si>
    <t>SHARMA</t>
  </si>
  <si>
    <t>GEETEY</t>
  </si>
  <si>
    <t>GAGAN</t>
  </si>
  <si>
    <t>BHATIA</t>
  </si>
  <si>
    <t>ARNOLD</t>
  </si>
  <si>
    <t>AJAY</t>
  </si>
  <si>
    <t>MEHTA</t>
  </si>
  <si>
    <t>JAIN</t>
  </si>
  <si>
    <t>PREET</t>
  </si>
  <si>
    <t>NAIR</t>
  </si>
  <si>
    <t>RAHUL</t>
  </si>
  <si>
    <t>J</t>
  </si>
  <si>
    <t>BHUPENDRA</t>
  </si>
  <si>
    <t>KUMAR</t>
  </si>
  <si>
    <t>SHISHUPAL</t>
  </si>
  <si>
    <t>SINGH</t>
  </si>
  <si>
    <t>ARUN</t>
  </si>
  <si>
    <t>KUMAWAT</t>
  </si>
  <si>
    <t>SHAJI</t>
  </si>
  <si>
    <t>LUKOSE</t>
  </si>
  <si>
    <t>KRUPA</t>
  </si>
  <si>
    <t>TRIVEDI</t>
  </si>
  <si>
    <t>RAJEEV</t>
  </si>
  <si>
    <t>SUNDEEP</t>
  </si>
  <si>
    <t>TYAGI</t>
  </si>
  <si>
    <t>PRASHANT</t>
  </si>
  <si>
    <t>UPGADE</t>
  </si>
  <si>
    <t>VIRENDER</t>
  </si>
  <si>
    <t>PREM</t>
  </si>
  <si>
    <t>PRAKASH</t>
  </si>
  <si>
    <t>RAJESH</t>
  </si>
  <si>
    <t>MANISH</t>
  </si>
  <si>
    <t>ZUNAID</t>
  </si>
  <si>
    <t>DOCTOR</t>
  </si>
  <si>
    <t>VIJAY</t>
  </si>
  <si>
    <t>GARG</t>
  </si>
  <si>
    <t>PATERIYA</t>
  </si>
  <si>
    <t>BHAGAT</t>
  </si>
  <si>
    <t>VICTOR</t>
  </si>
  <si>
    <t>VISHWANATH</t>
  </si>
  <si>
    <t>JOSHI</t>
  </si>
  <si>
    <t>CHANDRESH</t>
  </si>
  <si>
    <t>AGNIHOTRI</t>
  </si>
  <si>
    <t>NAVEEN</t>
  </si>
  <si>
    <t>DANNY</t>
  </si>
  <si>
    <t>THAKUR</t>
  </si>
  <si>
    <t>RAKESH</t>
  </si>
  <si>
    <t>CHAUHAN</t>
  </si>
  <si>
    <t>KANKANA</t>
  </si>
  <si>
    <t>LOHIYAA</t>
  </si>
  <si>
    <t>JAIWANT</t>
  </si>
  <si>
    <t>HATE</t>
  </si>
  <si>
    <t>PRATAP</t>
  </si>
  <si>
    <t>ROOPESH</t>
  </si>
  <si>
    <t>AMRITA</t>
  </si>
  <si>
    <t>ROY</t>
  </si>
  <si>
    <t>BHARAT</t>
  </si>
  <si>
    <t>NISHANT</t>
  </si>
  <si>
    <t>VIJAIVARGIA</t>
  </si>
  <si>
    <t>SUNIL</t>
  </si>
  <si>
    <t>RAJU</t>
  </si>
  <si>
    <t>MERAL</t>
  </si>
  <si>
    <t>RAI</t>
  </si>
  <si>
    <t>BALWANT</t>
  </si>
  <si>
    <t>VIDHI</t>
  </si>
  <si>
    <t>MAHENDRA</t>
  </si>
  <si>
    <t>RICHA</t>
  </si>
  <si>
    <t>SHRIVASTAVA</t>
  </si>
  <si>
    <t>ASHWIN</t>
  </si>
  <si>
    <t>SHUKLA</t>
  </si>
  <si>
    <t>VIKAS</t>
  </si>
  <si>
    <t>MEHROTRA</t>
  </si>
  <si>
    <t>DEOBRAT</t>
  </si>
  <si>
    <t>PRAVEEN</t>
  </si>
  <si>
    <t>GIRI</t>
  </si>
  <si>
    <t>DIKSHA</t>
  </si>
  <si>
    <t>RANA</t>
  </si>
  <si>
    <t>DHIRENDRA</t>
  </si>
  <si>
    <t>MOHAN</t>
  </si>
  <si>
    <t>ABHINAV</t>
  </si>
  <si>
    <t>BALI</t>
  </si>
  <si>
    <t>JASWINDER</t>
  </si>
  <si>
    <t>KR.</t>
  </si>
  <si>
    <t>GYANENDRA</t>
  </si>
  <si>
    <t>MEENAKSHI</t>
  </si>
  <si>
    <t>MISHRA</t>
  </si>
  <si>
    <t>SAURABH</t>
  </si>
  <si>
    <t>RAJ</t>
  </si>
  <si>
    <t>NITIN</t>
  </si>
  <si>
    <t>DEVESH</t>
  </si>
  <si>
    <t>NAGADIA</t>
  </si>
  <si>
    <t>ANKIT</t>
  </si>
  <si>
    <t>MALAV</t>
  </si>
  <si>
    <t>DANI</t>
  </si>
  <si>
    <t>DEEPENDRA</t>
  </si>
  <si>
    <t>SAXENA</t>
  </si>
  <si>
    <t>DUDHA</t>
  </si>
  <si>
    <t>BISEN</t>
  </si>
  <si>
    <t>HEMENDRA</t>
  </si>
  <si>
    <t>BHARDWAJ</t>
  </si>
  <si>
    <t>ANOOP</t>
  </si>
  <si>
    <t>R</t>
  </si>
  <si>
    <t>PULKITA</t>
  </si>
  <si>
    <t>KALLA</t>
  </si>
  <si>
    <t>PANKAJ</t>
  </si>
  <si>
    <t>CHOKNIWAL</t>
  </si>
  <si>
    <t>ADARSH</t>
  </si>
  <si>
    <t>PATHAK</t>
  </si>
  <si>
    <t>MANJEEV</t>
  </si>
  <si>
    <t>KAMTA</t>
  </si>
  <si>
    <t>CHAWARGUWAL</t>
  </si>
  <si>
    <t>NEHA</t>
  </si>
  <si>
    <t>ARORA</t>
  </si>
  <si>
    <t>TIWARI</t>
  </si>
  <si>
    <t>SAVAN</t>
  </si>
  <si>
    <t>VINOD</t>
  </si>
  <si>
    <t>RITESH</t>
  </si>
  <si>
    <t>PURI</t>
  </si>
  <si>
    <t>VIVEK</t>
  </si>
  <si>
    <t>PRIYANK</t>
  </si>
  <si>
    <t>UPADHYAY</t>
  </si>
  <si>
    <t>SEEMA</t>
  </si>
  <si>
    <t>DEVI</t>
  </si>
  <si>
    <t>AYUSH</t>
  </si>
  <si>
    <t>GUPTA</t>
  </si>
  <si>
    <t>GHUDE</t>
  </si>
  <si>
    <t>ABHIJEET</t>
  </si>
  <si>
    <t>MANOJ</t>
  </si>
  <si>
    <t>RAMAKANT</t>
  </si>
  <si>
    <t>PARESH</t>
  </si>
  <si>
    <t>RANGNATH</t>
  </si>
  <si>
    <t>SHRIPAD</t>
  </si>
  <si>
    <t>ANAND</t>
  </si>
  <si>
    <t>JAY</t>
  </si>
  <si>
    <t>GANDHI</t>
  </si>
  <si>
    <t>ABHISHEK</t>
  </si>
  <si>
    <t>ANIL</t>
  </si>
  <si>
    <t>SHANKARLAL</t>
  </si>
  <si>
    <t>MITESH</t>
  </si>
  <si>
    <t>SHAILENDRA</t>
  </si>
  <si>
    <t>PRESHIT</t>
  </si>
  <si>
    <t>UTTAM</t>
  </si>
  <si>
    <t>KAMAL</t>
  </si>
  <si>
    <t>SAINI</t>
  </si>
  <si>
    <t>BHATT</t>
  </si>
  <si>
    <t>PRATIKSHA</t>
  </si>
  <si>
    <t>PUNITBHAI</t>
  </si>
  <si>
    <t>MONA</t>
  </si>
  <si>
    <t>KALE</t>
  </si>
  <si>
    <t>SUBHASH</t>
  </si>
  <si>
    <t>VERMA</t>
  </si>
  <si>
    <t>SONI</t>
  </si>
  <si>
    <t>ANKUSH</t>
  </si>
  <si>
    <t>KAPOOR</t>
  </si>
  <si>
    <t>GAURAV</t>
  </si>
  <si>
    <t>YUVRAJ</t>
  </si>
  <si>
    <t>ASHOK</t>
  </si>
  <si>
    <t>NITINKUMAR</t>
  </si>
  <si>
    <t>AMOL</t>
  </si>
  <si>
    <t>SAKHARAM</t>
  </si>
  <si>
    <t>KRUPANAND</t>
  </si>
  <si>
    <t>RAVINDRANATH</t>
  </si>
  <si>
    <t>MEER</t>
  </si>
  <si>
    <t>WAJED</t>
  </si>
  <si>
    <t>SACHIN</t>
  </si>
  <si>
    <t>SANGRAM</t>
  </si>
  <si>
    <t>DILIP</t>
  </si>
  <si>
    <t>SHWETA</t>
  </si>
  <si>
    <t>PATIL</t>
  </si>
  <si>
    <t>JITENDRA</t>
  </si>
  <si>
    <t>NANA</t>
  </si>
  <si>
    <t>SAMKEET</t>
  </si>
  <si>
    <t>SATISH</t>
  </si>
  <si>
    <t>JUSTIN</t>
  </si>
  <si>
    <t>ZUBAIR</t>
  </si>
  <si>
    <t>AHMAD</t>
  </si>
  <si>
    <t>PANDYA</t>
  </si>
  <si>
    <t>ADNAN</t>
  </si>
  <si>
    <t>SHAKEEL</t>
  </si>
  <si>
    <t>SHRADDHA</t>
  </si>
  <si>
    <t>SAIPRASAD</t>
  </si>
  <si>
    <t>SUHEL</t>
  </si>
  <si>
    <t>AHMED</t>
  </si>
  <si>
    <t>SHANKY</t>
  </si>
  <si>
    <t>RAJKUMAR</t>
  </si>
  <si>
    <t>GOKULENDRA</t>
  </si>
  <si>
    <t>KISHOR</t>
  </si>
  <si>
    <t>GAIKWAD</t>
  </si>
  <si>
    <t>AGARWAL</t>
  </si>
  <si>
    <t>PULKIT</t>
  </si>
  <si>
    <t>PAREEK</t>
  </si>
  <si>
    <t>KHANJAN</t>
  </si>
  <si>
    <t>A</t>
  </si>
  <si>
    <t>PRIYANKA</t>
  </si>
  <si>
    <t>N</t>
  </si>
  <si>
    <t>TUSHAR</t>
  </si>
  <si>
    <t>HIMANSHU</t>
  </si>
  <si>
    <t>KHATRI</t>
  </si>
  <si>
    <t>TAK</t>
  </si>
  <si>
    <t>SUHAS</t>
  </si>
  <si>
    <t>SHIVANI</t>
  </si>
  <si>
    <t>BHAVIK</t>
  </si>
  <si>
    <t>KAMLESHBHAI</t>
  </si>
  <si>
    <t>MAHESH</t>
  </si>
  <si>
    <t>ASHISH</t>
  </si>
  <si>
    <t>YADAV</t>
  </si>
  <si>
    <t>ADITYA</t>
  </si>
  <si>
    <t>SIMRANJEET</t>
  </si>
  <si>
    <t>PRANJALI</t>
  </si>
  <si>
    <t>ANNASAHEB</t>
  </si>
  <si>
    <t>WADEKAR</t>
  </si>
  <si>
    <t>NIVRUTTIDAS</t>
  </si>
  <si>
    <t>HARSH</t>
  </si>
  <si>
    <t>JAYESHBHAI</t>
  </si>
  <si>
    <t>MERABHAI</t>
  </si>
  <si>
    <t>SHRUTI</t>
  </si>
  <si>
    <t>AGRAWAL</t>
  </si>
  <si>
    <t>SUNIT</t>
  </si>
  <si>
    <t>SHRAVAN</t>
  </si>
  <si>
    <t>AMRUT</t>
  </si>
  <si>
    <t>KRISHNA</t>
  </si>
  <si>
    <t>SHASHIKANT</t>
  </si>
  <si>
    <t>DEEPAKRAO</t>
  </si>
  <si>
    <t>IMMANUEL</t>
  </si>
  <si>
    <t>YAJUVENDRA</t>
  </si>
  <si>
    <t>PRAVINSINH</t>
  </si>
  <si>
    <t>KAVYA</t>
  </si>
  <si>
    <t>MANIKRAO</t>
  </si>
  <si>
    <t>PRASAD</t>
  </si>
  <si>
    <t>PAUL</t>
  </si>
  <si>
    <t>ANSHU</t>
  </si>
  <si>
    <t>KAPIL</t>
  </si>
  <si>
    <t>DESHPANDE</t>
  </si>
  <si>
    <t>PIYUSH</t>
  </si>
  <si>
    <t>PRAVIN</t>
  </si>
  <si>
    <t>BABULAL</t>
  </si>
  <si>
    <t>SUNNY</t>
  </si>
  <si>
    <t>MALALIYA</t>
  </si>
  <si>
    <t>JAGDISH</t>
  </si>
  <si>
    <t>RAMESHWAR</t>
  </si>
  <si>
    <t>JAIMEEN</t>
  </si>
  <si>
    <t>DEEPAK</t>
  </si>
  <si>
    <t>PULAK</t>
  </si>
  <si>
    <t>KHARE</t>
  </si>
  <si>
    <t>GIREESH</t>
  </si>
  <si>
    <t>CHATURVEDI</t>
  </si>
  <si>
    <t>DHEERAJ</t>
  </si>
  <si>
    <t>DEVIDAS</t>
  </si>
  <si>
    <t>VINEY</t>
  </si>
  <si>
    <t>BANSAL</t>
  </si>
  <si>
    <t>VAISHNAVI</t>
  </si>
  <si>
    <t>SIDDHARTH</t>
  </si>
  <si>
    <t>HEMANT</t>
  </si>
  <si>
    <t>VINAYAK</t>
  </si>
  <si>
    <t>SUMIT</t>
  </si>
  <si>
    <t>KHANDELWAL</t>
  </si>
  <si>
    <t>MANINDER</t>
  </si>
  <si>
    <t>PURVA</t>
  </si>
  <si>
    <t>RATNAKAR</t>
  </si>
  <si>
    <t>SOLANKI</t>
  </si>
  <si>
    <t>ANTARA</t>
  </si>
  <si>
    <t>MILIND</t>
  </si>
  <si>
    <t>VENUS</t>
  </si>
  <si>
    <t>MADHUSUDAN</t>
  </si>
  <si>
    <t>KANCHI</t>
  </si>
  <si>
    <t>VISHAL</t>
  </si>
  <si>
    <t>NANDKISHOR</t>
  </si>
  <si>
    <t>JAYESH</t>
  </si>
  <si>
    <t>KANAIYALAL</t>
  </si>
  <si>
    <t>SHUBHANGI</t>
  </si>
  <si>
    <t>RAVINDRA</t>
  </si>
  <si>
    <t>RATHOD</t>
  </si>
  <si>
    <t>PAYAL</t>
  </si>
  <si>
    <t>TARUN</t>
  </si>
  <si>
    <t>VIMAL</t>
  </si>
  <si>
    <t>SAIYAD</t>
  </si>
  <si>
    <t>JISHAN</t>
  </si>
  <si>
    <t>RAM</t>
  </si>
  <si>
    <t>ESHAN</t>
  </si>
  <si>
    <t>PUROHIT</t>
  </si>
  <si>
    <t>RAMNIWAS</t>
  </si>
  <si>
    <t>SHAILESH</t>
  </si>
  <si>
    <t>BHURANI</t>
  </si>
  <si>
    <t>BHAVESH</t>
  </si>
  <si>
    <t>SEN</t>
  </si>
  <si>
    <t>LAEQUDDIN</t>
  </si>
  <si>
    <t>QURESHI</t>
  </si>
  <si>
    <t>USAT</t>
  </si>
  <si>
    <t>KATARA</t>
  </si>
  <si>
    <t>NEETU</t>
  </si>
  <si>
    <t>MEET</t>
  </si>
  <si>
    <t>PUNDLIK</t>
  </si>
  <si>
    <t>MANOJBHAI</t>
  </si>
  <si>
    <t>AKASH</t>
  </si>
  <si>
    <t>SATYANARAYAN</t>
  </si>
  <si>
    <t>DEEPSHIKHA</t>
  </si>
  <si>
    <t>.</t>
  </si>
  <si>
    <t>AAMOD</t>
  </si>
  <si>
    <t>DIPAK</t>
  </si>
  <si>
    <t>JAGANNATH</t>
  </si>
  <si>
    <t>SONALI</t>
  </si>
  <si>
    <t>LALWANI</t>
  </si>
  <si>
    <t>KANU</t>
  </si>
  <si>
    <t>TAMHANE</t>
  </si>
  <si>
    <t>DUTT</t>
  </si>
  <si>
    <t>RINKU</t>
  </si>
  <si>
    <t>CHITTARA</t>
  </si>
  <si>
    <t>MEHTAB</t>
  </si>
  <si>
    <t>MEDHA</t>
  </si>
  <si>
    <t>VARI</t>
  </si>
  <si>
    <t>SHYAM</t>
  </si>
  <si>
    <t>BIHARI</t>
  </si>
  <si>
    <t>RAMA</t>
  </si>
  <si>
    <t>KARWAL</t>
  </si>
  <si>
    <t>PALAK</t>
  </si>
  <si>
    <t>PARMAR</t>
  </si>
  <si>
    <t>CHANDRASHEKHAR</t>
  </si>
  <si>
    <t>SIDRAMAPPA</t>
  </si>
  <si>
    <t>AKSHU</t>
  </si>
  <si>
    <t>MEHRA</t>
  </si>
  <si>
    <t>REEMA</t>
  </si>
  <si>
    <t>KHANNA</t>
  </si>
  <si>
    <t>SHIVENDRA</t>
  </si>
  <si>
    <t>PANDEY</t>
  </si>
  <si>
    <t>SACHDEVA</t>
  </si>
  <si>
    <t>SATYENDRA</t>
  </si>
  <si>
    <t>AMISH</t>
  </si>
  <si>
    <t>NAHTA</t>
  </si>
  <si>
    <t>ATULBHAI</t>
  </si>
  <si>
    <t>RAKSHITA</t>
  </si>
  <si>
    <t>BISHT</t>
  </si>
  <si>
    <t>VARSHA</t>
  </si>
  <si>
    <t>LAXIT</t>
  </si>
  <si>
    <t>CHOUHAN</t>
  </si>
  <si>
    <t>MADHURI</t>
  </si>
  <si>
    <t>KALA</t>
  </si>
  <si>
    <t>AJEET</t>
  </si>
  <si>
    <t>AKSHAY</t>
  </si>
  <si>
    <t>KAKASO</t>
  </si>
  <si>
    <t>CHIRAG</t>
  </si>
  <si>
    <t>HANSRAJ</t>
  </si>
  <si>
    <t>K</t>
  </si>
  <si>
    <t>TRIPATHI</t>
  </si>
  <si>
    <t>GAJANAN</t>
  </si>
  <si>
    <t>ALKESHKUMAR</t>
  </si>
  <si>
    <t>BHARATSINH</t>
  </si>
  <si>
    <t>SHIVAM</t>
  </si>
  <si>
    <t>GROVER</t>
  </si>
  <si>
    <t>BOBBY</t>
  </si>
  <si>
    <t>BHATNAGAR</t>
  </si>
  <si>
    <t>DEVASHISH</t>
  </si>
  <si>
    <t>YASHWANT</t>
  </si>
  <si>
    <t>AVINASH</t>
  </si>
  <si>
    <t>CHIMANLAL</t>
  </si>
  <si>
    <t>NISHCHAY</t>
  </si>
  <si>
    <t>RAKTIM</t>
  </si>
  <si>
    <t>CHAKRAVARTY</t>
  </si>
  <si>
    <t>SUBODH</t>
  </si>
  <si>
    <t>DIPAL</t>
  </si>
  <si>
    <t>SURABHI</t>
  </si>
  <si>
    <t>ABHILASH</t>
  </si>
  <si>
    <t>DNYANESHWAR</t>
  </si>
  <si>
    <t>BHAGWAT</t>
  </si>
  <si>
    <t>KALPAN</t>
  </si>
  <si>
    <t>SURENDRA</t>
  </si>
  <si>
    <t>RISHABH</t>
  </si>
  <si>
    <t>SHAILYBEN</t>
  </si>
  <si>
    <t>ROHITBHAI</t>
  </si>
  <si>
    <t>SIDDHESH</t>
  </si>
  <si>
    <t>VILAS</t>
  </si>
  <si>
    <t>VIRAL</t>
  </si>
  <si>
    <t>RAJESHBHAI</t>
  </si>
  <si>
    <t>DEVILAL</t>
  </si>
  <si>
    <t>LOHAR</t>
  </si>
  <si>
    <t>DARPAN</t>
  </si>
  <si>
    <t>DOLLY</t>
  </si>
  <si>
    <t>UDAWAT</t>
  </si>
  <si>
    <t>CHHAVI</t>
  </si>
  <si>
    <t>SAHAI</t>
  </si>
  <si>
    <t>RASIKA</t>
  </si>
  <si>
    <t>DAMODAR</t>
  </si>
  <si>
    <t>ASHUTOSH</t>
  </si>
  <si>
    <t>BAJPAI</t>
  </si>
  <si>
    <t>FADNAVIS</t>
  </si>
  <si>
    <t>PALIWAL</t>
  </si>
  <si>
    <t>HARSHIL</t>
  </si>
  <si>
    <t>KOMAL</t>
  </si>
  <si>
    <t>NIBEDITA</t>
  </si>
  <si>
    <t>RITIKA</t>
  </si>
  <si>
    <t>WADHWANI</t>
  </si>
  <si>
    <t>VAIBHAV</t>
  </si>
  <si>
    <t>JAYSUKHBHAI</t>
  </si>
  <si>
    <t>AMAR</t>
  </si>
  <si>
    <t>SAMADHAN</t>
  </si>
  <si>
    <t>ATUL</t>
  </si>
  <si>
    <t>VISHWAS</t>
  </si>
  <si>
    <t>TRUPTI</t>
  </si>
  <si>
    <t>LATPATE</t>
  </si>
  <si>
    <t>VISHNU</t>
  </si>
  <si>
    <t>KRUTARTH</t>
  </si>
  <si>
    <t>CHANDRAKANTBHAI</t>
  </si>
  <si>
    <t>MANALI</t>
  </si>
  <si>
    <t>CHUGH</t>
  </si>
  <si>
    <t>DARWIN</t>
  </si>
  <si>
    <t>BHAIYYALAL</t>
  </si>
  <si>
    <t>KALYANI</t>
  </si>
  <si>
    <t>OMKAR</t>
  </si>
  <si>
    <t>PREETI</t>
  </si>
  <si>
    <t>CHANDANI</t>
  </si>
  <si>
    <t>PRASANTH</t>
  </si>
  <si>
    <t>SURESH</t>
  </si>
  <si>
    <t>B</t>
  </si>
  <si>
    <t>TANEJA</t>
  </si>
  <si>
    <t>AKASHITA</t>
  </si>
  <si>
    <t>CHHABRA</t>
  </si>
  <si>
    <t>KRINAL</t>
  </si>
  <si>
    <t>VINAYKANTBHAI</t>
  </si>
  <si>
    <t>MOHD</t>
  </si>
  <si>
    <t>SHAMEEM</t>
  </si>
  <si>
    <t>RUPIKA</t>
  </si>
  <si>
    <t>AKANKSHA</t>
  </si>
  <si>
    <t>DWIVEDI</t>
  </si>
  <si>
    <t>ANISH</t>
  </si>
  <si>
    <t>MATHEW</t>
  </si>
  <si>
    <t>KRITI</t>
  </si>
  <si>
    <t>FENIL</t>
  </si>
  <si>
    <t>VISHWESH</t>
  </si>
  <si>
    <t>KAVERSHE</t>
  </si>
  <si>
    <t>PRIT</t>
  </si>
  <si>
    <t>SHIVANAND</t>
  </si>
  <si>
    <t>KUMBHAR</t>
  </si>
  <si>
    <t>ISHITA</t>
  </si>
  <si>
    <t>BARAT</t>
  </si>
  <si>
    <t>KAMLESH</t>
  </si>
  <si>
    <t>DHIREN</t>
  </si>
  <si>
    <t>KANTILAL</t>
  </si>
  <si>
    <t>HIRVA</t>
  </si>
  <si>
    <t>SANJIV</t>
  </si>
  <si>
    <t>BHANU</t>
  </si>
  <si>
    <t>ABHI</t>
  </si>
  <si>
    <t>TRUSHAR</t>
  </si>
  <si>
    <t>SURYAKANT</t>
  </si>
  <si>
    <t>DILRAJ</t>
  </si>
  <si>
    <t>KAUR</t>
  </si>
  <si>
    <t>JAGRUTI</t>
  </si>
  <si>
    <t>VITHOBA</t>
  </si>
  <si>
    <t>PATEL</t>
  </si>
  <si>
    <t>AKANSHA</t>
  </si>
  <si>
    <t>LALBAHADUR</t>
  </si>
  <si>
    <t>HEENA</t>
  </si>
  <si>
    <t>HITESH</t>
  </si>
  <si>
    <t>MOHANBHAI</t>
  </si>
  <si>
    <t>PADIA</t>
  </si>
  <si>
    <t>KIRTI</t>
  </si>
  <si>
    <t>APARNA</t>
  </si>
  <si>
    <t>TANDON</t>
  </si>
  <si>
    <t>YASH</t>
  </si>
  <si>
    <t>BHAVESHBHAI</t>
  </si>
  <si>
    <t>MEDHAVIK</t>
  </si>
  <si>
    <t>DAVE</t>
  </si>
  <si>
    <t>JALAY</t>
  </si>
  <si>
    <t>VIPULBHAI</t>
  </si>
  <si>
    <t>RAJENDER</t>
  </si>
  <si>
    <t>ESHIKA</t>
  </si>
  <si>
    <t>NILESH</t>
  </si>
  <si>
    <t>KETANKUMAR</t>
  </si>
  <si>
    <t>BHAWNA</t>
  </si>
  <si>
    <t>ANJANI</t>
  </si>
  <si>
    <t>BIKRAMJEET</t>
  </si>
  <si>
    <t>MITA</t>
  </si>
  <si>
    <t>ISHIKA</t>
  </si>
  <si>
    <t>SINHA</t>
  </si>
  <si>
    <t>NIMISH</t>
  </si>
  <si>
    <t>MANOJKUMAR</t>
  </si>
  <si>
    <t>RIYA</t>
  </si>
  <si>
    <t>KHURANA</t>
  </si>
  <si>
    <t>DEEPAL</t>
  </si>
  <si>
    <t>KALP</t>
  </si>
  <si>
    <t>RAVAL</t>
  </si>
  <si>
    <t>RUSHIKESH</t>
  </si>
  <si>
    <t>ROHIDAS</t>
  </si>
  <si>
    <t>RAJESHKUMAR</t>
  </si>
  <si>
    <t>ANKITA</t>
  </si>
  <si>
    <t>SHIVANGI</t>
  </si>
  <si>
    <t>TOMAR</t>
  </si>
  <si>
    <t>RAJPUT</t>
  </si>
  <si>
    <t>SHYAMKISHOR</t>
  </si>
  <si>
    <t>MONIKA</t>
  </si>
  <si>
    <t>SHANKEY</t>
  </si>
  <si>
    <t>C</t>
  </si>
  <si>
    <t>SHIVAPUTRA</t>
  </si>
  <si>
    <t>RISHAB</t>
  </si>
  <si>
    <t>TANISHA</t>
  </si>
  <si>
    <t>LAKSH</t>
  </si>
  <si>
    <t>GANAPATYE</t>
  </si>
  <si>
    <t>PRAMOD</t>
  </si>
  <si>
    <t>KULDEEP</t>
  </si>
  <si>
    <t>KACHROO</t>
  </si>
  <si>
    <t>AAKANKSHA</t>
  </si>
  <si>
    <t>JAISWAL</t>
  </si>
  <si>
    <t>NANCY</t>
  </si>
  <si>
    <t>KUMARI</t>
  </si>
  <si>
    <t>DUBEY</t>
  </si>
  <si>
    <t>PRIYA</t>
  </si>
  <si>
    <t>SHINDE</t>
  </si>
  <si>
    <t>SAKSHI</t>
  </si>
  <si>
    <t>GURJAR</t>
  </si>
  <si>
    <t>NARSING</t>
  </si>
  <si>
    <t>GAYATRI</t>
  </si>
  <si>
    <t>AJAYSINH</t>
  </si>
  <si>
    <t>KISHORSINH</t>
  </si>
  <si>
    <t>AAYZAH</t>
  </si>
  <si>
    <t>KASHISH</t>
  </si>
  <si>
    <t>PALIT</t>
  </si>
  <si>
    <t>AYUSHI</t>
  </si>
  <si>
    <t>GAUTAM</t>
  </si>
  <si>
    <t>SANCHITA</t>
  </si>
  <si>
    <t>DAS</t>
  </si>
  <si>
    <t>MOUSUMI</t>
  </si>
  <si>
    <t>DIYASI</t>
  </si>
  <si>
    <t>JAIDEV</t>
  </si>
  <si>
    <t>SHIKHA</t>
  </si>
  <si>
    <t>UNIYAL</t>
  </si>
  <si>
    <t>AISHWARYA</t>
  </si>
  <si>
    <t>MAHOR</t>
  </si>
  <si>
    <t>DEO</t>
  </si>
  <si>
    <t>MANDEEP</t>
  </si>
  <si>
    <t>AAYUSHI</t>
  </si>
  <si>
    <t>SUDHAKAR</t>
  </si>
  <si>
    <t>KRISHI</t>
  </si>
  <si>
    <t>DHOJ</t>
  </si>
  <si>
    <t>RAJENDRA</t>
  </si>
  <si>
    <t>NISHU</t>
  </si>
  <si>
    <t>CHORDIA</t>
  </si>
  <si>
    <t>FALGUNI</t>
  </si>
  <si>
    <t>SYED</t>
  </si>
  <si>
    <t>RAJAT</t>
  </si>
  <si>
    <t>DHWANI</t>
  </si>
  <si>
    <t>GEETA</t>
  </si>
  <si>
    <t>KOTWANI</t>
  </si>
  <si>
    <t>SAIFI</t>
  </si>
  <si>
    <t>AANCHAL</t>
  </si>
  <si>
    <t>DEWANGAN</t>
  </si>
  <si>
    <t>VISHAKHA</t>
  </si>
  <si>
    <t>KUNAL</t>
  </si>
  <si>
    <t>MUDGAL</t>
  </si>
  <si>
    <t>HARSHITA</t>
  </si>
  <si>
    <t>VIKRANT</t>
  </si>
  <si>
    <t>ALISHA</t>
  </si>
  <si>
    <t>SIDDESHWAR</t>
  </si>
  <si>
    <t>TANMAY</t>
  </si>
  <si>
    <t>KISHORBHAI</t>
  </si>
  <si>
    <t>RUSHABH</t>
  </si>
  <si>
    <t>HEMANGNI</t>
  </si>
  <si>
    <t>PAWAR</t>
  </si>
  <si>
    <t>MAHENDRAKUMAR</t>
  </si>
  <si>
    <t>PRITHVI</t>
  </si>
  <si>
    <t>AVANI</t>
  </si>
  <si>
    <t>VINIT</t>
  </si>
  <si>
    <t>VAIDEHI</t>
  </si>
  <si>
    <t>DEVANG</t>
  </si>
  <si>
    <t>ANURAG</t>
  </si>
  <si>
    <t>SOMKUMAR</t>
  </si>
  <si>
    <t>SHIV</t>
  </si>
  <si>
    <t>SHANKAR</t>
  </si>
  <si>
    <t>KARISHMA</t>
  </si>
  <si>
    <t>SEHGAL</t>
  </si>
  <si>
    <t>JASIMA</t>
  </si>
  <si>
    <t>ARCHANA</t>
  </si>
  <si>
    <t>KUNIKA</t>
  </si>
  <si>
    <t>MANMINDER</t>
  </si>
  <si>
    <t>MEHAK</t>
  </si>
  <si>
    <t>MADAAN</t>
  </si>
  <si>
    <t>TANIA</t>
  </si>
  <si>
    <t>DIWEDI</t>
  </si>
  <si>
    <t>TANU</t>
  </si>
  <si>
    <t>NIGAM</t>
  </si>
  <si>
    <t>NIMMI</t>
  </si>
  <si>
    <t>SONTAKEY</t>
  </si>
  <si>
    <t>VASANTBHAI</t>
  </si>
  <si>
    <t>SUNDAR</t>
  </si>
  <si>
    <t>ABHIK</t>
  </si>
  <si>
    <t>NANDY</t>
  </si>
  <si>
    <t>ANWESHA</t>
  </si>
  <si>
    <t>HOM</t>
  </si>
  <si>
    <t>ANSHUL</t>
  </si>
  <si>
    <t>MITIKA</t>
  </si>
  <si>
    <t>VEMPATI</t>
  </si>
  <si>
    <t>VENKATA</t>
  </si>
  <si>
    <t>NIKITA</t>
  </si>
  <si>
    <t>MANIKTALA</t>
  </si>
  <si>
    <t>SHIVANG</t>
  </si>
  <si>
    <t>ROBIN</t>
  </si>
  <si>
    <t>BODOO</t>
  </si>
  <si>
    <t>AMRIT</t>
  </si>
  <si>
    <t>ABHIJIT</t>
  </si>
  <si>
    <t>PODDER</t>
  </si>
  <si>
    <t>KAUTUK</t>
  </si>
  <si>
    <t>SUNITI</t>
  </si>
  <si>
    <t>SHAH</t>
  </si>
  <si>
    <t>YASHVI</t>
  </si>
  <si>
    <t>KELLA</t>
  </si>
  <si>
    <t>VISHMAY</t>
  </si>
  <si>
    <t>JAGDISHBHAI</t>
  </si>
  <si>
    <t>AFTAB</t>
  </si>
  <si>
    <t>MAQSOOD</t>
  </si>
  <si>
    <t>KRITIKKA</t>
  </si>
  <si>
    <t>KARAN</t>
  </si>
  <si>
    <t>RABINA</t>
  </si>
  <si>
    <t>ROHAN</t>
  </si>
  <si>
    <t>BAPAT</t>
  </si>
  <si>
    <t>ARSHDEEP</t>
  </si>
  <si>
    <t>VAISHNAV</t>
  </si>
  <si>
    <t>DIPALI</t>
  </si>
  <si>
    <t>ANUPAM</t>
  </si>
  <si>
    <t>MUKHI</t>
  </si>
  <si>
    <t>STUTI</t>
  </si>
  <si>
    <t>VARUN</t>
  </si>
  <si>
    <t>MANGWANA</t>
  </si>
  <si>
    <t>NAVAL</t>
  </si>
  <si>
    <t>DEV</t>
  </si>
  <si>
    <t>HARISH</t>
  </si>
  <si>
    <t>BHOJWANI</t>
  </si>
  <si>
    <t>SAGAR</t>
  </si>
  <si>
    <t>U</t>
  </si>
  <si>
    <t>RAGHVENDRA</t>
  </si>
  <si>
    <t>PUNITA</t>
  </si>
  <si>
    <t>SAWHNEY</t>
  </si>
  <si>
    <t>PRATEEK</t>
  </si>
  <si>
    <t>SOMANI</t>
  </si>
  <si>
    <t>DEVENDRA</t>
  </si>
  <si>
    <t>L.S.</t>
  </si>
  <si>
    <t>AMITESH</t>
  </si>
  <si>
    <t>DUSHYANT</t>
  </si>
  <si>
    <t>HARENDRA</t>
  </si>
  <si>
    <t>SHILPA</t>
  </si>
  <si>
    <t>CHAKRABORTY</t>
  </si>
  <si>
    <t>YAKILBHAI</t>
  </si>
  <si>
    <t>PINKY</t>
  </si>
  <si>
    <t>MUNDRA</t>
  </si>
  <si>
    <t>SWAPNIL</t>
  </si>
  <si>
    <t>DIVYESH</t>
  </si>
  <si>
    <t>M</t>
  </si>
  <si>
    <t>YOGRAJ</t>
  </si>
  <si>
    <t>SANTOSH</t>
  </si>
  <si>
    <t>NIMIT</t>
  </si>
  <si>
    <t>SALABH</t>
  </si>
  <si>
    <t>NAIM</t>
  </si>
  <si>
    <t>SULEMAN</t>
  </si>
  <si>
    <t>SHASHANK</t>
  </si>
  <si>
    <t>DRASHTI</t>
  </si>
  <si>
    <t>ALKESH</t>
  </si>
  <si>
    <t>PARVEEN</t>
  </si>
  <si>
    <t>ASMITA</t>
  </si>
  <si>
    <t>MAYANK</t>
  </si>
  <si>
    <t>HANS</t>
  </si>
  <si>
    <t>PARAG</t>
  </si>
  <si>
    <t>SHRIKANT</t>
  </si>
  <si>
    <t>SHIVAJI</t>
  </si>
  <si>
    <t>MIHUL</t>
  </si>
  <si>
    <t>PEEYUSH</t>
  </si>
  <si>
    <t>MOKDE</t>
  </si>
  <si>
    <t>INDERPAL</t>
  </si>
  <si>
    <t>PRACHI</t>
  </si>
  <si>
    <t>JADHAO</t>
  </si>
  <si>
    <t>JUGRAJ</t>
  </si>
  <si>
    <t>DANISH</t>
  </si>
  <si>
    <t>RITU</t>
  </si>
  <si>
    <t>JAIRATH</t>
  </si>
  <si>
    <t>MANISHA</t>
  </si>
  <si>
    <t>L</t>
  </si>
  <si>
    <t>PRITESH</t>
  </si>
  <si>
    <t>YOGENDRA</t>
  </si>
  <si>
    <t>KANDARP</t>
  </si>
  <si>
    <t>ARYA</t>
  </si>
  <si>
    <t>PANDIT</t>
  </si>
  <si>
    <t>GHOSH</t>
  </si>
  <si>
    <t>PARMESHWARLAL</t>
  </si>
  <si>
    <t>HEMAL</t>
  </si>
  <si>
    <t>LALITBHAI</t>
  </si>
  <si>
    <t>HARSHA</t>
  </si>
  <si>
    <t>NAGPAL</t>
  </si>
  <si>
    <t>MANASI</t>
  </si>
  <si>
    <t>CHACHAD</t>
  </si>
  <si>
    <t>HINA</t>
  </si>
  <si>
    <t>GOPAL</t>
  </si>
  <si>
    <t>BORAWAR</t>
  </si>
  <si>
    <t>MUKUNDA</t>
  </si>
  <si>
    <t>DISHA</t>
  </si>
  <si>
    <t>ASHWINI</t>
  </si>
  <si>
    <t>AMBADAS</t>
  </si>
  <si>
    <t>NARENDRA</t>
  </si>
  <si>
    <t>SONAL</t>
  </si>
  <si>
    <t>RAMCHANDRA</t>
  </si>
  <si>
    <t>AMITEE</t>
  </si>
  <si>
    <t>SRIVASTAVA</t>
  </si>
  <si>
    <t>SWECHHA</t>
  </si>
  <si>
    <t>ACHARYA</t>
  </si>
  <si>
    <t>SHEWANI</t>
  </si>
  <si>
    <t>ABHAY</t>
  </si>
  <si>
    <t>DOOMRA</t>
  </si>
  <si>
    <t>DILEEP</t>
  </si>
  <si>
    <t>DAMELE</t>
  </si>
  <si>
    <t>PRABAL</t>
  </si>
  <si>
    <t>PRATIBHA</t>
  </si>
  <si>
    <t>BALAJI</t>
  </si>
  <si>
    <t>CHARMI</t>
  </si>
  <si>
    <t>PRAVINCHANDRA</t>
  </si>
  <si>
    <t>RAMESHWARI</t>
  </si>
  <si>
    <t>B.S.</t>
  </si>
  <si>
    <t>ROOPAK</t>
  </si>
  <si>
    <t>AARAV</t>
  </si>
  <si>
    <t>CHANDAN</t>
  </si>
  <si>
    <t>SURI</t>
  </si>
  <si>
    <t>ANIT</t>
  </si>
  <si>
    <t>MALETA</t>
  </si>
  <si>
    <t>RAO</t>
  </si>
  <si>
    <t>CHAND</t>
  </si>
  <si>
    <t>PARIKSHIT</t>
  </si>
  <si>
    <t>PARASHAR</t>
  </si>
  <si>
    <t>ALOK</t>
  </si>
  <si>
    <t>NAVED</t>
  </si>
  <si>
    <t>ALAM</t>
  </si>
  <si>
    <t>NALINI</t>
  </si>
  <si>
    <t>TUKARAM</t>
  </si>
  <si>
    <t>ARUNDHATI</t>
  </si>
  <si>
    <t>PAL</t>
  </si>
  <si>
    <t>VYAS</t>
  </si>
  <si>
    <t>GARGEE</t>
  </si>
  <si>
    <t>BANERJEE</t>
  </si>
  <si>
    <t>ATAM</t>
  </si>
  <si>
    <t>PARKASH</t>
  </si>
  <si>
    <t>HARPREET</t>
  </si>
  <si>
    <t>CHAWLA</t>
  </si>
  <si>
    <t>GURIQBAL</t>
  </si>
  <si>
    <t>NAVJOT</t>
  </si>
  <si>
    <t>NISHA</t>
  </si>
  <si>
    <t>POPTANI</t>
  </si>
  <si>
    <t>KESHARIYA</t>
  </si>
  <si>
    <t>LALLIT</t>
  </si>
  <si>
    <t>KRISHAN</t>
  </si>
  <si>
    <t>ANUP</t>
  </si>
  <si>
    <t>S</t>
  </si>
  <si>
    <t>NIVESH</t>
  </si>
  <si>
    <t>NIMISHA</t>
  </si>
  <si>
    <t>THAPLIYAL</t>
  </si>
  <si>
    <t>LATESH</t>
  </si>
  <si>
    <t>I</t>
  </si>
  <si>
    <t>YOGESH</t>
  </si>
  <si>
    <t>BALJEET</t>
  </si>
  <si>
    <t>BEDI</t>
  </si>
  <si>
    <t>ADITI</t>
  </si>
  <si>
    <t>MANTHAN</t>
  </si>
  <si>
    <t>VIJESH</t>
  </si>
  <si>
    <t>NEELAM</t>
  </si>
  <si>
    <t>MULMULEY</t>
  </si>
  <si>
    <t>UPADHYAYA</t>
  </si>
  <si>
    <t>CHOPRA</t>
  </si>
  <si>
    <t>DARSHIL</t>
  </si>
  <si>
    <t>ASHOKBHAI</t>
  </si>
  <si>
    <t>BHANUDAS</t>
  </si>
  <si>
    <t>D.</t>
  </si>
  <si>
    <t>RASHMI</t>
  </si>
  <si>
    <t>RATHORE</t>
  </si>
  <si>
    <t>ARVIND</t>
  </si>
  <si>
    <t>POOJA</t>
  </si>
  <si>
    <t>BHATTI</t>
  </si>
  <si>
    <t>SAROJ</t>
  </si>
  <si>
    <t>ANUJ</t>
  </si>
  <si>
    <t>PRATHAMESH</t>
  </si>
  <si>
    <t>JAWED</t>
  </si>
  <si>
    <t>MUKUL</t>
  </si>
  <si>
    <t>DEVAL</t>
  </si>
  <si>
    <t>SHARADBHAI</t>
  </si>
  <si>
    <t>MUSHARRIF</t>
  </si>
  <si>
    <t>KHAN</t>
  </si>
  <si>
    <t>PRAMAY</t>
  </si>
  <si>
    <t>V.</t>
  </si>
  <si>
    <t>SV</t>
  </si>
  <si>
    <t>SENTHIL</t>
  </si>
  <si>
    <t>HETASHRI</t>
  </si>
  <si>
    <t>BHAVNEET</t>
  </si>
  <si>
    <t>KAUSHAL</t>
  </si>
  <si>
    <t>KAMAYA</t>
  </si>
  <si>
    <t>SARASWAT</t>
  </si>
  <si>
    <t>ARBIND</t>
  </si>
  <si>
    <t>KAUSTUBH</t>
  </si>
  <si>
    <t>HIMANSHI</t>
  </si>
  <si>
    <t>NIKHIL</t>
  </si>
  <si>
    <t>PUNIT</t>
  </si>
  <si>
    <t>VASIM</t>
  </si>
  <si>
    <t>NOBI</t>
  </si>
  <si>
    <t>KHUSHBOO</t>
  </si>
  <si>
    <t>V</t>
  </si>
  <si>
    <t>VAID</t>
  </si>
  <si>
    <t>PRASUN</t>
  </si>
  <si>
    <t>BHUPESH</t>
  </si>
  <si>
    <t>DAYAL</t>
  </si>
  <si>
    <t>SAHEEL</t>
  </si>
  <si>
    <t>NOUSHAD</t>
  </si>
  <si>
    <t>JUHI</t>
  </si>
  <si>
    <t>DURGA</t>
  </si>
  <si>
    <t>MUKESH</t>
  </si>
  <si>
    <t>SUMAN</t>
  </si>
  <si>
    <t>DESHMUKH</t>
  </si>
  <si>
    <t>SAMEER</t>
  </si>
  <si>
    <t>KUSHAL</t>
  </si>
  <si>
    <t>KHYAL</t>
  </si>
  <si>
    <t>KETUMAN</t>
  </si>
  <si>
    <t>NAGENDRA</t>
  </si>
  <si>
    <t>DHAVAL</t>
  </si>
  <si>
    <t>VASHISHTHA</t>
  </si>
  <si>
    <t>KANTRAO</t>
  </si>
  <si>
    <t>MAHAJAN</t>
  </si>
  <si>
    <t>SHREYAS</t>
  </si>
  <si>
    <t>BHASKAR</t>
  </si>
  <si>
    <t>KHUSHBU</t>
  </si>
  <si>
    <t>SHIPRA</t>
  </si>
  <si>
    <t>NARAYAN</t>
  </si>
  <si>
    <t>NAMRATA</t>
  </si>
  <si>
    <t>SINGHAL</t>
  </si>
  <si>
    <t>HEMA</t>
  </si>
  <si>
    <t>ASHMITA</t>
  </si>
  <si>
    <t>UMESH</t>
  </si>
  <si>
    <t>MEHLA</t>
  </si>
  <si>
    <t>TOSHAK</t>
  </si>
  <si>
    <t>SHREYA</t>
  </si>
  <si>
    <t>ADHISH</t>
  </si>
  <si>
    <t>JERRIN</t>
  </si>
  <si>
    <t>ALEXANDER</t>
  </si>
  <si>
    <t>RAMANDEEP</t>
  </si>
  <si>
    <t>JAYDEEP</t>
  </si>
  <si>
    <t>RAJNIKANT</t>
  </si>
  <si>
    <t>JOHN</t>
  </si>
  <si>
    <t>PURNIMA</t>
  </si>
  <si>
    <t>VIJAYKUMAR</t>
  </si>
  <si>
    <t>POORNIMA</t>
  </si>
  <si>
    <t>LAKULISH</t>
  </si>
  <si>
    <t>CHETAN</t>
  </si>
  <si>
    <t>RAGHUNATH</t>
  </si>
  <si>
    <t>SHAISHVI</t>
  </si>
  <si>
    <t>CHAUDHARY</t>
  </si>
  <si>
    <t>RAMESH</t>
  </si>
  <si>
    <t>IYER</t>
  </si>
  <si>
    <t>VENKATESH</t>
  </si>
  <si>
    <t>JAI</t>
  </si>
  <si>
    <t>RANGARI</t>
  </si>
  <si>
    <t>ROHINI</t>
  </si>
  <si>
    <t>NUPUR</t>
  </si>
  <si>
    <t>KATARE</t>
  </si>
  <si>
    <t>POONAM</t>
  </si>
  <si>
    <t>KUSHWAH</t>
  </si>
  <si>
    <t>JASHUBHAI</t>
  </si>
  <si>
    <t>DAISY</t>
  </si>
  <si>
    <t>SURESHKUMAR</t>
  </si>
  <si>
    <t>GAURAVDEEP</t>
  </si>
  <si>
    <t>HARSHAL</t>
  </si>
  <si>
    <t>DAMLE</t>
  </si>
  <si>
    <t>JITEN</t>
  </si>
  <si>
    <t>SOMAIYA</t>
  </si>
  <si>
    <t>MILAN</t>
  </si>
  <si>
    <t>SARVAIYA</t>
  </si>
  <si>
    <t>SETU</t>
  </si>
  <si>
    <t>KAMINI</t>
  </si>
  <si>
    <t>FRANKLIN</t>
  </si>
  <si>
    <t>JADHAV</t>
  </si>
  <si>
    <t>CHANDRAKANT</t>
  </si>
  <si>
    <t>VASHISTHA</t>
  </si>
  <si>
    <t>PARTH</t>
  </si>
  <si>
    <t>PRAVINBHAI</t>
  </si>
  <si>
    <t>ABHAYRAJ</t>
  </si>
  <si>
    <t>VISHWA</t>
  </si>
  <si>
    <t>PRADEEP</t>
  </si>
  <si>
    <t>SHANTARAM</t>
  </si>
  <si>
    <t>HEMRAJ</t>
  </si>
  <si>
    <t>SNEHAL</t>
  </si>
  <si>
    <t>P</t>
  </si>
  <si>
    <t>PALASH</t>
  </si>
  <si>
    <t>PRATEEKSHA</t>
  </si>
  <si>
    <t>TEJASWINI</t>
  </si>
  <si>
    <t>ABHAYKUMAR</t>
  </si>
  <si>
    <t>DHANANJAY</t>
  </si>
  <si>
    <t>NIRAVKUMAR</t>
  </si>
  <si>
    <t>LAXMANBHAI</t>
  </si>
  <si>
    <t>DADA</t>
  </si>
  <si>
    <t>BIRTHRAY</t>
  </si>
  <si>
    <t>KAPSE</t>
  </si>
  <si>
    <t>RAJORIYA</t>
  </si>
  <si>
    <t>AMIY</t>
  </si>
  <si>
    <t>JASON</t>
  </si>
  <si>
    <t>JOEL</t>
  </si>
  <si>
    <t>DAMINI</t>
  </si>
  <si>
    <t>ROHIRA</t>
  </si>
  <si>
    <t>RONALD</t>
  </si>
  <si>
    <t>PRANAYKUMAR</t>
  </si>
  <si>
    <t>UMANG</t>
  </si>
  <si>
    <t>KIRTIKUMAR</t>
  </si>
  <si>
    <t>DINKAR</t>
  </si>
  <si>
    <t>PAWAN</t>
  </si>
  <si>
    <t>LAXMIKANT</t>
  </si>
  <si>
    <t>VIDYADHAR</t>
  </si>
  <si>
    <t>KRUNAL</t>
  </si>
  <si>
    <t>AMARDEEP</t>
  </si>
  <si>
    <t>MANILAL</t>
  </si>
  <si>
    <t>GIRISH</t>
  </si>
  <si>
    <t>KUNDAN</t>
  </si>
  <si>
    <t>PRANALI</t>
  </si>
  <si>
    <t>YATESH</t>
  </si>
  <si>
    <t>MAHESHKUMAR</t>
  </si>
  <si>
    <t>YUWRAJ</t>
  </si>
  <si>
    <t>TITIKSHA</t>
  </si>
  <si>
    <t>PANDAY</t>
  </si>
  <si>
    <t>VALERIE</t>
  </si>
  <si>
    <t>MITTAL</t>
  </si>
  <si>
    <t>DAIZY</t>
  </si>
  <si>
    <t>GOYAL</t>
  </si>
  <si>
    <t>YASHASVI</t>
  </si>
  <si>
    <t>SUDHIR</t>
  </si>
  <si>
    <t>TANVI</t>
  </si>
  <si>
    <t>VANI</t>
  </si>
  <si>
    <t>JUNEJA</t>
  </si>
  <si>
    <t>BALASAHEB</t>
  </si>
  <si>
    <t>SINISH</t>
  </si>
  <si>
    <t>RANDEEP</t>
  </si>
  <si>
    <t>DHRUV</t>
  </si>
  <si>
    <t>CHOUDARY</t>
  </si>
  <si>
    <t>PARITOSH</t>
  </si>
  <si>
    <t>VIPIN</t>
  </si>
  <si>
    <t>PURSOTTAM</t>
  </si>
  <si>
    <t>SANJANA</t>
  </si>
  <si>
    <t>PARESHBHAI</t>
  </si>
  <si>
    <t>TEJAS</t>
  </si>
  <si>
    <t>PARAGI</t>
  </si>
  <si>
    <t>ANUSHREE</t>
  </si>
  <si>
    <t>RAWAL</t>
  </si>
  <si>
    <t>NEENAL</t>
  </si>
  <si>
    <t>MOGRA</t>
  </si>
  <si>
    <t>MADHUR</t>
  </si>
  <si>
    <t>RANJEET</t>
  </si>
  <si>
    <t>RAMINDER</t>
  </si>
  <si>
    <t>RAJPUROHIT</t>
  </si>
  <si>
    <t>MAKARAND</t>
  </si>
  <si>
    <t>SADANAND</t>
  </si>
  <si>
    <t>LILADHAR</t>
  </si>
  <si>
    <t>SANKHALA</t>
  </si>
  <si>
    <t>RUTIKA</t>
  </si>
  <si>
    <t>KINJAL</t>
  </si>
  <si>
    <t>RUCHIT</t>
  </si>
  <si>
    <t>JADOUN</t>
  </si>
  <si>
    <t>MUKESHBHAI</t>
  </si>
  <si>
    <t>VEDANGEE</t>
  </si>
  <si>
    <t>NAYAN</t>
  </si>
  <si>
    <t>ANIMESH</t>
  </si>
  <si>
    <t>SAHU</t>
  </si>
  <si>
    <t>RISHI</t>
  </si>
  <si>
    <t>TAUR</t>
  </si>
  <si>
    <t>IMRAN</t>
  </si>
  <si>
    <t>AFZAL</t>
  </si>
  <si>
    <t>AAKRITI</t>
  </si>
  <si>
    <t>NISHAN</t>
  </si>
  <si>
    <t>ASTHA</t>
  </si>
  <si>
    <t>NARENDER</t>
  </si>
  <si>
    <t>MAKADIYA</t>
  </si>
  <si>
    <t>SULABH</t>
  </si>
  <si>
    <t>ARUNBHAI</t>
  </si>
  <si>
    <t>SARANDHA</t>
  </si>
  <si>
    <t>SOOD</t>
  </si>
  <si>
    <t>SANSKRITI</t>
  </si>
  <si>
    <t>DILIPKUMATR</t>
  </si>
  <si>
    <t>AKSHAYA</t>
  </si>
  <si>
    <t>NUTAN</t>
  </si>
  <si>
    <t>PANT</t>
  </si>
  <si>
    <t>SAMBHAJIRAO</t>
  </si>
  <si>
    <t>PRAKHAR</t>
  </si>
  <si>
    <t>PRASENJEET</t>
  </si>
  <si>
    <t>BABURAO</t>
  </si>
  <si>
    <t>SUDHAKARRAO</t>
  </si>
  <si>
    <t>JINESH</t>
  </si>
  <si>
    <t>LAXMAN</t>
  </si>
  <si>
    <t>SAHEBRAO</t>
  </si>
  <si>
    <t>SHONIT</t>
  </si>
  <si>
    <t>HARITA</t>
  </si>
  <si>
    <t>VIKRAM</t>
  </si>
  <si>
    <t>PARIHAR</t>
  </si>
  <si>
    <t>NEERAJ</t>
  </si>
  <si>
    <t>SANODIA</t>
  </si>
  <si>
    <t>PRATIK</t>
  </si>
  <si>
    <t>MISTRY</t>
  </si>
  <si>
    <t>UJJVAL</t>
  </si>
  <si>
    <t>ARUSHI</t>
  </si>
  <si>
    <t>TUSAR</t>
  </si>
  <si>
    <t>VIGNESH</t>
  </si>
  <si>
    <t>PRATHMESH</t>
  </si>
  <si>
    <t>BRINDA</t>
  </si>
  <si>
    <t>RAJPOPAT</t>
  </si>
  <si>
    <t>DAJWINDER</t>
  </si>
  <si>
    <t>MARIAL</t>
  </si>
  <si>
    <t>JOSE</t>
  </si>
  <si>
    <t>HIMANI</t>
  </si>
  <si>
    <t>WASIM</t>
  </si>
  <si>
    <t>LOVE</t>
  </si>
  <si>
    <t>KHETARPAL</t>
  </si>
  <si>
    <t>VASUNDHARA</t>
  </si>
  <si>
    <t>MAZUMDER</t>
  </si>
  <si>
    <t>RAMI</t>
  </si>
  <si>
    <t>PARAS</t>
  </si>
  <si>
    <t>OBEROI</t>
  </si>
  <si>
    <t>ADHIRAJ</t>
  </si>
  <si>
    <t>HARIYANI</t>
  </si>
  <si>
    <t>RADHIKA</t>
  </si>
  <si>
    <t>AAKASH</t>
  </si>
  <si>
    <t>PUNDIR</t>
  </si>
  <si>
    <t>FRANCIS</t>
  </si>
  <si>
    <t>SOHAM</t>
  </si>
  <si>
    <t>RAJAN</t>
  </si>
  <si>
    <t>SAHOTRA</t>
  </si>
  <si>
    <t>HARDEEP</t>
  </si>
  <si>
    <t>AMAN</t>
  </si>
  <si>
    <t>LOVEPREET</t>
  </si>
  <si>
    <t>AAYUSH</t>
  </si>
  <si>
    <t>GRISHMA</t>
  </si>
  <si>
    <t>AJAYKUMAR</t>
  </si>
  <si>
    <t>RATNESH</t>
  </si>
  <si>
    <t>VIRAT</t>
  </si>
  <si>
    <t>RAMESHBHAI</t>
  </si>
  <si>
    <t>GUBRELE</t>
  </si>
  <si>
    <t>BHAWAL</t>
  </si>
  <si>
    <t>JIGAR</t>
  </si>
  <si>
    <t>DEEPTI</t>
  </si>
  <si>
    <t>MITHILESH</t>
  </si>
  <si>
    <t>HIRALAL</t>
  </si>
  <si>
    <t>SHAM</t>
  </si>
  <si>
    <t>JAYMIN</t>
  </si>
  <si>
    <t>PRANSHU</t>
  </si>
  <si>
    <t>MALHOTRA</t>
  </si>
  <si>
    <t>GOURAV</t>
  </si>
  <si>
    <t>DHINGRA</t>
  </si>
  <si>
    <t>TICKOO</t>
  </si>
  <si>
    <t>AKUL</t>
  </si>
  <si>
    <t>MANU</t>
  </si>
  <si>
    <t>CHOUDHARY</t>
  </si>
  <si>
    <t>DIMPAL</t>
  </si>
  <si>
    <t>TANWAR</t>
  </si>
  <si>
    <t>SNEHA</t>
  </si>
  <si>
    <t>NAGESH</t>
  </si>
  <si>
    <t>VIPULA</t>
  </si>
  <si>
    <t>PRABHAKAR</t>
  </si>
  <si>
    <t>NAHUSH</t>
  </si>
  <si>
    <t>PRANUL</t>
  </si>
  <si>
    <t>RUCHI</t>
  </si>
  <si>
    <t>NAMDEORAO</t>
  </si>
  <si>
    <t>DADHEECH</t>
  </si>
  <si>
    <t>MANAV</t>
  </si>
  <si>
    <t>AHUJA</t>
  </si>
  <si>
    <t>INDU</t>
  </si>
  <si>
    <t>NEGI</t>
  </si>
  <si>
    <t>KAMDAR</t>
  </si>
  <si>
    <t>ARPAN</t>
  </si>
  <si>
    <t>MODI</t>
  </si>
  <si>
    <t>GORAKH</t>
  </si>
  <si>
    <t>RENUKA</t>
  </si>
  <si>
    <t>UDAYKUMAR</t>
  </si>
  <si>
    <t>ZINGRU</t>
  </si>
  <si>
    <t>DADLANI</t>
  </si>
  <si>
    <t>NIDHI</t>
  </si>
  <si>
    <t>DEEPRAJ</t>
  </si>
  <si>
    <t>FATHRODE</t>
  </si>
  <si>
    <t>KETAN</t>
  </si>
  <si>
    <t>SHRINIVAS</t>
  </si>
  <si>
    <t>ANIKET</t>
  </si>
  <si>
    <t>BHAUMIK</t>
  </si>
  <si>
    <t>GULERIA</t>
  </si>
  <si>
    <t>NIMESH</t>
  </si>
  <si>
    <t>MUKHERJEE</t>
  </si>
  <si>
    <t>MURLIDHAR</t>
  </si>
  <si>
    <t>KHANDAL</t>
  </si>
  <si>
    <t>SHEKHAR</t>
  </si>
  <si>
    <t>VINEET</t>
  </si>
  <si>
    <t>BATRA</t>
  </si>
  <si>
    <t>RABIA</t>
  </si>
  <si>
    <t>DIPLOO</t>
  </si>
  <si>
    <t>KONWAR</t>
  </si>
  <si>
    <t>RACHIT</t>
  </si>
  <si>
    <t>PATNI</t>
  </si>
  <si>
    <t>SURAJ</t>
  </si>
  <si>
    <t>CHANDRA</t>
  </si>
  <si>
    <t>MANOHAR</t>
  </si>
  <si>
    <t>NISHIT</t>
  </si>
  <si>
    <t>CHAUN</t>
  </si>
  <si>
    <t>KATYAL</t>
  </si>
  <si>
    <t>NAISARGI</t>
  </si>
  <si>
    <t>MADHAV</t>
  </si>
  <si>
    <t>AASHISH</t>
  </si>
  <si>
    <t>NABA</t>
  </si>
  <si>
    <t>KISHORE</t>
  </si>
  <si>
    <t>PRERANA</t>
  </si>
  <si>
    <t>NEIL</t>
  </si>
  <si>
    <t>PRERIT</t>
  </si>
  <si>
    <t>JIMI</t>
  </si>
  <si>
    <t>HARINDER</t>
  </si>
  <si>
    <t>MOORJANI</t>
  </si>
  <si>
    <t>MEGHA</t>
  </si>
  <si>
    <t>KHULVE</t>
  </si>
  <si>
    <t>KOCHER</t>
  </si>
  <si>
    <t>BHUPINDER</t>
  </si>
  <si>
    <t>PRASHAR</t>
  </si>
  <si>
    <t>WAGH</t>
  </si>
  <si>
    <t>KANANI</t>
  </si>
  <si>
    <t>AJIT</t>
  </si>
  <si>
    <t>SATYAM</t>
  </si>
  <si>
    <t>BHUSHAN</t>
  </si>
  <si>
    <t>VIJENDAR</t>
  </si>
  <si>
    <t>ISHU</t>
  </si>
  <si>
    <t>ABISON</t>
  </si>
  <si>
    <t>THOMAS</t>
  </si>
  <si>
    <t>OJHA</t>
  </si>
  <si>
    <t>KISHAN</t>
  </si>
  <si>
    <t>DALCHAND</t>
  </si>
  <si>
    <t>KANIKA</t>
  </si>
  <si>
    <t>GIROTRA</t>
  </si>
  <si>
    <t>NIKETA</t>
  </si>
  <si>
    <t>SANE</t>
  </si>
  <si>
    <t>KAILASH</t>
  </si>
  <si>
    <t>MADHAVRAO</t>
  </si>
  <si>
    <t>BANIYA</t>
  </si>
  <si>
    <t>SIDHARATH</t>
  </si>
  <si>
    <t>GANDOTRA</t>
  </si>
  <si>
    <t>GORAKSHANATH</t>
  </si>
  <si>
    <t>MAHENDRABHAI</t>
  </si>
  <si>
    <t>PRADIPBHAI</t>
  </si>
  <si>
    <t>SANDHYA</t>
  </si>
  <si>
    <t>AHIRWAR</t>
  </si>
  <si>
    <t>YASHWINI</t>
  </si>
  <si>
    <t>NOOPUR</t>
  </si>
  <si>
    <t>ANJALI</t>
  </si>
  <si>
    <t>DHIRWANI</t>
  </si>
  <si>
    <t>SHAMAL</t>
  </si>
  <si>
    <t>VILASRAO</t>
  </si>
  <si>
    <t>STANLEY</t>
  </si>
  <si>
    <t>CHACKO</t>
  </si>
  <si>
    <t>AWASTHI</t>
  </si>
  <si>
    <t>RAJNI</t>
  </si>
  <si>
    <t>BHALLA</t>
  </si>
  <si>
    <t>MANISHBHAI</t>
  </si>
  <si>
    <t>PANCHAL</t>
  </si>
  <si>
    <t>ANONA</t>
  </si>
  <si>
    <t>PRARTHIT</t>
  </si>
  <si>
    <t>VIRENDRA</t>
  </si>
  <si>
    <t>TILAK</t>
  </si>
  <si>
    <t>TEJA</t>
  </si>
  <si>
    <t>RANMALBHAI</t>
  </si>
  <si>
    <t>AASIF</t>
  </si>
  <si>
    <t>G.</t>
  </si>
  <si>
    <t>LOKESH</t>
  </si>
  <si>
    <t>MITHU</t>
  </si>
  <si>
    <t>KSHITIJA</t>
  </si>
  <si>
    <t>NOUDIYAL</t>
  </si>
  <si>
    <t>SHARAD</t>
  </si>
  <si>
    <t>AMBUBHAI</t>
  </si>
  <si>
    <t>BHOLENATH</t>
  </si>
  <si>
    <t>JYOTSANA</t>
  </si>
  <si>
    <t>SAHNI</t>
  </si>
  <si>
    <t>CHOUDHARI</t>
  </si>
  <si>
    <t>SUMANT</t>
  </si>
  <si>
    <t>LAKHTAKIA</t>
  </si>
  <si>
    <t>BAHUGUNA</t>
  </si>
  <si>
    <t>TABASSUM</t>
  </si>
  <si>
    <t>SALAUDDIN</t>
  </si>
  <si>
    <t>HIRJIBHAI</t>
  </si>
  <si>
    <t>URJA</t>
  </si>
  <si>
    <t>DILIPKUMAR</t>
  </si>
  <si>
    <t>HIDAYATH</t>
  </si>
  <si>
    <t>ULLA</t>
  </si>
  <si>
    <t>SAGRIKA</t>
  </si>
  <si>
    <t>SANKET</t>
  </si>
  <si>
    <t>DARSHANA</t>
  </si>
  <si>
    <t>UMA</t>
  </si>
  <si>
    <t>BHANWARSINGH</t>
  </si>
  <si>
    <t>DIPAKKUMAR</t>
  </si>
  <si>
    <t>VANDITA</t>
  </si>
  <si>
    <t>Kunal</t>
  </si>
  <si>
    <t>Chitravanshi</t>
  </si>
  <si>
    <t>PRIYANSHI</t>
  </si>
  <si>
    <t>KULSHRESTHA</t>
  </si>
  <si>
    <t>Gaurav</t>
  </si>
  <si>
    <t>Sharma</t>
  </si>
  <si>
    <t>Anu</t>
  </si>
  <si>
    <t>SOMA</t>
  </si>
  <si>
    <t>BHIMRAJ</t>
  </si>
  <si>
    <t>MANGAL</t>
  </si>
  <si>
    <t>RAGAV</t>
  </si>
  <si>
    <t>PRANAV</t>
  </si>
  <si>
    <t>VYOMESH</t>
  </si>
  <si>
    <t>H</t>
  </si>
  <si>
    <t>BHAN</t>
  </si>
  <si>
    <t>AVISHA</t>
  </si>
  <si>
    <t>GULATI</t>
  </si>
  <si>
    <t>ISHWAR</t>
  </si>
  <si>
    <t>OSHAN</t>
  </si>
  <si>
    <t>SANIYA</t>
  </si>
  <si>
    <t>SIDDIQUI</t>
  </si>
  <si>
    <t>SANJETI</t>
  </si>
  <si>
    <t>SHUBHRA</t>
  </si>
  <si>
    <t>UPINDER</t>
  </si>
  <si>
    <t>SADASHIV</t>
  </si>
  <si>
    <t>SHANKHDHARI</t>
  </si>
  <si>
    <t>DEEPESH</t>
  </si>
  <si>
    <t>FALGUNIBEN</t>
  </si>
  <si>
    <t>SHALIN</t>
  </si>
  <si>
    <t>HARSHDA</t>
  </si>
  <si>
    <t>REDDY</t>
  </si>
  <si>
    <t>STEFFI</t>
  </si>
  <si>
    <t>VAZ</t>
  </si>
  <si>
    <t>SABBY</t>
  </si>
  <si>
    <t>ROSHAN</t>
  </si>
  <si>
    <t>NANDANWAR</t>
  </si>
  <si>
    <t>BURADE</t>
  </si>
  <si>
    <t>SANTANU</t>
  </si>
  <si>
    <t>BHARTI</t>
  </si>
  <si>
    <t>VIKASH</t>
  </si>
  <si>
    <t>JHA</t>
  </si>
  <si>
    <t>JAIKISHAN</t>
  </si>
  <si>
    <t>JYOTI</t>
  </si>
  <si>
    <t>VARSANI</t>
  </si>
  <si>
    <t>SWATI</t>
  </si>
  <si>
    <t>JIGNESH</t>
  </si>
  <si>
    <t>MAHESHBHAI</t>
  </si>
  <si>
    <t>ROCHELLE</t>
  </si>
  <si>
    <t>SEQUEIRA</t>
  </si>
  <si>
    <t>RAJPAL</t>
  </si>
  <si>
    <t>VIKKRAMADITYA</t>
  </si>
  <si>
    <t>NIYATI</t>
  </si>
  <si>
    <t>SHAILESHKUMAR</t>
  </si>
  <si>
    <t>ANJUL</t>
  </si>
  <si>
    <t>DAWER</t>
  </si>
  <si>
    <t>GEORGE</t>
  </si>
  <si>
    <t>CHOURASIYA</t>
  </si>
  <si>
    <t>THAKRAL</t>
  </si>
  <si>
    <t>NAVYA</t>
  </si>
  <si>
    <t>BERI</t>
  </si>
  <si>
    <t>ANANYA</t>
  </si>
  <si>
    <t>NILESHKUMAR</t>
  </si>
  <si>
    <t>SHOUNAK</t>
  </si>
  <si>
    <t>UDAY</t>
  </si>
  <si>
    <t>UMASHANKAR</t>
  </si>
  <si>
    <t>DHAVALSINH</t>
  </si>
  <si>
    <t>JALAMSINH</t>
  </si>
  <si>
    <t>YAMINI</t>
  </si>
  <si>
    <t>DEBARATI</t>
  </si>
  <si>
    <t>DARSHAN</t>
  </si>
  <si>
    <t>PANCHBHAI</t>
  </si>
  <si>
    <t>RAGHAV</t>
  </si>
  <si>
    <t>BIRLA</t>
  </si>
  <si>
    <t>ANIRUDH</t>
  </si>
  <si>
    <t>CHANDRESHKUMAR</t>
  </si>
  <si>
    <t>TUNDWAL</t>
  </si>
  <si>
    <t>ASIM</t>
  </si>
  <si>
    <t>MAROTI</t>
  </si>
  <si>
    <t>UDIT</t>
  </si>
  <si>
    <t>SAYALEE</t>
  </si>
  <si>
    <t>PRADIPRAO</t>
  </si>
  <si>
    <t>DHARMENDRA</t>
  </si>
  <si>
    <t>JEEL</t>
  </si>
  <si>
    <t>MADHAVSING</t>
  </si>
  <si>
    <t>MANVENDRA</t>
  </si>
  <si>
    <t>YASHI</t>
  </si>
  <si>
    <t>MANDAL</t>
  </si>
  <si>
    <t>NEMA</t>
  </si>
  <si>
    <t>SINGHI</t>
  </si>
  <si>
    <t>OM</t>
  </si>
  <si>
    <t>SOUMITRA</t>
  </si>
  <si>
    <t>KANUNGO</t>
  </si>
  <si>
    <t>ATIVEER</t>
  </si>
  <si>
    <t>BOHRA</t>
  </si>
  <si>
    <t>ABROL</t>
  </si>
  <si>
    <t>KHOOBCHAND</t>
  </si>
  <si>
    <t>ROYCHOWDHURY</t>
  </si>
  <si>
    <t>ANAMIKA</t>
  </si>
  <si>
    <t>DUTTA</t>
  </si>
  <si>
    <t>MALIK</t>
  </si>
  <si>
    <t>JAHIDBHAI</t>
  </si>
  <si>
    <t>DHANJA</t>
  </si>
  <si>
    <t>DIXIT</t>
  </si>
  <si>
    <t>SHABINA</t>
  </si>
  <si>
    <t>MAYUR</t>
  </si>
  <si>
    <t>DAMODHAR</t>
  </si>
  <si>
    <t>KANSARA</t>
  </si>
  <si>
    <t>ATRI</t>
  </si>
  <si>
    <t>KANKURTHI</t>
  </si>
  <si>
    <t>NANDLAL</t>
  </si>
  <si>
    <t>SHALEEN</t>
  </si>
  <si>
    <t>DASHRATH</t>
  </si>
  <si>
    <t>DHOKE</t>
  </si>
  <si>
    <t>SAMBHAJI</t>
  </si>
  <si>
    <t>HARDIK</t>
  </si>
  <si>
    <t>WAKHLE</t>
  </si>
  <si>
    <t>LIBIN</t>
  </si>
  <si>
    <t>ARVINDBHAI</t>
  </si>
  <si>
    <t>NANAKRAM</t>
  </si>
  <si>
    <t>KALANI</t>
  </si>
  <si>
    <t>ABHA</t>
  </si>
  <si>
    <t>DURGESHBHAI</t>
  </si>
  <si>
    <t>NAVITA</t>
  </si>
  <si>
    <t>BHADULE</t>
  </si>
  <si>
    <t>DINESHBHAI</t>
  </si>
  <si>
    <t>APURWA</t>
  </si>
  <si>
    <t>VANITA</t>
  </si>
  <si>
    <t>TARANI</t>
  </si>
  <si>
    <t>ANKUR</t>
  </si>
  <si>
    <t>SUBHASHCHANDRA</t>
  </si>
  <si>
    <t>NAMDEO</t>
  </si>
  <si>
    <t>SANDU</t>
  </si>
  <si>
    <t>NAINI</t>
  </si>
  <si>
    <t>GABA</t>
  </si>
  <si>
    <t>AISHWARY</t>
  </si>
  <si>
    <t>RAZINA</t>
  </si>
  <si>
    <t>SAYEED</t>
  </si>
  <si>
    <t>BHANDARI</t>
  </si>
  <si>
    <t>SAMNEET</t>
  </si>
  <si>
    <t>DEVANSHI</t>
  </si>
  <si>
    <t>DIXITA</t>
  </si>
  <si>
    <t>DIPAKBHAI</t>
  </si>
  <si>
    <t>VRUSHABH</t>
  </si>
  <si>
    <t>DIWAKAR</t>
  </si>
  <si>
    <t>SAMIR</t>
  </si>
  <si>
    <t>MANAS</t>
  </si>
  <si>
    <t>SANDIP</t>
  </si>
  <si>
    <t>SHASHI</t>
  </si>
  <si>
    <t>PRATIKSINH</t>
  </si>
  <si>
    <t>AJITSINH</t>
  </si>
  <si>
    <t>KOONAL</t>
  </si>
  <si>
    <t>JINAL</t>
  </si>
  <si>
    <t>MANPREET</t>
  </si>
  <si>
    <t>SREEJA</t>
  </si>
  <si>
    <t>RATISH</t>
  </si>
  <si>
    <t>MADAN</t>
  </si>
  <si>
    <t>BIKRAMJIT</t>
  </si>
  <si>
    <t>AKRUTI</t>
  </si>
  <si>
    <t>JAISINGH</t>
  </si>
  <si>
    <t>Akash</t>
  </si>
  <si>
    <t>Sambhaji</t>
  </si>
  <si>
    <t>Gayatri</t>
  </si>
  <si>
    <t>Ashok</t>
  </si>
  <si>
    <t>APURV</t>
  </si>
  <si>
    <t>PADAMAKAR</t>
  </si>
  <si>
    <t>UROOJ</t>
  </si>
  <si>
    <t>ASHITOSH</t>
  </si>
  <si>
    <t>MAHADEO</t>
  </si>
  <si>
    <t>RAVINDARSINGH</t>
  </si>
  <si>
    <t>LILURAM</t>
  </si>
  <si>
    <t>LAKHAN</t>
  </si>
  <si>
    <t>PREMANAND</t>
  </si>
  <si>
    <t>CHINTAMAN</t>
  </si>
  <si>
    <t>BHAVSAR</t>
  </si>
  <si>
    <t>GURSHEEN</t>
  </si>
  <si>
    <t>SISODIYA</t>
  </si>
  <si>
    <t>RIKITA</t>
  </si>
  <si>
    <t>JOGESH</t>
  </si>
  <si>
    <t>VIRESH</t>
  </si>
  <si>
    <t>ZARNA</t>
  </si>
  <si>
    <t>SONIKA</t>
  </si>
  <si>
    <t>MAINI</t>
  </si>
  <si>
    <t>DIYA</t>
  </si>
  <si>
    <t>PODDAR</t>
  </si>
  <si>
    <t>VISHALKUMAR</t>
  </si>
  <si>
    <t>VIRJIBHAI</t>
  </si>
  <si>
    <t>DILPREET</t>
  </si>
  <si>
    <t>VEDPATHAK</t>
  </si>
  <si>
    <t>SWASTIK</t>
  </si>
  <si>
    <t>PRADHAN</t>
  </si>
  <si>
    <t>TANYA</t>
  </si>
  <si>
    <t>KARIR</t>
  </si>
  <si>
    <t>YASHANA</t>
  </si>
  <si>
    <t>PATIDAR</t>
  </si>
  <si>
    <t>SARANG</t>
  </si>
  <si>
    <t>KHEDKAR</t>
  </si>
  <si>
    <t>ROSHNI</t>
  </si>
  <si>
    <t>CHHABRIA</t>
  </si>
  <si>
    <t>KARAM</t>
  </si>
  <si>
    <t>YAGYADATT</t>
  </si>
  <si>
    <t>KEVINKUMAR</t>
  </si>
  <si>
    <t>JAMANADAS</t>
  </si>
  <si>
    <t>GAUR</t>
  </si>
  <si>
    <t>VRUNDA</t>
  </si>
  <si>
    <t>NARENDRAKUMAR</t>
  </si>
  <si>
    <t>NISHITA</t>
  </si>
  <si>
    <t>AMRUTLAL</t>
  </si>
  <si>
    <t>GURNEK</t>
  </si>
  <si>
    <t>VASANT</t>
  </si>
  <si>
    <t>ARTI</t>
  </si>
  <si>
    <t>VIDUR</t>
  </si>
  <si>
    <t>SARPAL</t>
  </si>
  <si>
    <t>SUBHRONIL</t>
  </si>
  <si>
    <t>BHATTACHARYA</t>
  </si>
  <si>
    <t>DHARA</t>
  </si>
  <si>
    <t>PANKAJBHAI</t>
  </si>
  <si>
    <t>NEER</t>
  </si>
  <si>
    <t>NIKESH</t>
  </si>
  <si>
    <t>CHAKSHU</t>
  </si>
  <si>
    <t>ANAMICA</t>
  </si>
  <si>
    <t>PETER</t>
  </si>
  <si>
    <t>RUFUS</t>
  </si>
  <si>
    <t>HENRY</t>
  </si>
  <si>
    <t>NAVNEET</t>
  </si>
  <si>
    <t>SHINAM</t>
  </si>
  <si>
    <t>KARKRA</t>
  </si>
  <si>
    <t>BHAKTI</t>
  </si>
  <si>
    <t>URKUDE</t>
  </si>
  <si>
    <t>VIRAJ</t>
  </si>
  <si>
    <t>BHARTBHAI</t>
  </si>
  <si>
    <t>Anjali</t>
  </si>
  <si>
    <t>Vijay</t>
  </si>
  <si>
    <t>Viny</t>
  </si>
  <si>
    <t>Bharti</t>
  </si>
  <si>
    <t>Umesh</t>
  </si>
  <si>
    <t>Dandgaval</t>
  </si>
  <si>
    <t>CHAHAL</t>
  </si>
  <si>
    <t>Adarsh</t>
  </si>
  <si>
    <t>Singh</t>
  </si>
  <si>
    <t>Nehal</t>
  </si>
  <si>
    <t>Naidu</t>
  </si>
  <si>
    <t>Priya</t>
  </si>
  <si>
    <t>Jha</t>
  </si>
  <si>
    <t>Saloni</t>
  </si>
  <si>
    <t>Gupta</t>
  </si>
  <si>
    <t>Vikram</t>
  </si>
  <si>
    <t>Pratish</t>
  </si>
  <si>
    <t>Sinha</t>
  </si>
  <si>
    <t>Jayendra</t>
  </si>
  <si>
    <t>Sakhare</t>
  </si>
  <si>
    <t>Kishor</t>
  </si>
  <si>
    <t>Chaterjee</t>
  </si>
  <si>
    <t>SONIA</t>
  </si>
  <si>
    <t>Aasim</t>
  </si>
  <si>
    <t>Anis</t>
  </si>
  <si>
    <t>CHINTAN</t>
  </si>
  <si>
    <t>TEVAR</t>
  </si>
  <si>
    <t>SHERRYLL</t>
  </si>
  <si>
    <t>KAMLESHKUMAR</t>
  </si>
  <si>
    <t>Sarita</t>
  </si>
  <si>
    <t>Narendra</t>
  </si>
  <si>
    <t>ROLISON</t>
  </si>
  <si>
    <t>RAJEL</t>
  </si>
  <si>
    <t>AJINKYA</t>
  </si>
  <si>
    <t>PRADIP</t>
  </si>
  <si>
    <t>Puneet</t>
  </si>
  <si>
    <t>JAYKUMAR</t>
  </si>
  <si>
    <t>BALDEVBHAI</t>
  </si>
  <si>
    <t>Prabhat</t>
  </si>
  <si>
    <t>Dubey</t>
  </si>
  <si>
    <t>ASEEM</t>
  </si>
  <si>
    <t>NARAIN</t>
  </si>
  <si>
    <t>Avani</t>
  </si>
  <si>
    <t>Mayank</t>
  </si>
  <si>
    <t>Aparna</t>
  </si>
  <si>
    <t>Bundela</t>
  </si>
  <si>
    <t>Anjani</t>
  </si>
  <si>
    <t>Ganguly</t>
  </si>
  <si>
    <t>Arun</t>
  </si>
  <si>
    <t>Sasidharan</t>
  </si>
  <si>
    <t>RASHI</t>
  </si>
  <si>
    <t>AMBALAL</t>
  </si>
  <si>
    <t>Parul</t>
  </si>
  <si>
    <t>Suri</t>
  </si>
  <si>
    <t>Amol</t>
  </si>
  <si>
    <t>Suresh</t>
  </si>
  <si>
    <t>HARRISH</t>
  </si>
  <si>
    <t>BABBAR</t>
  </si>
  <si>
    <t>VIPLOVE</t>
  </si>
  <si>
    <t>GUPTE</t>
  </si>
  <si>
    <t>GAURANG</t>
  </si>
  <si>
    <t>DILIPBHAI</t>
  </si>
  <si>
    <t>KOHLI</t>
  </si>
  <si>
    <t>KUKRETI</t>
  </si>
  <si>
    <t>RUHI</t>
  </si>
  <si>
    <t>SALUJA</t>
  </si>
  <si>
    <t>Monthly Salary</t>
  </si>
  <si>
    <t>MNG1001</t>
  </si>
  <si>
    <t>MNG1002</t>
  </si>
  <si>
    <t>MNG1003</t>
  </si>
  <si>
    <t>MNG1004</t>
  </si>
  <si>
    <t>MNG1005</t>
  </si>
  <si>
    <t>MNG1006</t>
  </si>
  <si>
    <t>MNG1007</t>
  </si>
  <si>
    <t>MNG1008</t>
  </si>
  <si>
    <t>MNG1009</t>
  </si>
  <si>
    <t>MNG1010</t>
  </si>
  <si>
    <t>MNG1011</t>
  </si>
  <si>
    <t>MNG1012</t>
  </si>
  <si>
    <t>MNG1013</t>
  </si>
  <si>
    <t>MNG1014</t>
  </si>
  <si>
    <t>MNG1015</t>
  </si>
  <si>
    <t>MNG1016</t>
  </si>
  <si>
    <t>MNG1017</t>
  </si>
  <si>
    <t>MNG1018</t>
  </si>
  <si>
    <t>MNG1019</t>
  </si>
  <si>
    <t>MNG1020</t>
  </si>
  <si>
    <t>Generate Email IDs for all on the basis of the following exampls</t>
  </si>
  <si>
    <t>Using the emailid generated write a function to extract domain from the mail id</t>
  </si>
  <si>
    <t>if mail id is sanjay.mathur@hr.abc.in the result should be "hr.abc.in"</t>
  </si>
  <si>
    <t>Domain</t>
  </si>
  <si>
    <t>Generate official name for employees</t>
  </si>
  <si>
    <t>if name is Sanjay Mathur then official is M.Sanjay</t>
  </si>
  <si>
    <t>Official Name</t>
  </si>
  <si>
    <t>Position of "e" in First Name</t>
  </si>
  <si>
    <t>Position of "e" in Last Name</t>
  </si>
  <si>
    <t>"e" in both" Y/N</t>
  </si>
  <si>
    <t>Locate the position of the letter "e" in both First Name and Last Name. Combine with IF to check if "e" exists in both names. Ignore case</t>
  </si>
  <si>
    <t>S/No.</t>
  </si>
  <si>
    <t>Find Year of Joining from all DoJ using TEXT</t>
  </si>
  <si>
    <t>Year of Joining</t>
  </si>
  <si>
    <t>Month of Joining</t>
  </si>
  <si>
    <t>Enter Employee Code</t>
  </si>
  <si>
    <t>Employee Complete Name</t>
  </si>
  <si>
    <t>Email ID</t>
  </si>
  <si>
    <t>Number of characters in Full Name Excluding Space</t>
  </si>
  <si>
    <t>Full Name</t>
  </si>
  <si>
    <t>Find Month of Joining from all DoJ using TEXT</t>
  </si>
  <si>
    <t>Create  5 dorpdowns for  : First Name : Full Name : Department : Date of Joining : Monthly Salary</t>
  </si>
  <si>
    <t>Enter Your Name</t>
  </si>
  <si>
    <t>Enter Your Roll Number(Only Digits: example 012)</t>
  </si>
  <si>
    <t>Batch(BA/BFSI/SCM/HRM/ENTP/CORE)</t>
  </si>
  <si>
    <t>Nikhil kumar</t>
  </si>
  <si>
    <t xml:space="preserve">BA </t>
  </si>
  <si>
    <t>NIKTEC00691</t>
  </si>
  <si>
    <t>NIKDIG01148</t>
  </si>
  <si>
    <t>FULL NAME</t>
  </si>
  <si>
    <t>DEPARMENT</t>
  </si>
  <si>
    <t>DATE OF JOINING</t>
  </si>
  <si>
    <t>MONTHLY SALARY</t>
  </si>
  <si>
    <t>NIKPRO00740</t>
  </si>
  <si>
    <t>NIKBRA01459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</si>
</sst>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&quot;₹&quot;\ * #,##0.00_ ;_ &quot;₹&quot;\ * \-#,##0.00_ ;_ &quot;₹&quot;\ * &quot;-&quot;??_ ;_ @_ "/>
    <numFmt numFmtId="165" formatCode="[$-409]d\-mmm\-yyyy;@"/>
    <numFmt numFmtId="166" formatCode="[$₹-4009]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4" fontId="0" fillId="0" borderId="0" xfId="0" applyNumberFormat="1"/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1" xfId="0" applyFill="1" applyBorder="1"/>
    <xf numFmtId="0" fontId="1" fillId="2" borderId="1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0" fillId="3" borderId="1" xfId="0" applyFill="1" applyBorder="1"/>
    <xf numFmtId="0" fontId="0" fillId="0" borderId="1" xfId="0" applyBorder="1" applyProtection="1"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3" borderId="1" xfId="0" applyNumberFormat="1" applyFill="1" applyBorder="1"/>
    <xf numFmtId="166" fontId="0" fillId="3" borderId="1" xfId="0" applyNumberFormat="1" applyFill="1" applyBorder="1"/>
    <xf numFmtId="166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3" xfId="0" applyBorder="1"/>
  </cellXfs>
  <cellStyles count="1">
    <cellStyle name="Normal" xfId="0" builtinId="0"/>
  </cellStyles>
  <dxfs count="1"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8CD7-242D-475A-8AE6-BC58CDA0D317}">
  <sheetPr codeName="Sheet2"/>
  <dimension ref="A1:C21"/>
  <sheetViews>
    <sheetView topLeftCell="A3" zoomScale="145" zoomScaleNormal="145" workbookViewId="0">
      <selection activeCell="C9" sqref="C9"/>
    </sheetView>
  </sheetViews>
  <sheetFormatPr defaultColWidth="8.85546875" defaultRowHeight="15" x14ac:dyDescent="0.25"/>
  <cols>
    <col min="1" max="1" width="7.42578125" style="9" customWidth="1"/>
    <col min="2" max="2" width="113.7109375" style="10" bestFit="1" customWidth="1"/>
    <col min="3" max="3" width="15.85546875" style="11" customWidth="1"/>
    <col min="4" max="4" width="24.42578125" style="10" customWidth="1"/>
    <col min="5" max="5" width="27.42578125" style="10" customWidth="1"/>
    <col min="6" max="6" width="8.85546875" style="10"/>
    <col min="7" max="7" width="14.7109375" style="10" customWidth="1"/>
    <col min="8" max="16384" width="8.85546875" style="10"/>
  </cols>
  <sheetData>
    <row r="1" spans="1:2" x14ac:dyDescent="0.25">
      <c r="B1" s="16" t="s">
        <v>1574</v>
      </c>
    </row>
    <row r="2" spans="1:2" x14ac:dyDescent="0.25">
      <c r="B2" s="17" t="s">
        <v>1577</v>
      </c>
    </row>
    <row r="3" spans="1:2" x14ac:dyDescent="0.25">
      <c r="B3" s="16" t="s">
        <v>1576</v>
      </c>
    </row>
    <row r="4" spans="1:2" x14ac:dyDescent="0.25">
      <c r="B4" s="17" t="s">
        <v>1578</v>
      </c>
    </row>
    <row r="5" spans="1:2" x14ac:dyDescent="0.25">
      <c r="B5" s="16" t="s">
        <v>1575</v>
      </c>
    </row>
    <row r="6" spans="1:2" x14ac:dyDescent="0.25">
      <c r="B6" s="17">
        <v>21</v>
      </c>
    </row>
    <row r="8" spans="1:2" x14ac:dyDescent="0.25">
      <c r="B8" s="19"/>
    </row>
    <row r="10" spans="1:2" x14ac:dyDescent="0.25">
      <c r="A10" s="29">
        <v>1</v>
      </c>
      <c r="B10" s="18" t="s">
        <v>8</v>
      </c>
    </row>
    <row r="11" spans="1:2" x14ac:dyDescent="0.25">
      <c r="A11" s="29"/>
      <c r="B11" s="18" t="str">
        <f>"''"&amp;UPPER(LEFT(B2,3))&amp;"''"&amp; "    followed first "&amp;MOD(B6,4)+2&amp; "  characters of Department in Uppercase followied by S/No in "&amp;MOD(B6,5)+4&amp;" digits. Eg. "&amp;UPPER(LEFT(B2,3))&amp;"HR00001"</f>
        <v>''NIK''    followed first 3  characters of Department in Uppercase followied by S/No in 5 digits. Eg. NIKHR00001</v>
      </c>
    </row>
    <row r="12" spans="1:2" x14ac:dyDescent="0.25">
      <c r="A12" s="29">
        <v>2</v>
      </c>
      <c r="B12" s="18" t="s">
        <v>1552</v>
      </c>
    </row>
    <row r="13" spans="1:2" x14ac:dyDescent="0.25">
      <c r="A13" s="29"/>
      <c r="B13" s="18" t="str">
        <f>"if name is Sanjay Mathur and works in HR &amp; ADMIN then his mail id shall be ''sanjay.mathur@hr."&amp;LOWER(RIGHT(B2,3))&amp;"."&amp;LOWER(B4)&amp;"''"</f>
        <v>if name is Sanjay Mathur and works in HR &amp; ADMIN then his mail id shall be ''sanjay.mathur@hr.mar.ba ''</v>
      </c>
    </row>
    <row r="14" spans="1:2" x14ac:dyDescent="0.25">
      <c r="A14" s="29">
        <v>3</v>
      </c>
      <c r="B14" s="18" t="s">
        <v>1553</v>
      </c>
    </row>
    <row r="15" spans="1:2" x14ac:dyDescent="0.25">
      <c r="A15" s="29"/>
      <c r="B15" s="18" t="s">
        <v>1554</v>
      </c>
    </row>
    <row r="16" spans="1:2" x14ac:dyDescent="0.25">
      <c r="A16" s="29">
        <v>4</v>
      </c>
      <c r="B16" s="18" t="s">
        <v>1556</v>
      </c>
    </row>
    <row r="17" spans="1:2" x14ac:dyDescent="0.25">
      <c r="A17" s="29"/>
      <c r="B17" s="18" t="s">
        <v>1557</v>
      </c>
    </row>
    <row r="18" spans="1:2" x14ac:dyDescent="0.25">
      <c r="A18" s="20">
        <v>5</v>
      </c>
      <c r="B18" s="18" t="s">
        <v>1562</v>
      </c>
    </row>
    <row r="19" spans="1:2" x14ac:dyDescent="0.25">
      <c r="A19" s="20">
        <v>6</v>
      </c>
      <c r="B19" s="18" t="str">
        <f xml:space="preserve"> "Calculate the number of characters in each name(Space not to be counted) and add the number "&amp;MOD(B6,16)+10&amp;" to it"</f>
        <v>Calculate the number of characters in each name(Space not to be counted) and add the number 15 to it</v>
      </c>
    </row>
    <row r="20" spans="1:2" x14ac:dyDescent="0.25">
      <c r="A20" s="6">
        <v>7</v>
      </c>
      <c r="B20" s="18" t="s">
        <v>1564</v>
      </c>
    </row>
    <row r="21" spans="1:2" x14ac:dyDescent="0.25">
      <c r="A21" s="6">
        <v>8</v>
      </c>
      <c r="B21" s="18" t="s">
        <v>1572</v>
      </c>
    </row>
  </sheetData>
  <sheetProtection algorithmName="SHA-512" hashValue="F1Wy0QFagoRnv46ThZ5UYxdtO4nJ+EJLARxikrjaVIwVsnWt4ImEes8dCHyKZDuSr7JHG+kNUtUvicFObmSeGg==" saltValue="wK/BurKXYZ4WXNpZ3nsbig==" spinCount="100000" sheet="1" selectLockedCells="1"/>
  <mergeCells count="4">
    <mergeCell ref="A10:A11"/>
    <mergeCell ref="A12:A13"/>
    <mergeCell ref="A14:A15"/>
    <mergeCell ref="A16:A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1490"/>
  <sheetViews>
    <sheetView workbookViewId="0">
      <selection activeCell="B2" sqref="B2"/>
    </sheetView>
  </sheetViews>
  <sheetFormatPr defaultColWidth="15.28515625" defaultRowHeight="15" x14ac:dyDescent="0.25"/>
  <cols>
    <col min="1" max="1" width="5.85546875" style="1" bestFit="1" customWidth="1"/>
    <col min="2" max="2" width="12.85546875" style="1" bestFit="1" customWidth="1"/>
    <col min="3" max="3" width="16.85546875" bestFit="1" customWidth="1"/>
    <col min="4" max="4" width="17.85546875" bestFit="1" customWidth="1"/>
    <col min="5" max="5" width="17.85546875" customWidth="1"/>
    <col min="6" max="6" width="24" bestFit="1" customWidth="1"/>
    <col min="7" max="7" width="13.5703125" style="23" bestFit="1" customWidth="1"/>
    <col min="8" max="8" width="14.7109375" style="3" bestFit="1" customWidth="1"/>
    <col min="9" max="9" width="36.85546875" bestFit="1" customWidth="1"/>
    <col min="10" max="10" width="10.7109375" style="1" bestFit="1" customWidth="1"/>
    <col min="11" max="11" width="17.28515625" style="1" bestFit="1" customWidth="1"/>
    <col min="12" max="12" width="10.85546875" bestFit="1" customWidth="1"/>
    <col min="13" max="13" width="13.28515625" bestFit="1" customWidth="1"/>
    <col min="14" max="14" width="26.85546875" style="1" bestFit="1" customWidth="1"/>
    <col min="15" max="15" width="26.42578125" style="1" bestFit="1" customWidth="1"/>
    <col min="16" max="16" width="15.85546875" style="1" bestFit="1" customWidth="1"/>
    <col min="17" max="17" width="48.7109375" style="1" bestFit="1" customWidth="1"/>
    <col min="18" max="18" width="14.140625" style="1" bestFit="1" customWidth="1"/>
    <col min="19" max="19" width="16.140625" style="1" bestFit="1" customWidth="1"/>
  </cols>
  <sheetData>
    <row r="1" spans="1:19" s="2" customFormat="1" x14ac:dyDescent="0.25">
      <c r="A1" s="4" t="s">
        <v>1563</v>
      </c>
      <c r="B1" s="4" t="s">
        <v>0</v>
      </c>
      <c r="C1" s="4" t="s">
        <v>1</v>
      </c>
      <c r="D1" s="4" t="s">
        <v>2</v>
      </c>
      <c r="E1" s="4" t="s">
        <v>1571</v>
      </c>
      <c r="F1" s="4" t="s">
        <v>3</v>
      </c>
      <c r="G1" s="21" t="s">
        <v>4</v>
      </c>
      <c r="H1" s="5" t="s">
        <v>1531</v>
      </c>
      <c r="I1" s="4" t="s">
        <v>5</v>
      </c>
      <c r="J1" s="4" t="s">
        <v>6</v>
      </c>
      <c r="K1" s="4" t="s">
        <v>7</v>
      </c>
      <c r="L1" s="4" t="s">
        <v>1555</v>
      </c>
      <c r="M1" s="4" t="s">
        <v>1558</v>
      </c>
      <c r="N1" s="4" t="s">
        <v>1559</v>
      </c>
      <c r="O1" s="4" t="s">
        <v>1560</v>
      </c>
      <c r="P1" s="4" t="s">
        <v>1561</v>
      </c>
      <c r="Q1" s="4" t="s">
        <v>1570</v>
      </c>
      <c r="R1" s="4" t="s">
        <v>1565</v>
      </c>
      <c r="S1" s="4" t="s">
        <v>1566</v>
      </c>
    </row>
    <row r="2" spans="1:19" x14ac:dyDescent="0.25">
      <c r="A2" s="6">
        <v>8</v>
      </c>
      <c r="B2" s="6" t="str">
        <f t="shared" ref="B2:B65" si="0">_xlfn.TEXTJOIN("",TRUE,"NIK",UPPER(LEFT(SUBSTITUTE(SUBSTITUTE(F2," ",""),"&amp;",""),3)),TEXT(A2,"00000"))</f>
        <v>NIKADM00008</v>
      </c>
      <c r="C2" s="7" t="s">
        <v>60</v>
      </c>
      <c r="D2" s="7" t="s">
        <v>61</v>
      </c>
      <c r="E2" s="7" t="str">
        <f t="shared" ref="E2:E65" si="1">_xlfn.TEXTJOIN(" ",TRUE,C2,D2)</f>
        <v>AJAY MEHTA</v>
      </c>
      <c r="F2" s="7" t="s">
        <v>9</v>
      </c>
      <c r="G2" s="22">
        <v>39022</v>
      </c>
      <c r="H2" s="8">
        <v>51685</v>
      </c>
      <c r="I2" s="7" t="str">
        <f t="shared" ref="I2:I65" si="2">LOWER(C2&amp;"."&amp;D2&amp;"@"&amp;LEFT(SUBSTITUTE(F2," ",""),2))&amp;LOWER("."&amp;LEFT(D2,2))&amp;LOWER(RIGHT(D2,1))&amp;".ba"</f>
        <v>ajay.mehta@ad.mea.ba</v>
      </c>
      <c r="J2" s="6" t="s">
        <v>1551</v>
      </c>
      <c r="K2" s="6">
        <v>73</v>
      </c>
      <c r="L2" s="7" t="str">
        <f t="shared" ref="L2:L65" si="3">RIGHT(I2,LEN(I2)-FIND("@",I2))</f>
        <v>ad.mea.ba</v>
      </c>
      <c r="M2" s="7" t="str">
        <f t="shared" ref="M2:M65" si="4">UPPER(LEFT(D2,1))&amp;"."&amp;PROPER(C2)</f>
        <v>M.Ajay</v>
      </c>
      <c r="N2" s="6">
        <f t="shared" ref="N2:N65" si="5">IFERROR(SEARCH("e",C2),0)</f>
        <v>0</v>
      </c>
      <c r="O2" s="6">
        <f t="shared" ref="O2:O65" si="6">IFERROR(SEARCH("e",D2),0)</f>
        <v>2</v>
      </c>
      <c r="P2" s="6" t="str">
        <f t="shared" ref="P2:P65" si="7">IF(AND(N2&gt;=1,O2&gt;=1),"Y","N")</f>
        <v>N</v>
      </c>
      <c r="Q2" s="6">
        <f t="shared" ref="Q2:Q65" si="8">LEN(SUBSTITUTE(E2, " ", ""))</f>
        <v>9</v>
      </c>
      <c r="R2" s="6" t="str">
        <f t="shared" ref="R2:R65" si="9">TEXT(G2,"YYYY")</f>
        <v>2006</v>
      </c>
      <c r="S2" s="6" t="str">
        <f t="shared" ref="S2:S65" si="10">TEXT(G2,"MMM")</f>
        <v>Nov</v>
      </c>
    </row>
    <row r="3" spans="1:19" x14ac:dyDescent="0.25">
      <c r="A3" s="6">
        <v>25</v>
      </c>
      <c r="B3" s="6" t="str">
        <f t="shared" si="0"/>
        <v>NIKADM00025</v>
      </c>
      <c r="C3" s="7" t="s">
        <v>87</v>
      </c>
      <c r="D3" s="7" t="s">
        <v>88</v>
      </c>
      <c r="E3" s="7" t="str">
        <f t="shared" si="1"/>
        <v>ZUNAID DOCTOR</v>
      </c>
      <c r="F3" s="7" t="s">
        <v>9</v>
      </c>
      <c r="G3" s="22">
        <v>39345</v>
      </c>
      <c r="H3" s="8">
        <v>61081</v>
      </c>
      <c r="I3" s="7" t="str">
        <f t="shared" si="2"/>
        <v>zunaid.doctor@ad.dor.ba</v>
      </c>
      <c r="J3" s="6" t="s">
        <v>1548</v>
      </c>
      <c r="K3" s="6">
        <v>45</v>
      </c>
      <c r="L3" s="7" t="str">
        <f t="shared" si="3"/>
        <v>ad.dor.ba</v>
      </c>
      <c r="M3" s="7" t="str">
        <f t="shared" si="4"/>
        <v>D.Zunaid</v>
      </c>
      <c r="N3" s="6">
        <f t="shared" si="5"/>
        <v>0</v>
      </c>
      <c r="O3" s="6">
        <f t="shared" si="6"/>
        <v>0</v>
      </c>
      <c r="P3" s="6" t="str">
        <f t="shared" si="7"/>
        <v>N</v>
      </c>
      <c r="Q3" s="6">
        <f t="shared" si="8"/>
        <v>12</v>
      </c>
      <c r="R3" s="6" t="str">
        <f t="shared" si="9"/>
        <v>2007</v>
      </c>
      <c r="S3" s="6" t="str">
        <f t="shared" si="10"/>
        <v>Sep</v>
      </c>
    </row>
    <row r="4" spans="1:19" x14ac:dyDescent="0.25">
      <c r="A4" s="6">
        <v>50</v>
      </c>
      <c r="B4" s="6" t="str">
        <f t="shared" si="0"/>
        <v>NIKADM00050</v>
      </c>
      <c r="C4" s="7" t="s">
        <v>125</v>
      </c>
      <c r="D4" s="7" t="s">
        <v>68</v>
      </c>
      <c r="E4" s="7" t="str">
        <f t="shared" si="1"/>
        <v>VIKAS KUMAR</v>
      </c>
      <c r="F4" s="7" t="s">
        <v>9</v>
      </c>
      <c r="G4" s="22">
        <v>40693</v>
      </c>
      <c r="H4" s="8">
        <v>55012</v>
      </c>
      <c r="I4" s="7" t="str">
        <f t="shared" si="2"/>
        <v>vikas.kumar@ad.kur.ba</v>
      </c>
      <c r="J4" s="6" t="s">
        <v>1536</v>
      </c>
      <c r="K4" s="6">
        <v>40</v>
      </c>
      <c r="L4" s="7" t="str">
        <f t="shared" si="3"/>
        <v>ad.kur.ba</v>
      </c>
      <c r="M4" s="7" t="str">
        <f t="shared" si="4"/>
        <v>K.Vikas</v>
      </c>
      <c r="N4" s="6">
        <f t="shared" si="5"/>
        <v>0</v>
      </c>
      <c r="O4" s="6">
        <f t="shared" si="6"/>
        <v>0</v>
      </c>
      <c r="P4" s="6" t="str">
        <f t="shared" si="7"/>
        <v>N</v>
      </c>
      <c r="Q4" s="6">
        <f t="shared" si="8"/>
        <v>10</v>
      </c>
      <c r="R4" s="6" t="str">
        <f t="shared" si="9"/>
        <v>2011</v>
      </c>
      <c r="S4" s="6" t="str">
        <f t="shared" si="10"/>
        <v>May</v>
      </c>
    </row>
    <row r="5" spans="1:19" x14ac:dyDescent="0.25">
      <c r="A5" s="6">
        <v>51</v>
      </c>
      <c r="B5" s="6" t="str">
        <f t="shared" si="0"/>
        <v>NIKADM00051</v>
      </c>
      <c r="C5" s="7" t="s">
        <v>23</v>
      </c>
      <c r="D5" s="7" t="s">
        <v>126</v>
      </c>
      <c r="E5" s="7" t="str">
        <f t="shared" si="1"/>
        <v>ROHIT MEHROTRA</v>
      </c>
      <c r="F5" s="7" t="s">
        <v>9</v>
      </c>
      <c r="G5" s="22">
        <v>40695</v>
      </c>
      <c r="H5" s="8">
        <v>30448</v>
      </c>
      <c r="I5" s="7" t="str">
        <f t="shared" si="2"/>
        <v>rohit.mehrotra@ad.mea.ba</v>
      </c>
      <c r="J5" s="6" t="s">
        <v>1544</v>
      </c>
      <c r="K5" s="6">
        <v>51</v>
      </c>
      <c r="L5" s="7" t="str">
        <f t="shared" si="3"/>
        <v>ad.mea.ba</v>
      </c>
      <c r="M5" s="7" t="str">
        <f t="shared" si="4"/>
        <v>M.Rohit</v>
      </c>
      <c r="N5" s="6">
        <f t="shared" si="5"/>
        <v>0</v>
      </c>
      <c r="O5" s="6">
        <f t="shared" si="6"/>
        <v>2</v>
      </c>
      <c r="P5" s="6" t="str">
        <f t="shared" si="7"/>
        <v>N</v>
      </c>
      <c r="Q5" s="6">
        <f t="shared" si="8"/>
        <v>13</v>
      </c>
      <c r="R5" s="6" t="str">
        <f t="shared" si="9"/>
        <v>2011</v>
      </c>
      <c r="S5" s="6" t="str">
        <f t="shared" si="10"/>
        <v>Jun</v>
      </c>
    </row>
    <row r="6" spans="1:19" x14ac:dyDescent="0.25">
      <c r="A6" s="6">
        <v>54</v>
      </c>
      <c r="B6" s="6" t="str">
        <f t="shared" si="0"/>
        <v>NIKADM00054</v>
      </c>
      <c r="C6" s="7" t="s">
        <v>18</v>
      </c>
      <c r="D6" s="7" t="s">
        <v>55</v>
      </c>
      <c r="E6" s="7" t="str">
        <f t="shared" si="1"/>
        <v>MOHIT SHARMA</v>
      </c>
      <c r="F6" s="7" t="s">
        <v>9</v>
      </c>
      <c r="G6" s="22">
        <v>40743</v>
      </c>
      <c r="H6" s="8">
        <v>38457</v>
      </c>
      <c r="I6" s="7" t="str">
        <f t="shared" si="2"/>
        <v>mohit.sharma@ad.sha.ba</v>
      </c>
      <c r="J6" s="6" t="s">
        <v>1539</v>
      </c>
      <c r="K6" s="6">
        <v>79</v>
      </c>
      <c r="L6" s="7" t="str">
        <f t="shared" si="3"/>
        <v>ad.sha.ba</v>
      </c>
      <c r="M6" s="7" t="str">
        <f t="shared" si="4"/>
        <v>S.Mohit</v>
      </c>
      <c r="N6" s="6">
        <f t="shared" si="5"/>
        <v>0</v>
      </c>
      <c r="O6" s="6">
        <f t="shared" si="6"/>
        <v>0</v>
      </c>
      <c r="P6" s="6" t="str">
        <f t="shared" si="7"/>
        <v>N</v>
      </c>
      <c r="Q6" s="6">
        <f t="shared" si="8"/>
        <v>11</v>
      </c>
      <c r="R6" s="6" t="str">
        <f t="shared" si="9"/>
        <v>2011</v>
      </c>
      <c r="S6" s="6" t="str">
        <f t="shared" si="10"/>
        <v>Jul</v>
      </c>
    </row>
    <row r="7" spans="1:19" x14ac:dyDescent="0.25">
      <c r="A7" s="6">
        <v>56</v>
      </c>
      <c r="B7" s="6" t="str">
        <f t="shared" si="0"/>
        <v>NIKADM00056</v>
      </c>
      <c r="C7" s="7" t="s">
        <v>132</v>
      </c>
      <c r="D7" s="7" t="s">
        <v>133</v>
      </c>
      <c r="E7" s="7" t="str">
        <f t="shared" si="1"/>
        <v>DHIRENDRA MOHAN</v>
      </c>
      <c r="F7" s="7" t="s">
        <v>9</v>
      </c>
      <c r="G7" s="22">
        <v>40915</v>
      </c>
      <c r="H7" s="8">
        <v>79711</v>
      </c>
      <c r="I7" s="7" t="str">
        <f t="shared" si="2"/>
        <v>dhirendra.mohan@ad.mon.ba</v>
      </c>
      <c r="J7" s="6" t="s">
        <v>1535</v>
      </c>
      <c r="K7" s="6">
        <v>67</v>
      </c>
      <c r="L7" s="7" t="str">
        <f t="shared" si="3"/>
        <v>ad.mon.ba</v>
      </c>
      <c r="M7" s="7" t="str">
        <f t="shared" si="4"/>
        <v>M.Dhirendra</v>
      </c>
      <c r="N7" s="6">
        <f t="shared" si="5"/>
        <v>5</v>
      </c>
      <c r="O7" s="6">
        <f t="shared" si="6"/>
        <v>0</v>
      </c>
      <c r="P7" s="6" t="str">
        <f t="shared" si="7"/>
        <v>N</v>
      </c>
      <c r="Q7" s="6">
        <f t="shared" si="8"/>
        <v>14</v>
      </c>
      <c r="R7" s="6" t="str">
        <f t="shared" si="9"/>
        <v>2012</v>
      </c>
      <c r="S7" s="6" t="str">
        <f t="shared" si="10"/>
        <v>Jan</v>
      </c>
    </row>
    <row r="8" spans="1:19" x14ac:dyDescent="0.25">
      <c r="A8" s="6">
        <v>72</v>
      </c>
      <c r="B8" s="6" t="str">
        <f t="shared" si="0"/>
        <v>NIKADM00072</v>
      </c>
      <c r="C8" s="7" t="s">
        <v>143</v>
      </c>
      <c r="D8" s="7" t="s">
        <v>154</v>
      </c>
      <c r="E8" s="7" t="str">
        <f t="shared" si="1"/>
        <v>NITIN BHARDWAJ</v>
      </c>
      <c r="F8" s="7" t="s">
        <v>9</v>
      </c>
      <c r="G8" s="22">
        <v>41559</v>
      </c>
      <c r="H8" s="8">
        <v>29227</v>
      </c>
      <c r="I8" s="7" t="str">
        <f t="shared" si="2"/>
        <v>nitin.bhardwaj@ad.bhj.ba</v>
      </c>
      <c r="J8" s="6" t="s">
        <v>1533</v>
      </c>
      <c r="K8" s="6">
        <v>42</v>
      </c>
      <c r="L8" s="7" t="str">
        <f t="shared" si="3"/>
        <v>ad.bhj.ba</v>
      </c>
      <c r="M8" s="7" t="str">
        <f t="shared" si="4"/>
        <v>B.Nitin</v>
      </c>
      <c r="N8" s="6">
        <f t="shared" si="5"/>
        <v>0</v>
      </c>
      <c r="O8" s="6">
        <f t="shared" si="6"/>
        <v>0</v>
      </c>
      <c r="P8" s="6" t="str">
        <f t="shared" si="7"/>
        <v>N</v>
      </c>
      <c r="Q8" s="6">
        <f t="shared" si="8"/>
        <v>13</v>
      </c>
      <c r="R8" s="6" t="str">
        <f t="shared" si="9"/>
        <v>2013</v>
      </c>
      <c r="S8" s="6" t="str">
        <f t="shared" si="10"/>
        <v>Oct</v>
      </c>
    </row>
    <row r="9" spans="1:19" x14ac:dyDescent="0.25">
      <c r="A9" s="6">
        <v>96</v>
      </c>
      <c r="B9" s="6" t="str">
        <f t="shared" si="0"/>
        <v>NIKADM00096</v>
      </c>
      <c r="C9" s="7" t="s">
        <v>186</v>
      </c>
      <c r="D9" s="7" t="s">
        <v>187</v>
      </c>
      <c r="E9" s="7" t="str">
        <f t="shared" si="1"/>
        <v>SHRIPAD ANAND</v>
      </c>
      <c r="F9" s="7" t="s">
        <v>9</v>
      </c>
      <c r="G9" s="22">
        <v>42296</v>
      </c>
      <c r="H9" s="8">
        <v>104470</v>
      </c>
      <c r="I9" s="7" t="str">
        <f t="shared" si="2"/>
        <v>shripad.anand@ad.and.ba</v>
      </c>
      <c r="J9" s="6" t="s">
        <v>1533</v>
      </c>
      <c r="K9" s="6">
        <v>86</v>
      </c>
      <c r="L9" s="7" t="str">
        <f t="shared" si="3"/>
        <v>ad.and.ba</v>
      </c>
      <c r="M9" s="7" t="str">
        <f t="shared" si="4"/>
        <v>A.Shripad</v>
      </c>
      <c r="N9" s="6">
        <f t="shared" si="5"/>
        <v>0</v>
      </c>
      <c r="O9" s="6">
        <f t="shared" si="6"/>
        <v>0</v>
      </c>
      <c r="P9" s="6" t="str">
        <f t="shared" si="7"/>
        <v>N</v>
      </c>
      <c r="Q9" s="6">
        <f t="shared" si="8"/>
        <v>12</v>
      </c>
      <c r="R9" s="6" t="str">
        <f t="shared" si="9"/>
        <v>2015</v>
      </c>
      <c r="S9" s="6" t="str">
        <f t="shared" si="10"/>
        <v>Oct</v>
      </c>
    </row>
    <row r="10" spans="1:19" x14ac:dyDescent="0.25">
      <c r="A10" s="6">
        <v>112</v>
      </c>
      <c r="B10" s="6" t="str">
        <f t="shared" si="0"/>
        <v>NIKADM00112</v>
      </c>
      <c r="C10" s="7" t="s">
        <v>207</v>
      </c>
      <c r="D10" s="7" t="s">
        <v>208</v>
      </c>
      <c r="E10" s="7" t="str">
        <f t="shared" si="1"/>
        <v>ANKUSH KAPOOR</v>
      </c>
      <c r="F10" s="7" t="s">
        <v>9</v>
      </c>
      <c r="G10" s="22">
        <v>42502</v>
      </c>
      <c r="H10" s="8">
        <v>37289</v>
      </c>
      <c r="I10" s="7" t="str">
        <f t="shared" si="2"/>
        <v>ankush.kapoor@ad.kar.ba</v>
      </c>
      <c r="J10" s="6" t="s">
        <v>1544</v>
      </c>
      <c r="K10" s="6">
        <v>87</v>
      </c>
      <c r="L10" s="7" t="str">
        <f t="shared" si="3"/>
        <v>ad.kar.ba</v>
      </c>
      <c r="M10" s="7" t="str">
        <f t="shared" si="4"/>
        <v>K.Ankush</v>
      </c>
      <c r="N10" s="6">
        <f t="shared" si="5"/>
        <v>0</v>
      </c>
      <c r="O10" s="6">
        <f t="shared" si="6"/>
        <v>0</v>
      </c>
      <c r="P10" s="6" t="str">
        <f t="shared" si="7"/>
        <v>N</v>
      </c>
      <c r="Q10" s="6">
        <f t="shared" si="8"/>
        <v>12</v>
      </c>
      <c r="R10" s="6" t="str">
        <f t="shared" si="9"/>
        <v>2016</v>
      </c>
      <c r="S10" s="6" t="str">
        <f t="shared" si="10"/>
        <v>May</v>
      </c>
    </row>
    <row r="11" spans="1:19" x14ac:dyDescent="0.25">
      <c r="A11" s="6">
        <v>137</v>
      </c>
      <c r="B11" s="6" t="str">
        <f t="shared" si="0"/>
        <v>NIKADM00137</v>
      </c>
      <c r="C11" s="7" t="s">
        <v>65</v>
      </c>
      <c r="D11" s="7" t="s">
        <v>243</v>
      </c>
      <c r="E11" s="7" t="str">
        <f t="shared" si="1"/>
        <v>RAHUL AGARWAL</v>
      </c>
      <c r="F11" s="7" t="s">
        <v>9</v>
      </c>
      <c r="G11" s="22">
        <v>42713</v>
      </c>
      <c r="H11" s="8">
        <v>32082</v>
      </c>
      <c r="I11" s="7" t="str">
        <f t="shared" si="2"/>
        <v>rahul.agarwal@ad.agl.ba</v>
      </c>
      <c r="J11" s="6" t="s">
        <v>1532</v>
      </c>
      <c r="K11" s="6">
        <v>74</v>
      </c>
      <c r="L11" s="7" t="str">
        <f t="shared" si="3"/>
        <v>ad.agl.ba</v>
      </c>
      <c r="M11" s="7" t="str">
        <f t="shared" si="4"/>
        <v>A.Rahul</v>
      </c>
      <c r="N11" s="6">
        <f t="shared" si="5"/>
        <v>0</v>
      </c>
      <c r="O11" s="6">
        <f t="shared" si="6"/>
        <v>0</v>
      </c>
      <c r="P11" s="6" t="str">
        <f t="shared" si="7"/>
        <v>N</v>
      </c>
      <c r="Q11" s="6">
        <f t="shared" si="8"/>
        <v>12</v>
      </c>
      <c r="R11" s="6" t="str">
        <f t="shared" si="9"/>
        <v>2016</v>
      </c>
      <c r="S11" s="6" t="str">
        <f t="shared" si="10"/>
        <v>Dec</v>
      </c>
    </row>
    <row r="12" spans="1:19" x14ac:dyDescent="0.25">
      <c r="A12" s="6">
        <v>140</v>
      </c>
      <c r="B12" s="6" t="str">
        <f t="shared" si="0"/>
        <v>NIKADM00140</v>
      </c>
      <c r="C12" s="7" t="s">
        <v>248</v>
      </c>
      <c r="D12" s="7" t="s">
        <v>249</v>
      </c>
      <c r="E12" s="7" t="str">
        <f t="shared" si="1"/>
        <v>PRIYANKA N</v>
      </c>
      <c r="F12" s="7" t="s">
        <v>9</v>
      </c>
      <c r="G12" s="22">
        <v>42751</v>
      </c>
      <c r="H12" s="8">
        <v>78085</v>
      </c>
      <c r="I12" s="7" t="str">
        <f t="shared" si="2"/>
        <v>priyanka.n@ad.nn.ba</v>
      </c>
      <c r="J12" s="6" t="s">
        <v>1541</v>
      </c>
      <c r="K12" s="6">
        <v>79</v>
      </c>
      <c r="L12" s="7" t="str">
        <f t="shared" si="3"/>
        <v>ad.nn.ba</v>
      </c>
      <c r="M12" s="7" t="str">
        <f t="shared" si="4"/>
        <v>N.Priyanka</v>
      </c>
      <c r="N12" s="6">
        <f t="shared" si="5"/>
        <v>0</v>
      </c>
      <c r="O12" s="6">
        <f t="shared" si="6"/>
        <v>0</v>
      </c>
      <c r="P12" s="6" t="str">
        <f t="shared" si="7"/>
        <v>N</v>
      </c>
      <c r="Q12" s="6">
        <f t="shared" si="8"/>
        <v>9</v>
      </c>
      <c r="R12" s="6" t="str">
        <f t="shared" si="9"/>
        <v>2017</v>
      </c>
      <c r="S12" s="6" t="str">
        <f t="shared" si="10"/>
        <v>Jan</v>
      </c>
    </row>
    <row r="13" spans="1:19" x14ac:dyDescent="0.25">
      <c r="A13" s="6">
        <v>146</v>
      </c>
      <c r="B13" s="6" t="str">
        <f t="shared" si="0"/>
        <v>NIKADM00146</v>
      </c>
      <c r="C13" s="7" t="s">
        <v>255</v>
      </c>
      <c r="D13" s="7" t="s">
        <v>243</v>
      </c>
      <c r="E13" s="7" t="str">
        <f t="shared" si="1"/>
        <v>SHIVANI AGARWAL</v>
      </c>
      <c r="F13" s="7" t="s">
        <v>9</v>
      </c>
      <c r="G13" s="22">
        <v>42812</v>
      </c>
      <c r="H13" s="8">
        <v>83775</v>
      </c>
      <c r="I13" s="7" t="str">
        <f t="shared" si="2"/>
        <v>shivani.agarwal@ad.agl.ba</v>
      </c>
      <c r="J13" s="6" t="s">
        <v>1536</v>
      </c>
      <c r="K13" s="6">
        <v>65</v>
      </c>
      <c r="L13" s="7" t="str">
        <f t="shared" si="3"/>
        <v>ad.agl.ba</v>
      </c>
      <c r="M13" s="7" t="str">
        <f t="shared" si="4"/>
        <v>A.Shivani</v>
      </c>
      <c r="N13" s="6">
        <f t="shared" si="5"/>
        <v>0</v>
      </c>
      <c r="O13" s="6">
        <f t="shared" si="6"/>
        <v>0</v>
      </c>
      <c r="P13" s="6" t="str">
        <f t="shared" si="7"/>
        <v>N</v>
      </c>
      <c r="Q13" s="6">
        <f t="shared" si="8"/>
        <v>14</v>
      </c>
      <c r="R13" s="6" t="str">
        <f t="shared" si="9"/>
        <v>2017</v>
      </c>
      <c r="S13" s="6" t="str">
        <f t="shared" si="10"/>
        <v>Mar</v>
      </c>
    </row>
    <row r="14" spans="1:19" x14ac:dyDescent="0.25">
      <c r="A14" s="6">
        <v>160</v>
      </c>
      <c r="B14" s="6" t="str">
        <f t="shared" si="0"/>
        <v>NIKADM00160</v>
      </c>
      <c r="C14" s="7" t="s">
        <v>268</v>
      </c>
      <c r="D14" s="7" t="s">
        <v>269</v>
      </c>
      <c r="E14" s="7" t="str">
        <f t="shared" si="1"/>
        <v>JAYESHBHAI MERABHAI</v>
      </c>
      <c r="F14" s="7" t="s">
        <v>9</v>
      </c>
      <c r="G14" s="22">
        <v>43132</v>
      </c>
      <c r="H14" s="8">
        <v>85823</v>
      </c>
      <c r="I14" s="7" t="str">
        <f t="shared" si="2"/>
        <v>jayeshbhai.merabhai@ad.mei.ba</v>
      </c>
      <c r="J14" s="6" t="s">
        <v>1534</v>
      </c>
      <c r="K14" s="6">
        <v>71</v>
      </c>
      <c r="L14" s="7" t="str">
        <f t="shared" si="3"/>
        <v>ad.mei.ba</v>
      </c>
      <c r="M14" s="7" t="str">
        <f t="shared" si="4"/>
        <v>M.Jayeshbhai</v>
      </c>
      <c r="N14" s="6">
        <f t="shared" si="5"/>
        <v>4</v>
      </c>
      <c r="O14" s="6">
        <f t="shared" si="6"/>
        <v>2</v>
      </c>
      <c r="P14" s="6" t="str">
        <f t="shared" si="7"/>
        <v>Y</v>
      </c>
      <c r="Q14" s="6">
        <f t="shared" si="8"/>
        <v>18</v>
      </c>
      <c r="R14" s="6" t="str">
        <f t="shared" si="9"/>
        <v>2018</v>
      </c>
      <c r="S14" s="6" t="str">
        <f t="shared" si="10"/>
        <v>Feb</v>
      </c>
    </row>
    <row r="15" spans="1:19" x14ac:dyDescent="0.25">
      <c r="A15" s="6">
        <v>164</v>
      </c>
      <c r="B15" s="6" t="str">
        <f t="shared" si="0"/>
        <v>NIKADM00164</v>
      </c>
      <c r="C15" s="7" t="s">
        <v>274</v>
      </c>
      <c r="D15" s="7" t="s">
        <v>204</v>
      </c>
      <c r="E15" s="7" t="str">
        <f t="shared" si="1"/>
        <v>AMRUT SUBHASH</v>
      </c>
      <c r="F15" s="7" t="s">
        <v>9</v>
      </c>
      <c r="G15" s="22">
        <v>43160</v>
      </c>
      <c r="H15" s="8">
        <v>38916</v>
      </c>
      <c r="I15" s="7" t="str">
        <f t="shared" si="2"/>
        <v>amrut.subhash@ad.suh.ba</v>
      </c>
      <c r="J15" s="6" t="s">
        <v>1534</v>
      </c>
      <c r="K15" s="6">
        <v>83</v>
      </c>
      <c r="L15" s="7" t="str">
        <f t="shared" si="3"/>
        <v>ad.suh.ba</v>
      </c>
      <c r="M15" s="7" t="str">
        <f t="shared" si="4"/>
        <v>S.Amrut</v>
      </c>
      <c r="N15" s="6">
        <f t="shared" si="5"/>
        <v>0</v>
      </c>
      <c r="O15" s="6">
        <f t="shared" si="6"/>
        <v>0</v>
      </c>
      <c r="P15" s="6" t="str">
        <f t="shared" si="7"/>
        <v>N</v>
      </c>
      <c r="Q15" s="6">
        <f t="shared" si="8"/>
        <v>12</v>
      </c>
      <c r="R15" s="6" t="str">
        <f t="shared" si="9"/>
        <v>2018</v>
      </c>
      <c r="S15" s="6" t="str">
        <f t="shared" si="10"/>
        <v>Mar</v>
      </c>
    </row>
    <row r="16" spans="1:19" x14ac:dyDescent="0.25">
      <c r="A16" s="6">
        <v>166</v>
      </c>
      <c r="B16" s="6" t="str">
        <f t="shared" si="0"/>
        <v>NIKADM00166</v>
      </c>
      <c r="C16" s="7" t="s">
        <v>276</v>
      </c>
      <c r="D16" s="7" t="s">
        <v>277</v>
      </c>
      <c r="E16" s="7" t="str">
        <f t="shared" si="1"/>
        <v>SHASHIKANT DEEPAKRAO</v>
      </c>
      <c r="F16" s="7" t="s">
        <v>9</v>
      </c>
      <c r="G16" s="22">
        <v>43192</v>
      </c>
      <c r="H16" s="8">
        <v>30711</v>
      </c>
      <c r="I16" s="7" t="str">
        <f t="shared" si="2"/>
        <v>shashikant.deepakrao@ad.deo.ba</v>
      </c>
      <c r="J16" s="6" t="s">
        <v>1532</v>
      </c>
      <c r="K16" s="6">
        <v>54</v>
      </c>
      <c r="L16" s="7" t="str">
        <f t="shared" si="3"/>
        <v>ad.deo.ba</v>
      </c>
      <c r="M16" s="7" t="str">
        <f t="shared" si="4"/>
        <v>D.Shashikant</v>
      </c>
      <c r="N16" s="6">
        <f t="shared" si="5"/>
        <v>0</v>
      </c>
      <c r="O16" s="6">
        <f t="shared" si="6"/>
        <v>2</v>
      </c>
      <c r="P16" s="6" t="str">
        <f t="shared" si="7"/>
        <v>N</v>
      </c>
      <c r="Q16" s="6">
        <f t="shared" si="8"/>
        <v>19</v>
      </c>
      <c r="R16" s="6" t="str">
        <f t="shared" si="9"/>
        <v>2018</v>
      </c>
      <c r="S16" s="6" t="str">
        <f t="shared" si="10"/>
        <v>Apr</v>
      </c>
    </row>
    <row r="17" spans="1:19" x14ac:dyDescent="0.25">
      <c r="A17" s="6">
        <v>174</v>
      </c>
      <c r="B17" s="6" t="str">
        <f t="shared" si="0"/>
        <v>NIKADM00174</v>
      </c>
      <c r="C17" s="7" t="s">
        <v>173</v>
      </c>
      <c r="D17" s="7" t="s">
        <v>284</v>
      </c>
      <c r="E17" s="7" t="str">
        <f t="shared" si="1"/>
        <v>VIVEK PAUL</v>
      </c>
      <c r="F17" s="7" t="s">
        <v>9</v>
      </c>
      <c r="G17" s="22">
        <v>43360</v>
      </c>
      <c r="H17" s="8">
        <v>75366</v>
      </c>
      <c r="I17" s="7" t="str">
        <f t="shared" si="2"/>
        <v>vivek.paul@ad.pal.ba</v>
      </c>
      <c r="J17" s="6" t="s">
        <v>1534</v>
      </c>
      <c r="K17" s="6">
        <v>35</v>
      </c>
      <c r="L17" s="7" t="str">
        <f t="shared" si="3"/>
        <v>ad.pal.ba</v>
      </c>
      <c r="M17" s="7" t="str">
        <f t="shared" si="4"/>
        <v>P.Vivek</v>
      </c>
      <c r="N17" s="6">
        <f t="shared" si="5"/>
        <v>4</v>
      </c>
      <c r="O17" s="6">
        <f t="shared" si="6"/>
        <v>0</v>
      </c>
      <c r="P17" s="6" t="str">
        <f t="shared" si="7"/>
        <v>N</v>
      </c>
      <c r="Q17" s="6">
        <f t="shared" si="8"/>
        <v>9</v>
      </c>
      <c r="R17" s="6" t="str">
        <f t="shared" si="9"/>
        <v>2018</v>
      </c>
      <c r="S17" s="6" t="str">
        <f t="shared" si="10"/>
        <v>Sep</v>
      </c>
    </row>
    <row r="18" spans="1:19" x14ac:dyDescent="0.25">
      <c r="A18" s="6">
        <v>182</v>
      </c>
      <c r="B18" s="6" t="str">
        <f t="shared" si="0"/>
        <v>NIKADM00182</v>
      </c>
      <c r="C18" s="7" t="s">
        <v>293</v>
      </c>
      <c r="D18" s="7" t="s">
        <v>294</v>
      </c>
      <c r="E18" s="7" t="str">
        <f t="shared" si="1"/>
        <v>JAGDISH RAMESHWAR</v>
      </c>
      <c r="F18" s="7" t="s">
        <v>9</v>
      </c>
      <c r="G18" s="22">
        <v>43479</v>
      </c>
      <c r="H18" s="8">
        <v>94027</v>
      </c>
      <c r="I18" s="7" t="str">
        <f t="shared" si="2"/>
        <v>jagdish.rameshwar@ad.rar.ba</v>
      </c>
      <c r="J18" s="6" t="s">
        <v>1548</v>
      </c>
      <c r="K18" s="6">
        <v>65</v>
      </c>
      <c r="L18" s="7" t="str">
        <f t="shared" si="3"/>
        <v>ad.rar.ba</v>
      </c>
      <c r="M18" s="7" t="str">
        <f t="shared" si="4"/>
        <v>R.Jagdish</v>
      </c>
      <c r="N18" s="6">
        <f t="shared" si="5"/>
        <v>0</v>
      </c>
      <c r="O18" s="6">
        <f t="shared" si="6"/>
        <v>4</v>
      </c>
      <c r="P18" s="6" t="str">
        <f t="shared" si="7"/>
        <v>N</v>
      </c>
      <c r="Q18" s="6">
        <f t="shared" si="8"/>
        <v>16</v>
      </c>
      <c r="R18" s="6" t="str">
        <f t="shared" si="9"/>
        <v>2019</v>
      </c>
      <c r="S18" s="6" t="str">
        <f t="shared" si="10"/>
        <v>Jan</v>
      </c>
    </row>
    <row r="19" spans="1:19" x14ac:dyDescent="0.25">
      <c r="A19" s="6">
        <v>184</v>
      </c>
      <c r="B19" s="6" t="str">
        <f t="shared" si="0"/>
        <v>NIKADM00184</v>
      </c>
      <c r="C19" s="7" t="s">
        <v>297</v>
      </c>
      <c r="D19" s="7" t="s">
        <v>298</v>
      </c>
      <c r="E19" s="7" t="str">
        <f t="shared" si="1"/>
        <v>PULAK KHARE</v>
      </c>
      <c r="F19" s="7" t="s">
        <v>9</v>
      </c>
      <c r="G19" s="22">
        <v>43641</v>
      </c>
      <c r="H19" s="8">
        <v>108548</v>
      </c>
      <c r="I19" s="7" t="str">
        <f t="shared" si="2"/>
        <v>pulak.khare@ad.khe.ba</v>
      </c>
      <c r="J19" s="6" t="s">
        <v>1540</v>
      </c>
      <c r="K19" s="6">
        <v>60</v>
      </c>
      <c r="L19" s="7" t="str">
        <f t="shared" si="3"/>
        <v>ad.khe.ba</v>
      </c>
      <c r="M19" s="7" t="str">
        <f t="shared" si="4"/>
        <v>K.Pulak</v>
      </c>
      <c r="N19" s="6">
        <f t="shared" si="5"/>
        <v>0</v>
      </c>
      <c r="O19" s="6">
        <f t="shared" si="6"/>
        <v>5</v>
      </c>
      <c r="P19" s="6" t="str">
        <f t="shared" si="7"/>
        <v>N</v>
      </c>
      <c r="Q19" s="6">
        <f t="shared" si="8"/>
        <v>10</v>
      </c>
      <c r="R19" s="6" t="str">
        <f t="shared" si="9"/>
        <v>2019</v>
      </c>
      <c r="S19" s="6" t="str">
        <f t="shared" si="10"/>
        <v>Jun</v>
      </c>
    </row>
    <row r="20" spans="1:19" x14ac:dyDescent="0.25">
      <c r="A20" s="6">
        <v>201</v>
      </c>
      <c r="B20" s="6" t="str">
        <f t="shared" si="0"/>
        <v>NIKADM00201</v>
      </c>
      <c r="C20" s="7" t="s">
        <v>319</v>
      </c>
      <c r="D20" s="7" t="s">
        <v>143</v>
      </c>
      <c r="E20" s="7" t="str">
        <f t="shared" si="1"/>
        <v>KANCHI NITIN</v>
      </c>
      <c r="F20" s="7" t="s">
        <v>9</v>
      </c>
      <c r="G20" s="22">
        <v>44218</v>
      </c>
      <c r="H20" s="8">
        <v>84762</v>
      </c>
      <c r="I20" s="7" t="str">
        <f t="shared" si="2"/>
        <v>kanchi.nitin@ad.nin.ba</v>
      </c>
      <c r="J20" s="6" t="s">
        <v>1540</v>
      </c>
      <c r="K20" s="6">
        <v>44</v>
      </c>
      <c r="L20" s="7" t="str">
        <f t="shared" si="3"/>
        <v>ad.nin.ba</v>
      </c>
      <c r="M20" s="7" t="str">
        <f t="shared" si="4"/>
        <v>N.Kanchi</v>
      </c>
      <c r="N20" s="6">
        <f t="shared" si="5"/>
        <v>0</v>
      </c>
      <c r="O20" s="6">
        <f t="shared" si="6"/>
        <v>0</v>
      </c>
      <c r="P20" s="6" t="str">
        <f t="shared" si="7"/>
        <v>N</v>
      </c>
      <c r="Q20" s="6">
        <f t="shared" si="8"/>
        <v>11</v>
      </c>
      <c r="R20" s="6" t="str">
        <f t="shared" si="9"/>
        <v>2021</v>
      </c>
      <c r="S20" s="6" t="str">
        <f t="shared" si="10"/>
        <v>Jan</v>
      </c>
    </row>
    <row r="21" spans="1:19" x14ac:dyDescent="0.25">
      <c r="A21" s="6">
        <v>204</v>
      </c>
      <c r="B21" s="6" t="str">
        <f t="shared" si="0"/>
        <v>NIKADM00204</v>
      </c>
      <c r="C21" s="7" t="s">
        <v>322</v>
      </c>
      <c r="D21" s="7" t="s">
        <v>323</v>
      </c>
      <c r="E21" s="7" t="str">
        <f t="shared" si="1"/>
        <v>JAYESH KANAIYALAL</v>
      </c>
      <c r="F21" s="7" t="s">
        <v>9</v>
      </c>
      <c r="G21" s="22">
        <v>44256</v>
      </c>
      <c r="H21" s="8">
        <v>73866</v>
      </c>
      <c r="I21" s="7" t="str">
        <f t="shared" si="2"/>
        <v>jayesh.kanaiyalal@ad.kal.ba</v>
      </c>
      <c r="J21" s="6" t="s">
        <v>1547</v>
      </c>
      <c r="K21" s="6">
        <v>59</v>
      </c>
      <c r="L21" s="7" t="str">
        <f t="shared" si="3"/>
        <v>ad.kal.ba</v>
      </c>
      <c r="M21" s="7" t="str">
        <f t="shared" si="4"/>
        <v>K.Jayesh</v>
      </c>
      <c r="N21" s="6">
        <f t="shared" si="5"/>
        <v>4</v>
      </c>
      <c r="O21" s="6">
        <f t="shared" si="6"/>
        <v>0</v>
      </c>
      <c r="P21" s="6" t="str">
        <f t="shared" si="7"/>
        <v>N</v>
      </c>
      <c r="Q21" s="6">
        <f t="shared" si="8"/>
        <v>16</v>
      </c>
      <c r="R21" s="6" t="str">
        <f t="shared" si="9"/>
        <v>2021</v>
      </c>
      <c r="S21" s="6" t="str">
        <f t="shared" si="10"/>
        <v>Mar</v>
      </c>
    </row>
    <row r="22" spans="1:19" x14ac:dyDescent="0.25">
      <c r="A22" s="6">
        <v>220</v>
      </c>
      <c r="B22" s="6" t="str">
        <f t="shared" si="0"/>
        <v>NIKADM00220</v>
      </c>
      <c r="C22" s="7" t="s">
        <v>161</v>
      </c>
      <c r="D22" s="7" t="s">
        <v>343</v>
      </c>
      <c r="E22" s="7" t="str">
        <f t="shared" si="1"/>
        <v>ADARSH KATARA</v>
      </c>
      <c r="F22" s="7" t="s">
        <v>9</v>
      </c>
      <c r="G22" s="22">
        <v>44476</v>
      </c>
      <c r="H22" s="8">
        <v>55015</v>
      </c>
      <c r="I22" s="7" t="str">
        <f t="shared" si="2"/>
        <v>adarsh.katara@ad.kaa.ba</v>
      </c>
      <c r="J22" s="6" t="s">
        <v>1544</v>
      </c>
      <c r="K22" s="6">
        <v>49</v>
      </c>
      <c r="L22" s="7" t="str">
        <f t="shared" si="3"/>
        <v>ad.kaa.ba</v>
      </c>
      <c r="M22" s="7" t="str">
        <f t="shared" si="4"/>
        <v>K.Adarsh</v>
      </c>
      <c r="N22" s="6">
        <f t="shared" si="5"/>
        <v>0</v>
      </c>
      <c r="O22" s="6">
        <f t="shared" si="6"/>
        <v>0</v>
      </c>
      <c r="P22" s="6" t="str">
        <f t="shared" si="7"/>
        <v>N</v>
      </c>
      <c r="Q22" s="6">
        <f t="shared" si="8"/>
        <v>12</v>
      </c>
      <c r="R22" s="6" t="str">
        <f t="shared" si="9"/>
        <v>2021</v>
      </c>
      <c r="S22" s="6" t="str">
        <f t="shared" si="10"/>
        <v>Oct</v>
      </c>
    </row>
    <row r="23" spans="1:19" x14ac:dyDescent="0.25">
      <c r="A23" s="6">
        <v>222</v>
      </c>
      <c r="B23" s="6" t="str">
        <f t="shared" si="0"/>
        <v>NIKADM00222</v>
      </c>
      <c r="C23" s="7" t="s">
        <v>344</v>
      </c>
      <c r="D23" s="7" t="s">
        <v>70</v>
      </c>
      <c r="E23" s="7" t="str">
        <f t="shared" si="1"/>
        <v>NEETU SINGH</v>
      </c>
      <c r="F23" s="7" t="s">
        <v>9</v>
      </c>
      <c r="G23" s="22">
        <v>44501</v>
      </c>
      <c r="H23" s="8">
        <v>27738</v>
      </c>
      <c r="I23" s="7" t="str">
        <f t="shared" si="2"/>
        <v>neetu.singh@ad.sih.ba</v>
      </c>
      <c r="J23" s="6" t="s">
        <v>1532</v>
      </c>
      <c r="K23" s="6">
        <v>67</v>
      </c>
      <c r="L23" s="7" t="str">
        <f t="shared" si="3"/>
        <v>ad.sih.ba</v>
      </c>
      <c r="M23" s="7" t="str">
        <f t="shared" si="4"/>
        <v>S.Neetu</v>
      </c>
      <c r="N23" s="6">
        <f t="shared" si="5"/>
        <v>2</v>
      </c>
      <c r="O23" s="6">
        <f t="shared" si="6"/>
        <v>0</v>
      </c>
      <c r="P23" s="6" t="str">
        <f t="shared" si="7"/>
        <v>N</v>
      </c>
      <c r="Q23" s="6">
        <f t="shared" si="8"/>
        <v>10</v>
      </c>
      <c r="R23" s="6" t="str">
        <f t="shared" si="9"/>
        <v>2021</v>
      </c>
      <c r="S23" s="6" t="str">
        <f t="shared" si="10"/>
        <v>Nov</v>
      </c>
    </row>
    <row r="24" spans="1:19" x14ac:dyDescent="0.25">
      <c r="A24" s="6">
        <v>223</v>
      </c>
      <c r="B24" s="6" t="str">
        <f t="shared" si="0"/>
        <v>NIKADM00223</v>
      </c>
      <c r="C24" s="7" t="s">
        <v>95</v>
      </c>
      <c r="D24" s="7" t="s">
        <v>345</v>
      </c>
      <c r="E24" s="7" t="str">
        <f t="shared" si="1"/>
        <v>JOSHI MEET</v>
      </c>
      <c r="F24" s="7" t="s">
        <v>9</v>
      </c>
      <c r="G24" s="22">
        <v>44508</v>
      </c>
      <c r="H24" s="8">
        <v>75564</v>
      </c>
      <c r="I24" s="7" t="str">
        <f t="shared" si="2"/>
        <v>joshi.meet@ad.met.ba</v>
      </c>
      <c r="J24" s="6" t="s">
        <v>1542</v>
      </c>
      <c r="K24" s="6">
        <v>86</v>
      </c>
      <c r="L24" s="7" t="str">
        <f t="shared" si="3"/>
        <v>ad.met.ba</v>
      </c>
      <c r="M24" s="7" t="str">
        <f t="shared" si="4"/>
        <v>M.Joshi</v>
      </c>
      <c r="N24" s="6">
        <f t="shared" si="5"/>
        <v>0</v>
      </c>
      <c r="O24" s="6">
        <f t="shared" si="6"/>
        <v>2</v>
      </c>
      <c r="P24" s="6" t="str">
        <f t="shared" si="7"/>
        <v>N</v>
      </c>
      <c r="Q24" s="6">
        <f t="shared" si="8"/>
        <v>9</v>
      </c>
      <c r="R24" s="6" t="str">
        <f t="shared" si="9"/>
        <v>2021</v>
      </c>
      <c r="S24" s="6" t="str">
        <f t="shared" si="10"/>
        <v>Nov</v>
      </c>
    </row>
    <row r="25" spans="1:19" x14ac:dyDescent="0.25">
      <c r="A25" s="6">
        <v>231</v>
      </c>
      <c r="B25" s="6" t="str">
        <f t="shared" si="0"/>
        <v>NIKADM00231</v>
      </c>
      <c r="C25" s="7" t="s">
        <v>355</v>
      </c>
      <c r="D25" s="7" t="s">
        <v>356</v>
      </c>
      <c r="E25" s="7" t="str">
        <f t="shared" si="1"/>
        <v>SONALI LALWANI</v>
      </c>
      <c r="F25" s="7" t="s">
        <v>9</v>
      </c>
      <c r="G25" s="22">
        <v>44540</v>
      </c>
      <c r="H25" s="8">
        <v>26591</v>
      </c>
      <c r="I25" s="7" t="str">
        <f t="shared" si="2"/>
        <v>sonali.lalwani@ad.lai.ba</v>
      </c>
      <c r="J25" s="6" t="s">
        <v>1542</v>
      </c>
      <c r="K25" s="6">
        <v>46</v>
      </c>
      <c r="L25" s="7" t="str">
        <f t="shared" si="3"/>
        <v>ad.lai.ba</v>
      </c>
      <c r="M25" s="7" t="str">
        <f t="shared" si="4"/>
        <v>L.Sonali</v>
      </c>
      <c r="N25" s="6">
        <f t="shared" si="5"/>
        <v>0</v>
      </c>
      <c r="O25" s="6">
        <f t="shared" si="6"/>
        <v>0</v>
      </c>
      <c r="P25" s="6" t="str">
        <f t="shared" si="7"/>
        <v>N</v>
      </c>
      <c r="Q25" s="6">
        <f t="shared" si="8"/>
        <v>13</v>
      </c>
      <c r="R25" s="6" t="str">
        <f t="shared" si="9"/>
        <v>2021</v>
      </c>
      <c r="S25" s="6" t="str">
        <f t="shared" si="10"/>
        <v>Dec</v>
      </c>
    </row>
    <row r="26" spans="1:19" x14ac:dyDescent="0.25">
      <c r="A26" s="6">
        <v>241</v>
      </c>
      <c r="B26" s="6" t="str">
        <f t="shared" si="0"/>
        <v>NIKADM00241</v>
      </c>
      <c r="C26" s="7" t="s">
        <v>369</v>
      </c>
      <c r="D26" s="7" t="s">
        <v>370</v>
      </c>
      <c r="E26" s="7" t="str">
        <f t="shared" si="1"/>
        <v>PALAK PARMAR</v>
      </c>
      <c r="F26" s="7" t="s">
        <v>9</v>
      </c>
      <c r="G26" s="22">
        <v>44607</v>
      </c>
      <c r="H26" s="8">
        <v>76016</v>
      </c>
      <c r="I26" s="7" t="str">
        <f t="shared" si="2"/>
        <v>palak.parmar@ad.par.ba</v>
      </c>
      <c r="J26" s="6" t="s">
        <v>1547</v>
      </c>
      <c r="K26" s="6">
        <v>54</v>
      </c>
      <c r="L26" s="7" t="str">
        <f t="shared" si="3"/>
        <v>ad.par.ba</v>
      </c>
      <c r="M26" s="7" t="str">
        <f t="shared" si="4"/>
        <v>P.Palak</v>
      </c>
      <c r="N26" s="6">
        <f t="shared" si="5"/>
        <v>0</v>
      </c>
      <c r="O26" s="6">
        <f t="shared" si="6"/>
        <v>0</v>
      </c>
      <c r="P26" s="6" t="str">
        <f t="shared" si="7"/>
        <v>N</v>
      </c>
      <c r="Q26" s="6">
        <f t="shared" si="8"/>
        <v>11</v>
      </c>
      <c r="R26" s="6" t="str">
        <f t="shared" si="9"/>
        <v>2022</v>
      </c>
      <c r="S26" s="6" t="str">
        <f t="shared" si="10"/>
        <v>Feb</v>
      </c>
    </row>
    <row r="27" spans="1:19" x14ac:dyDescent="0.25">
      <c r="A27" s="6">
        <v>249</v>
      </c>
      <c r="B27" s="6" t="str">
        <f t="shared" si="0"/>
        <v>NIKADM00249</v>
      </c>
      <c r="C27" s="7" t="s">
        <v>381</v>
      </c>
      <c r="D27" s="7" t="s">
        <v>382</v>
      </c>
      <c r="E27" s="7" t="str">
        <f t="shared" si="1"/>
        <v>AMISH NAHTA</v>
      </c>
      <c r="F27" s="7" t="s">
        <v>9</v>
      </c>
      <c r="G27" s="22">
        <v>44655</v>
      </c>
      <c r="H27" s="8">
        <v>74926</v>
      </c>
      <c r="I27" s="7" t="str">
        <f t="shared" si="2"/>
        <v>amish.nahta@ad.naa.ba</v>
      </c>
      <c r="J27" s="6" t="s">
        <v>1549</v>
      </c>
      <c r="K27" s="6">
        <v>44</v>
      </c>
      <c r="L27" s="7" t="str">
        <f t="shared" si="3"/>
        <v>ad.naa.ba</v>
      </c>
      <c r="M27" s="7" t="str">
        <f t="shared" si="4"/>
        <v>N.Amish</v>
      </c>
      <c r="N27" s="6">
        <f t="shared" si="5"/>
        <v>0</v>
      </c>
      <c r="O27" s="6">
        <f t="shared" si="6"/>
        <v>0</v>
      </c>
      <c r="P27" s="6" t="str">
        <f t="shared" si="7"/>
        <v>N</v>
      </c>
      <c r="Q27" s="6">
        <f t="shared" si="8"/>
        <v>10</v>
      </c>
      <c r="R27" s="6" t="str">
        <f t="shared" si="9"/>
        <v>2022</v>
      </c>
      <c r="S27" s="6" t="str">
        <f t="shared" si="10"/>
        <v>Apr</v>
      </c>
    </row>
    <row r="28" spans="1:19" x14ac:dyDescent="0.25">
      <c r="A28" s="6">
        <v>253</v>
      </c>
      <c r="B28" s="6" t="str">
        <f t="shared" si="0"/>
        <v>NIKADM00253</v>
      </c>
      <c r="C28" s="7" t="s">
        <v>384</v>
      </c>
      <c r="D28" s="7" t="s">
        <v>385</v>
      </c>
      <c r="E28" s="7" t="str">
        <f t="shared" si="1"/>
        <v>RAKSHITA BISHT</v>
      </c>
      <c r="F28" s="7" t="s">
        <v>9</v>
      </c>
      <c r="G28" s="22">
        <v>44697</v>
      </c>
      <c r="H28" s="8">
        <v>75216</v>
      </c>
      <c r="I28" s="7" t="str">
        <f t="shared" si="2"/>
        <v>rakshita.bisht@ad.bit.ba</v>
      </c>
      <c r="J28" s="6" t="s">
        <v>1545</v>
      </c>
      <c r="K28" s="6">
        <v>51</v>
      </c>
      <c r="L28" s="7" t="str">
        <f t="shared" si="3"/>
        <v>ad.bit.ba</v>
      </c>
      <c r="M28" s="7" t="str">
        <f t="shared" si="4"/>
        <v>B.Rakshita</v>
      </c>
      <c r="N28" s="6">
        <f t="shared" si="5"/>
        <v>0</v>
      </c>
      <c r="O28" s="6">
        <f t="shared" si="6"/>
        <v>0</v>
      </c>
      <c r="P28" s="6" t="str">
        <f t="shared" si="7"/>
        <v>N</v>
      </c>
      <c r="Q28" s="6">
        <f t="shared" si="8"/>
        <v>13</v>
      </c>
      <c r="R28" s="6" t="str">
        <f t="shared" si="9"/>
        <v>2022</v>
      </c>
      <c r="S28" s="6" t="str">
        <f t="shared" si="10"/>
        <v>May</v>
      </c>
    </row>
    <row r="29" spans="1:19" x14ac:dyDescent="0.25">
      <c r="A29" s="6">
        <v>265</v>
      </c>
      <c r="B29" s="6" t="str">
        <f t="shared" si="0"/>
        <v>NIKADM00265</v>
      </c>
      <c r="C29" s="7" t="s">
        <v>399</v>
      </c>
      <c r="D29" s="7" t="s">
        <v>400</v>
      </c>
      <c r="E29" s="7" t="str">
        <f t="shared" si="1"/>
        <v>ALKESHKUMAR BHARATSINH</v>
      </c>
      <c r="F29" s="7" t="s">
        <v>9</v>
      </c>
      <c r="G29" s="22">
        <v>44760</v>
      </c>
      <c r="H29" s="8">
        <v>68858</v>
      </c>
      <c r="I29" s="7" t="str">
        <f t="shared" si="2"/>
        <v>alkeshkumar.bharatsinh@ad.bhh.ba</v>
      </c>
      <c r="J29" s="6" t="s">
        <v>1532</v>
      </c>
      <c r="K29" s="6">
        <v>41</v>
      </c>
      <c r="L29" s="7" t="str">
        <f t="shared" si="3"/>
        <v>ad.bhh.ba</v>
      </c>
      <c r="M29" s="7" t="str">
        <f t="shared" si="4"/>
        <v>B.Alkeshkumar</v>
      </c>
      <c r="N29" s="6">
        <f t="shared" si="5"/>
        <v>4</v>
      </c>
      <c r="O29" s="6">
        <f t="shared" si="6"/>
        <v>0</v>
      </c>
      <c r="P29" s="6" t="str">
        <f t="shared" si="7"/>
        <v>N</v>
      </c>
      <c r="Q29" s="6">
        <f t="shared" si="8"/>
        <v>21</v>
      </c>
      <c r="R29" s="6" t="str">
        <f t="shared" si="9"/>
        <v>2022</v>
      </c>
      <c r="S29" s="6" t="str">
        <f t="shared" si="10"/>
        <v>Jul</v>
      </c>
    </row>
    <row r="30" spans="1:19" x14ac:dyDescent="0.25">
      <c r="A30" s="6">
        <v>294</v>
      </c>
      <c r="B30" s="6" t="str">
        <f t="shared" si="0"/>
        <v>NIKADM00294</v>
      </c>
      <c r="C30" s="7" t="s">
        <v>65</v>
      </c>
      <c r="D30" s="7" t="s">
        <v>438</v>
      </c>
      <c r="E30" s="7" t="str">
        <f t="shared" si="1"/>
        <v>RAHUL FADNAVIS</v>
      </c>
      <c r="F30" s="7" t="s">
        <v>9</v>
      </c>
      <c r="G30" s="22">
        <v>44929</v>
      </c>
      <c r="H30" s="8">
        <v>96481</v>
      </c>
      <c r="I30" s="7" t="str">
        <f t="shared" si="2"/>
        <v>rahul.fadnavis@ad.fas.ba</v>
      </c>
      <c r="J30" s="6" t="s">
        <v>1534</v>
      </c>
      <c r="K30" s="6">
        <v>77</v>
      </c>
      <c r="L30" s="7" t="str">
        <f t="shared" si="3"/>
        <v>ad.fas.ba</v>
      </c>
      <c r="M30" s="7" t="str">
        <f t="shared" si="4"/>
        <v>F.Rahul</v>
      </c>
      <c r="N30" s="6">
        <f t="shared" si="5"/>
        <v>0</v>
      </c>
      <c r="O30" s="6">
        <f t="shared" si="6"/>
        <v>0</v>
      </c>
      <c r="P30" s="6" t="str">
        <f t="shared" si="7"/>
        <v>N</v>
      </c>
      <c r="Q30" s="6">
        <f t="shared" si="8"/>
        <v>13</v>
      </c>
      <c r="R30" s="6" t="str">
        <f t="shared" si="9"/>
        <v>2023</v>
      </c>
      <c r="S30" s="6" t="str">
        <f t="shared" si="10"/>
        <v>Jan</v>
      </c>
    </row>
    <row r="31" spans="1:19" x14ac:dyDescent="0.25">
      <c r="A31" s="6">
        <v>295</v>
      </c>
      <c r="B31" s="6" t="str">
        <f t="shared" si="0"/>
        <v>NIKADM00295</v>
      </c>
      <c r="C31" s="7" t="s">
        <v>98</v>
      </c>
      <c r="D31" s="7" t="s">
        <v>439</v>
      </c>
      <c r="E31" s="7" t="str">
        <f t="shared" si="1"/>
        <v>NAVEEN PALIWAL</v>
      </c>
      <c r="F31" s="7" t="s">
        <v>9</v>
      </c>
      <c r="G31" s="22">
        <v>44932</v>
      </c>
      <c r="H31" s="8">
        <v>28653</v>
      </c>
      <c r="I31" s="7" t="str">
        <f t="shared" si="2"/>
        <v>naveen.paliwal@ad.pal.ba</v>
      </c>
      <c r="J31" s="6" t="s">
        <v>1535</v>
      </c>
      <c r="K31" s="6">
        <v>45</v>
      </c>
      <c r="L31" s="7" t="str">
        <f t="shared" si="3"/>
        <v>ad.pal.ba</v>
      </c>
      <c r="M31" s="7" t="str">
        <f t="shared" si="4"/>
        <v>P.Naveen</v>
      </c>
      <c r="N31" s="6">
        <f t="shared" si="5"/>
        <v>4</v>
      </c>
      <c r="O31" s="6">
        <f t="shared" si="6"/>
        <v>0</v>
      </c>
      <c r="P31" s="6" t="str">
        <f t="shared" si="7"/>
        <v>N</v>
      </c>
      <c r="Q31" s="6">
        <f t="shared" si="8"/>
        <v>13</v>
      </c>
      <c r="R31" s="6" t="str">
        <f t="shared" si="9"/>
        <v>2023</v>
      </c>
      <c r="S31" s="6" t="str">
        <f t="shared" si="10"/>
        <v>Jan</v>
      </c>
    </row>
    <row r="32" spans="1:19" x14ac:dyDescent="0.25">
      <c r="A32" s="6">
        <v>309</v>
      </c>
      <c r="B32" s="6" t="str">
        <f t="shared" si="0"/>
        <v>NIKADM00309</v>
      </c>
      <c r="C32" s="7" t="s">
        <v>37</v>
      </c>
      <c r="D32" s="7" t="s">
        <v>62</v>
      </c>
      <c r="E32" s="7" t="str">
        <f t="shared" si="1"/>
        <v>SOURABH JAIN</v>
      </c>
      <c r="F32" s="7" t="s">
        <v>9</v>
      </c>
      <c r="G32" s="22">
        <v>45005</v>
      </c>
      <c r="H32" s="8">
        <v>43560</v>
      </c>
      <c r="I32" s="7" t="str">
        <f t="shared" si="2"/>
        <v>sourabh.jain@ad.jan.ba</v>
      </c>
      <c r="J32" s="6" t="s">
        <v>1533</v>
      </c>
      <c r="K32" s="6">
        <v>80</v>
      </c>
      <c r="L32" s="7" t="str">
        <f t="shared" si="3"/>
        <v>ad.jan.ba</v>
      </c>
      <c r="M32" s="7" t="str">
        <f t="shared" si="4"/>
        <v>J.Sourabh</v>
      </c>
      <c r="N32" s="6">
        <f t="shared" si="5"/>
        <v>0</v>
      </c>
      <c r="O32" s="6">
        <f t="shared" si="6"/>
        <v>0</v>
      </c>
      <c r="P32" s="6" t="str">
        <f t="shared" si="7"/>
        <v>N</v>
      </c>
      <c r="Q32" s="6">
        <f t="shared" si="8"/>
        <v>11</v>
      </c>
      <c r="R32" s="6" t="str">
        <f t="shared" si="9"/>
        <v>2023</v>
      </c>
      <c r="S32" s="6" t="str">
        <f t="shared" si="10"/>
        <v>Mar</v>
      </c>
    </row>
    <row r="33" spans="1:19" x14ac:dyDescent="0.25">
      <c r="A33" s="6">
        <v>320</v>
      </c>
      <c r="B33" s="6" t="str">
        <f t="shared" si="0"/>
        <v>NIKADM00320</v>
      </c>
      <c r="C33" s="7" t="s">
        <v>191</v>
      </c>
      <c r="D33" s="7" t="s">
        <v>68</v>
      </c>
      <c r="E33" s="7" t="str">
        <f t="shared" si="1"/>
        <v>ANIL KUMAR</v>
      </c>
      <c r="F33" s="7" t="s">
        <v>9</v>
      </c>
      <c r="G33" s="22">
        <v>45059</v>
      </c>
      <c r="H33" s="8">
        <v>59570</v>
      </c>
      <c r="I33" s="7" t="str">
        <f t="shared" si="2"/>
        <v>anil.kumar@ad.kur.ba</v>
      </c>
      <c r="J33" s="6" t="s">
        <v>1535</v>
      </c>
      <c r="K33" s="6">
        <v>80</v>
      </c>
      <c r="L33" s="7" t="str">
        <f t="shared" si="3"/>
        <v>ad.kur.ba</v>
      </c>
      <c r="M33" s="7" t="str">
        <f t="shared" si="4"/>
        <v>K.Anil</v>
      </c>
      <c r="N33" s="6">
        <f t="shared" si="5"/>
        <v>0</v>
      </c>
      <c r="O33" s="6">
        <f t="shared" si="6"/>
        <v>0</v>
      </c>
      <c r="P33" s="6" t="str">
        <f t="shared" si="7"/>
        <v>N</v>
      </c>
      <c r="Q33" s="6">
        <f t="shared" si="8"/>
        <v>9</v>
      </c>
      <c r="R33" s="6" t="str">
        <f t="shared" si="9"/>
        <v>2023</v>
      </c>
      <c r="S33" s="6" t="str">
        <f t="shared" si="10"/>
        <v>May</v>
      </c>
    </row>
    <row r="34" spans="1:19" x14ac:dyDescent="0.25">
      <c r="A34" s="6">
        <v>353</v>
      </c>
      <c r="B34" s="6" t="str">
        <f t="shared" si="0"/>
        <v>NIKADM00353</v>
      </c>
      <c r="C34" s="7" t="s">
        <v>518</v>
      </c>
      <c r="D34" s="7" t="s">
        <v>519</v>
      </c>
      <c r="E34" s="7" t="str">
        <f t="shared" si="1"/>
        <v>ESHIKA NILESH</v>
      </c>
      <c r="F34" s="7" t="s">
        <v>9</v>
      </c>
      <c r="G34" s="22">
        <v>45202</v>
      </c>
      <c r="H34" s="8">
        <v>60020</v>
      </c>
      <c r="I34" s="7" t="str">
        <f t="shared" si="2"/>
        <v>eshika.nilesh@ad.nih.ba</v>
      </c>
      <c r="J34" s="6" t="s">
        <v>1541</v>
      </c>
      <c r="K34" s="6">
        <v>67</v>
      </c>
      <c r="L34" s="7" t="str">
        <f t="shared" si="3"/>
        <v>ad.nih.ba</v>
      </c>
      <c r="M34" s="7" t="str">
        <f t="shared" si="4"/>
        <v>N.Eshika</v>
      </c>
      <c r="N34" s="6">
        <f t="shared" si="5"/>
        <v>1</v>
      </c>
      <c r="O34" s="6">
        <f t="shared" si="6"/>
        <v>4</v>
      </c>
      <c r="P34" s="6" t="str">
        <f t="shared" si="7"/>
        <v>Y</v>
      </c>
      <c r="Q34" s="6">
        <f t="shared" si="8"/>
        <v>12</v>
      </c>
      <c r="R34" s="6" t="str">
        <f t="shared" si="9"/>
        <v>2023</v>
      </c>
      <c r="S34" s="6" t="str">
        <f t="shared" si="10"/>
        <v>Oct</v>
      </c>
    </row>
    <row r="35" spans="1:19" x14ac:dyDescent="0.25">
      <c r="A35" s="6">
        <v>360</v>
      </c>
      <c r="B35" s="6" t="str">
        <f t="shared" si="0"/>
        <v>NIKADM00360</v>
      </c>
      <c r="C35" s="7" t="s">
        <v>320</v>
      </c>
      <c r="D35" s="7" t="s">
        <v>162</v>
      </c>
      <c r="E35" s="7" t="str">
        <f t="shared" si="1"/>
        <v>VISHAL PATHAK</v>
      </c>
      <c r="F35" s="7" t="s">
        <v>9</v>
      </c>
      <c r="G35" s="22">
        <v>45261</v>
      </c>
      <c r="H35" s="8">
        <v>31275</v>
      </c>
      <c r="I35" s="7" t="str">
        <f t="shared" si="2"/>
        <v>vishal.pathak@ad.pak.ba</v>
      </c>
      <c r="J35" s="6" t="s">
        <v>1538</v>
      </c>
      <c r="K35" s="6">
        <v>47</v>
      </c>
      <c r="L35" s="7" t="str">
        <f t="shared" si="3"/>
        <v>ad.pak.ba</v>
      </c>
      <c r="M35" s="7" t="str">
        <f t="shared" si="4"/>
        <v>P.Vishal</v>
      </c>
      <c r="N35" s="6">
        <f t="shared" si="5"/>
        <v>0</v>
      </c>
      <c r="O35" s="6">
        <f t="shared" si="6"/>
        <v>0</v>
      </c>
      <c r="P35" s="6" t="str">
        <f t="shared" si="7"/>
        <v>N</v>
      </c>
      <c r="Q35" s="6">
        <f t="shared" si="8"/>
        <v>12</v>
      </c>
      <c r="R35" s="6" t="str">
        <f t="shared" si="9"/>
        <v>2023</v>
      </c>
      <c r="S35" s="6" t="str">
        <f t="shared" si="10"/>
        <v>Dec</v>
      </c>
    </row>
    <row r="36" spans="1:19" x14ac:dyDescent="0.25">
      <c r="A36" s="6">
        <v>365</v>
      </c>
      <c r="B36" s="6" t="str">
        <f t="shared" si="0"/>
        <v>NIKADM00365</v>
      </c>
      <c r="C36" s="7" t="s">
        <v>531</v>
      </c>
      <c r="D36" s="7" t="s">
        <v>498</v>
      </c>
      <c r="E36" s="7" t="str">
        <f t="shared" si="1"/>
        <v>DEEPAL KAUR</v>
      </c>
      <c r="F36" s="7" t="s">
        <v>9</v>
      </c>
      <c r="G36" s="22">
        <v>45278</v>
      </c>
      <c r="H36" s="8">
        <v>61614</v>
      </c>
      <c r="I36" s="7" t="str">
        <f t="shared" si="2"/>
        <v>deepal.kaur@ad.kar.ba</v>
      </c>
      <c r="J36" s="6" t="s">
        <v>1550</v>
      </c>
      <c r="K36" s="6">
        <v>76</v>
      </c>
      <c r="L36" s="7" t="str">
        <f t="shared" si="3"/>
        <v>ad.kar.ba</v>
      </c>
      <c r="M36" s="7" t="str">
        <f t="shared" si="4"/>
        <v>K.Deepal</v>
      </c>
      <c r="N36" s="6">
        <f t="shared" si="5"/>
        <v>2</v>
      </c>
      <c r="O36" s="6">
        <f t="shared" si="6"/>
        <v>0</v>
      </c>
      <c r="P36" s="6" t="str">
        <f t="shared" si="7"/>
        <v>N</v>
      </c>
      <c r="Q36" s="6">
        <f t="shared" si="8"/>
        <v>10</v>
      </c>
      <c r="R36" s="6" t="str">
        <f t="shared" si="9"/>
        <v>2023</v>
      </c>
      <c r="S36" s="6" t="str">
        <f t="shared" si="10"/>
        <v>Dec</v>
      </c>
    </row>
    <row r="37" spans="1:19" x14ac:dyDescent="0.25">
      <c r="A37" s="6">
        <v>369</v>
      </c>
      <c r="B37" s="6" t="str">
        <f t="shared" si="0"/>
        <v>NIKADM00369</v>
      </c>
      <c r="C37" s="7" t="s">
        <v>537</v>
      </c>
      <c r="D37" s="7" t="s">
        <v>379</v>
      </c>
      <c r="E37" s="7" t="str">
        <f t="shared" si="1"/>
        <v>ANKITA SACHDEVA</v>
      </c>
      <c r="F37" s="7" t="s">
        <v>9</v>
      </c>
      <c r="G37" s="22">
        <v>45306</v>
      </c>
      <c r="H37" s="8">
        <v>26501</v>
      </c>
      <c r="I37" s="7" t="str">
        <f t="shared" si="2"/>
        <v>ankita.sachdeva@ad.saa.ba</v>
      </c>
      <c r="J37" s="6" t="s">
        <v>1548</v>
      </c>
      <c r="K37" s="6">
        <v>84</v>
      </c>
      <c r="L37" s="7" t="str">
        <f t="shared" si="3"/>
        <v>ad.saa.ba</v>
      </c>
      <c r="M37" s="7" t="str">
        <f t="shared" si="4"/>
        <v>S.Ankita</v>
      </c>
      <c r="N37" s="6">
        <f t="shared" si="5"/>
        <v>0</v>
      </c>
      <c r="O37" s="6">
        <f t="shared" si="6"/>
        <v>6</v>
      </c>
      <c r="P37" s="6" t="str">
        <f t="shared" si="7"/>
        <v>N</v>
      </c>
      <c r="Q37" s="6">
        <f t="shared" si="8"/>
        <v>14</v>
      </c>
      <c r="R37" s="6" t="str">
        <f t="shared" si="9"/>
        <v>2024</v>
      </c>
      <c r="S37" s="6" t="str">
        <f t="shared" si="10"/>
        <v>Jan</v>
      </c>
    </row>
    <row r="38" spans="1:19" x14ac:dyDescent="0.25">
      <c r="A38" s="6">
        <v>372</v>
      </c>
      <c r="B38" s="6" t="str">
        <f t="shared" si="0"/>
        <v>NIKADM00372</v>
      </c>
      <c r="C38" s="7" t="s">
        <v>542</v>
      </c>
      <c r="D38" s="7" t="s">
        <v>198</v>
      </c>
      <c r="E38" s="7" t="str">
        <f t="shared" si="1"/>
        <v>MONIKA SAINI</v>
      </c>
      <c r="F38" s="7" t="s">
        <v>9</v>
      </c>
      <c r="G38" s="22">
        <v>45327</v>
      </c>
      <c r="H38" s="8">
        <v>45799</v>
      </c>
      <c r="I38" s="7" t="str">
        <f t="shared" si="2"/>
        <v>monika.saini@ad.sai.ba</v>
      </c>
      <c r="J38" s="6" t="s">
        <v>1543</v>
      </c>
      <c r="K38" s="6">
        <v>90</v>
      </c>
      <c r="L38" s="7" t="str">
        <f t="shared" si="3"/>
        <v>ad.sai.ba</v>
      </c>
      <c r="M38" s="7" t="str">
        <f t="shared" si="4"/>
        <v>S.Monika</v>
      </c>
      <c r="N38" s="6">
        <f t="shared" si="5"/>
        <v>0</v>
      </c>
      <c r="O38" s="6">
        <f t="shared" si="6"/>
        <v>0</v>
      </c>
      <c r="P38" s="6" t="str">
        <f t="shared" si="7"/>
        <v>N</v>
      </c>
      <c r="Q38" s="6">
        <f t="shared" si="8"/>
        <v>11</v>
      </c>
      <c r="R38" s="6" t="str">
        <f t="shared" si="9"/>
        <v>2024</v>
      </c>
      <c r="S38" s="6" t="str">
        <f t="shared" si="10"/>
        <v>Feb</v>
      </c>
    </row>
    <row r="39" spans="1:19" x14ac:dyDescent="0.25">
      <c r="A39" s="6">
        <v>374</v>
      </c>
      <c r="B39" s="6" t="str">
        <f t="shared" si="0"/>
        <v>NIKADM00374</v>
      </c>
      <c r="C39" s="7" t="s">
        <v>543</v>
      </c>
      <c r="D39" s="7" t="s">
        <v>544</v>
      </c>
      <c r="E39" s="7" t="str">
        <f t="shared" si="1"/>
        <v>SHANKEY C</v>
      </c>
      <c r="F39" s="7" t="s">
        <v>9</v>
      </c>
      <c r="G39" s="22">
        <v>45329</v>
      </c>
      <c r="H39" s="8">
        <v>58456</v>
      </c>
      <c r="I39" s="7" t="str">
        <f t="shared" si="2"/>
        <v>shankey.c@ad.cc.ba</v>
      </c>
      <c r="J39" s="6" t="s">
        <v>1544</v>
      </c>
      <c r="K39" s="6">
        <v>68</v>
      </c>
      <c r="L39" s="7" t="str">
        <f t="shared" si="3"/>
        <v>ad.cc.ba</v>
      </c>
      <c r="M39" s="7" t="str">
        <f t="shared" si="4"/>
        <v>C.Shankey</v>
      </c>
      <c r="N39" s="6">
        <f t="shared" si="5"/>
        <v>6</v>
      </c>
      <c r="O39" s="6">
        <f t="shared" si="6"/>
        <v>0</v>
      </c>
      <c r="P39" s="6" t="str">
        <f t="shared" si="7"/>
        <v>N</v>
      </c>
      <c r="Q39" s="6">
        <f t="shared" si="8"/>
        <v>8</v>
      </c>
      <c r="R39" s="6" t="str">
        <f t="shared" si="9"/>
        <v>2024</v>
      </c>
      <c r="S39" s="6" t="str">
        <f t="shared" si="10"/>
        <v>Feb</v>
      </c>
    </row>
    <row r="40" spans="1:19" x14ac:dyDescent="0.25">
      <c r="A40" s="6">
        <v>378</v>
      </c>
      <c r="B40" s="6" t="str">
        <f t="shared" si="0"/>
        <v>NIKADM00378</v>
      </c>
      <c r="C40" s="7" t="s">
        <v>548</v>
      </c>
      <c r="D40" s="7" t="s">
        <v>549</v>
      </c>
      <c r="E40" s="7" t="str">
        <f t="shared" si="1"/>
        <v>LAKSH GANAPATYE</v>
      </c>
      <c r="F40" s="7" t="s">
        <v>9</v>
      </c>
      <c r="G40" s="22">
        <v>45337</v>
      </c>
      <c r="H40" s="8">
        <v>102724</v>
      </c>
      <c r="I40" s="7" t="str">
        <f t="shared" si="2"/>
        <v>laksh.ganapatye@ad.gae.ba</v>
      </c>
      <c r="J40" s="6" t="s">
        <v>1545</v>
      </c>
      <c r="K40" s="6">
        <v>41</v>
      </c>
      <c r="L40" s="7" t="str">
        <f t="shared" si="3"/>
        <v>ad.gae.ba</v>
      </c>
      <c r="M40" s="7" t="str">
        <f t="shared" si="4"/>
        <v>G.Laksh</v>
      </c>
      <c r="N40" s="6">
        <f t="shared" si="5"/>
        <v>0</v>
      </c>
      <c r="O40" s="6">
        <f t="shared" si="6"/>
        <v>9</v>
      </c>
      <c r="P40" s="6" t="str">
        <f t="shared" si="7"/>
        <v>N</v>
      </c>
      <c r="Q40" s="6">
        <f t="shared" si="8"/>
        <v>14</v>
      </c>
      <c r="R40" s="6" t="str">
        <f t="shared" si="9"/>
        <v>2024</v>
      </c>
      <c r="S40" s="6" t="str">
        <f t="shared" si="10"/>
        <v>Feb</v>
      </c>
    </row>
    <row r="41" spans="1:19" x14ac:dyDescent="0.25">
      <c r="A41" s="6">
        <v>388</v>
      </c>
      <c r="B41" s="6" t="str">
        <f t="shared" si="0"/>
        <v>NIKADM00388</v>
      </c>
      <c r="C41" s="7" t="s">
        <v>560</v>
      </c>
      <c r="D41" s="7" t="s">
        <v>439</v>
      </c>
      <c r="E41" s="7" t="str">
        <f t="shared" si="1"/>
        <v>SAKSHI PALIWAL</v>
      </c>
      <c r="F41" s="7" t="s">
        <v>9</v>
      </c>
      <c r="G41" s="22">
        <v>45383</v>
      </c>
      <c r="H41" s="8">
        <v>74974</v>
      </c>
      <c r="I41" s="7" t="str">
        <f t="shared" si="2"/>
        <v>sakshi.paliwal@ad.pal.ba</v>
      </c>
      <c r="J41" s="6" t="s">
        <v>1540</v>
      </c>
      <c r="K41" s="6">
        <v>79</v>
      </c>
      <c r="L41" s="7" t="str">
        <f t="shared" si="3"/>
        <v>ad.pal.ba</v>
      </c>
      <c r="M41" s="7" t="str">
        <f t="shared" si="4"/>
        <v>P.Sakshi</v>
      </c>
      <c r="N41" s="6">
        <f t="shared" si="5"/>
        <v>0</v>
      </c>
      <c r="O41" s="6">
        <f t="shared" si="6"/>
        <v>0</v>
      </c>
      <c r="P41" s="6" t="str">
        <f t="shared" si="7"/>
        <v>N</v>
      </c>
      <c r="Q41" s="6">
        <f t="shared" si="8"/>
        <v>13</v>
      </c>
      <c r="R41" s="6" t="str">
        <f t="shared" si="9"/>
        <v>2024</v>
      </c>
      <c r="S41" s="6" t="str">
        <f t="shared" si="10"/>
        <v>Apr</v>
      </c>
    </row>
    <row r="42" spans="1:19" x14ac:dyDescent="0.25">
      <c r="A42" s="6">
        <v>401</v>
      </c>
      <c r="B42" s="6" t="str">
        <f t="shared" si="0"/>
        <v>NIKADM00401</v>
      </c>
      <c r="C42" s="7" t="s">
        <v>575</v>
      </c>
      <c r="D42" s="7" t="s">
        <v>572</v>
      </c>
      <c r="E42" s="7" t="str">
        <f t="shared" si="1"/>
        <v>JAIDEV DAS</v>
      </c>
      <c r="F42" s="7" t="s">
        <v>9</v>
      </c>
      <c r="G42" s="22">
        <v>45418</v>
      </c>
      <c r="H42" s="8">
        <v>46984</v>
      </c>
      <c r="I42" s="7" t="str">
        <f t="shared" si="2"/>
        <v>jaidev.das@ad.das.ba</v>
      </c>
      <c r="J42" s="6" t="s">
        <v>1534</v>
      </c>
      <c r="K42" s="6">
        <v>42</v>
      </c>
      <c r="L42" s="7" t="str">
        <f t="shared" si="3"/>
        <v>ad.das.ba</v>
      </c>
      <c r="M42" s="7" t="str">
        <f t="shared" si="4"/>
        <v>D.Jaidev</v>
      </c>
      <c r="N42" s="6">
        <f t="shared" si="5"/>
        <v>5</v>
      </c>
      <c r="O42" s="6">
        <f t="shared" si="6"/>
        <v>0</v>
      </c>
      <c r="P42" s="6" t="str">
        <f t="shared" si="7"/>
        <v>N</v>
      </c>
      <c r="Q42" s="6">
        <f t="shared" si="8"/>
        <v>9</v>
      </c>
      <c r="R42" s="6" t="str">
        <f t="shared" si="9"/>
        <v>2024</v>
      </c>
      <c r="S42" s="6" t="str">
        <f t="shared" si="10"/>
        <v>May</v>
      </c>
    </row>
    <row r="43" spans="1:19" x14ac:dyDescent="0.25">
      <c r="A43" s="6">
        <v>405</v>
      </c>
      <c r="B43" s="6" t="str">
        <f t="shared" si="0"/>
        <v>NIKADM00405</v>
      </c>
      <c r="C43" s="7" t="s">
        <v>187</v>
      </c>
      <c r="D43" s="7" t="s">
        <v>580</v>
      </c>
      <c r="E43" s="7" t="str">
        <f t="shared" si="1"/>
        <v>ANAND DEO</v>
      </c>
      <c r="F43" s="7" t="s">
        <v>9</v>
      </c>
      <c r="G43" s="22">
        <v>45427</v>
      </c>
      <c r="H43" s="8">
        <v>29408</v>
      </c>
      <c r="I43" s="7" t="str">
        <f t="shared" si="2"/>
        <v>anand.deo@ad.deo.ba</v>
      </c>
      <c r="J43" s="6" t="s">
        <v>1536</v>
      </c>
      <c r="K43" s="6">
        <v>39</v>
      </c>
      <c r="L43" s="7" t="str">
        <f t="shared" si="3"/>
        <v>ad.deo.ba</v>
      </c>
      <c r="M43" s="7" t="str">
        <f t="shared" si="4"/>
        <v>D.Anand</v>
      </c>
      <c r="N43" s="6">
        <f t="shared" si="5"/>
        <v>0</v>
      </c>
      <c r="O43" s="6">
        <f t="shared" si="6"/>
        <v>2</v>
      </c>
      <c r="P43" s="6" t="str">
        <f t="shared" si="7"/>
        <v>N</v>
      </c>
      <c r="Q43" s="6">
        <f t="shared" si="8"/>
        <v>8</v>
      </c>
      <c r="R43" s="6" t="str">
        <f t="shared" si="9"/>
        <v>2024</v>
      </c>
      <c r="S43" s="6" t="str">
        <f t="shared" si="10"/>
        <v>May</v>
      </c>
    </row>
    <row r="44" spans="1:19" x14ac:dyDescent="0.25">
      <c r="A44" s="6">
        <v>406</v>
      </c>
      <c r="B44" s="6" t="str">
        <f t="shared" si="0"/>
        <v>NIKADM00406</v>
      </c>
      <c r="C44" s="7" t="s">
        <v>581</v>
      </c>
      <c r="D44" s="7" t="s">
        <v>198</v>
      </c>
      <c r="E44" s="7" t="str">
        <f t="shared" si="1"/>
        <v>MANDEEP SAINI</v>
      </c>
      <c r="F44" s="7" t="s">
        <v>9</v>
      </c>
      <c r="G44" s="22">
        <v>45427</v>
      </c>
      <c r="H44" s="8">
        <v>102548</v>
      </c>
      <c r="I44" s="7" t="str">
        <f t="shared" si="2"/>
        <v>mandeep.saini@ad.sai.ba</v>
      </c>
      <c r="J44" s="6" t="s">
        <v>1545</v>
      </c>
      <c r="K44" s="6">
        <v>90</v>
      </c>
      <c r="L44" s="7" t="str">
        <f t="shared" si="3"/>
        <v>ad.sai.ba</v>
      </c>
      <c r="M44" s="7" t="str">
        <f t="shared" si="4"/>
        <v>S.Mandeep</v>
      </c>
      <c r="N44" s="6">
        <f t="shared" si="5"/>
        <v>5</v>
      </c>
      <c r="O44" s="6">
        <f t="shared" si="6"/>
        <v>0</v>
      </c>
      <c r="P44" s="6" t="str">
        <f t="shared" si="7"/>
        <v>N</v>
      </c>
      <c r="Q44" s="6">
        <f t="shared" si="8"/>
        <v>12</v>
      </c>
      <c r="R44" s="6" t="str">
        <f t="shared" si="9"/>
        <v>2024</v>
      </c>
      <c r="S44" s="6" t="str">
        <f t="shared" si="10"/>
        <v>May</v>
      </c>
    </row>
    <row r="45" spans="1:19" x14ac:dyDescent="0.25">
      <c r="A45" s="6">
        <v>413</v>
      </c>
      <c r="B45" s="6" t="str">
        <f t="shared" si="0"/>
        <v>NIKADM00413</v>
      </c>
      <c r="C45" s="7" t="s">
        <v>590</v>
      </c>
      <c r="D45" s="7" t="s">
        <v>591</v>
      </c>
      <c r="E45" s="7" t="str">
        <f t="shared" si="1"/>
        <v>SYED RAJAT</v>
      </c>
      <c r="F45" s="7" t="s">
        <v>9</v>
      </c>
      <c r="G45" s="22">
        <v>45474</v>
      </c>
      <c r="H45" s="8">
        <v>42189</v>
      </c>
      <c r="I45" s="7" t="str">
        <f t="shared" si="2"/>
        <v>syed.rajat@ad.rat.ba</v>
      </c>
      <c r="J45" s="6" t="s">
        <v>1543</v>
      </c>
      <c r="K45" s="6">
        <v>74</v>
      </c>
      <c r="L45" s="7" t="str">
        <f t="shared" si="3"/>
        <v>ad.rat.ba</v>
      </c>
      <c r="M45" s="7" t="str">
        <f t="shared" si="4"/>
        <v>R.Syed</v>
      </c>
      <c r="N45" s="6">
        <f t="shared" si="5"/>
        <v>3</v>
      </c>
      <c r="O45" s="6">
        <f t="shared" si="6"/>
        <v>0</v>
      </c>
      <c r="P45" s="6" t="str">
        <f t="shared" si="7"/>
        <v>N</v>
      </c>
      <c r="Q45" s="6">
        <f t="shared" si="8"/>
        <v>9</v>
      </c>
      <c r="R45" s="6" t="str">
        <f t="shared" si="9"/>
        <v>2024</v>
      </c>
      <c r="S45" s="6" t="str">
        <f t="shared" si="10"/>
        <v>Jul</v>
      </c>
    </row>
    <row r="46" spans="1:19" x14ac:dyDescent="0.25">
      <c r="A46" s="6">
        <v>426</v>
      </c>
      <c r="B46" s="6" t="str">
        <f t="shared" si="0"/>
        <v>NIKADM00426</v>
      </c>
      <c r="C46" s="7" t="s">
        <v>182</v>
      </c>
      <c r="D46" s="7" t="s">
        <v>68</v>
      </c>
      <c r="E46" s="7" t="str">
        <f t="shared" si="1"/>
        <v>MANOJ KUMAR</v>
      </c>
      <c r="F46" s="7" t="s">
        <v>9</v>
      </c>
      <c r="G46" s="22">
        <v>45505</v>
      </c>
      <c r="H46" s="8">
        <v>65083</v>
      </c>
      <c r="I46" s="7" t="str">
        <f t="shared" si="2"/>
        <v>manoj.kumar@ad.kur.ba</v>
      </c>
      <c r="J46" s="6" t="s">
        <v>1538</v>
      </c>
      <c r="K46" s="6">
        <v>57</v>
      </c>
      <c r="L46" s="7" t="str">
        <f t="shared" si="3"/>
        <v>ad.kur.ba</v>
      </c>
      <c r="M46" s="7" t="str">
        <f t="shared" si="4"/>
        <v>K.Manoj</v>
      </c>
      <c r="N46" s="6">
        <f t="shared" si="5"/>
        <v>0</v>
      </c>
      <c r="O46" s="6">
        <f t="shared" si="6"/>
        <v>0</v>
      </c>
      <c r="P46" s="6" t="str">
        <f t="shared" si="7"/>
        <v>N</v>
      </c>
      <c r="Q46" s="6">
        <f t="shared" si="8"/>
        <v>10</v>
      </c>
      <c r="R46" s="6" t="str">
        <f t="shared" si="9"/>
        <v>2024</v>
      </c>
      <c r="S46" s="6" t="str">
        <f t="shared" si="10"/>
        <v>Aug</v>
      </c>
    </row>
    <row r="47" spans="1:19" x14ac:dyDescent="0.25">
      <c r="A47" s="6">
        <v>432</v>
      </c>
      <c r="B47" s="6" t="str">
        <f t="shared" si="0"/>
        <v>NIKADM00432</v>
      </c>
      <c r="C47" s="7" t="s">
        <v>608</v>
      </c>
      <c r="D47" s="7" t="s">
        <v>609</v>
      </c>
      <c r="E47" s="7" t="str">
        <f t="shared" si="1"/>
        <v>HEMANGNI PAWAR</v>
      </c>
      <c r="F47" s="7" t="s">
        <v>9</v>
      </c>
      <c r="G47" s="22">
        <v>45516</v>
      </c>
      <c r="H47" s="8">
        <v>27050</v>
      </c>
      <c r="I47" s="7" t="str">
        <f t="shared" si="2"/>
        <v>hemangni.pawar@ad.par.ba</v>
      </c>
      <c r="J47" s="6" t="s">
        <v>1534</v>
      </c>
      <c r="K47" s="6">
        <v>71</v>
      </c>
      <c r="L47" s="7" t="str">
        <f t="shared" si="3"/>
        <v>ad.par.ba</v>
      </c>
      <c r="M47" s="7" t="str">
        <f t="shared" si="4"/>
        <v>P.Hemangni</v>
      </c>
      <c r="N47" s="6">
        <f t="shared" si="5"/>
        <v>2</v>
      </c>
      <c r="O47" s="6">
        <f t="shared" si="6"/>
        <v>0</v>
      </c>
      <c r="P47" s="6" t="str">
        <f t="shared" si="7"/>
        <v>N</v>
      </c>
      <c r="Q47" s="6">
        <f t="shared" si="8"/>
        <v>13</v>
      </c>
      <c r="R47" s="6" t="str">
        <f t="shared" si="9"/>
        <v>2024</v>
      </c>
      <c r="S47" s="6" t="str">
        <f t="shared" si="10"/>
        <v>Aug</v>
      </c>
    </row>
    <row r="48" spans="1:19" x14ac:dyDescent="0.25">
      <c r="A48" s="6">
        <v>442</v>
      </c>
      <c r="B48" s="6" t="str">
        <f t="shared" si="0"/>
        <v>NIKADM00442</v>
      </c>
      <c r="C48" s="7" t="s">
        <v>622</v>
      </c>
      <c r="D48" s="7" t="s">
        <v>70</v>
      </c>
      <c r="E48" s="7" t="str">
        <f t="shared" si="1"/>
        <v>JASIMA SINGH</v>
      </c>
      <c r="F48" s="7" t="s">
        <v>9</v>
      </c>
      <c r="G48" s="22">
        <v>45541</v>
      </c>
      <c r="H48" s="8">
        <v>72350</v>
      </c>
      <c r="I48" s="7" t="str">
        <f t="shared" si="2"/>
        <v>jasima.singh@ad.sih.ba</v>
      </c>
      <c r="J48" s="6" t="s">
        <v>1547</v>
      </c>
      <c r="K48" s="6">
        <v>68</v>
      </c>
      <c r="L48" s="7" t="str">
        <f t="shared" si="3"/>
        <v>ad.sih.ba</v>
      </c>
      <c r="M48" s="7" t="str">
        <f t="shared" si="4"/>
        <v>S.Jasima</v>
      </c>
      <c r="N48" s="6">
        <f t="shared" si="5"/>
        <v>0</v>
      </c>
      <c r="O48" s="6">
        <f t="shared" si="6"/>
        <v>0</v>
      </c>
      <c r="P48" s="6" t="str">
        <f t="shared" si="7"/>
        <v>N</v>
      </c>
      <c r="Q48" s="6">
        <f t="shared" si="8"/>
        <v>11</v>
      </c>
      <c r="R48" s="6" t="str">
        <f t="shared" si="9"/>
        <v>2024</v>
      </c>
      <c r="S48" s="6" t="str">
        <f t="shared" si="10"/>
        <v>Sep</v>
      </c>
    </row>
    <row r="49" spans="1:19" x14ac:dyDescent="0.25">
      <c r="A49" s="6">
        <v>449</v>
      </c>
      <c r="B49" s="6" t="str">
        <f t="shared" si="0"/>
        <v>NIKADM00449</v>
      </c>
      <c r="C49" s="7" t="s">
        <v>27</v>
      </c>
      <c r="D49" s="7"/>
      <c r="E49" s="7" t="str">
        <f t="shared" si="1"/>
        <v>GUNJAN</v>
      </c>
      <c r="F49" s="7" t="s">
        <v>9</v>
      </c>
      <c r="G49" s="22">
        <v>45568</v>
      </c>
      <c r="H49" s="8">
        <v>69312</v>
      </c>
      <c r="I49" s="7" t="str">
        <f t="shared" si="2"/>
        <v>gunjan.@ad..ba</v>
      </c>
      <c r="J49" s="6" t="s">
        <v>1550</v>
      </c>
      <c r="K49" s="6">
        <v>40</v>
      </c>
      <c r="L49" s="7" t="str">
        <f t="shared" si="3"/>
        <v>ad..ba</v>
      </c>
      <c r="M49" s="7" t="str">
        <f t="shared" si="4"/>
        <v>.Gunjan</v>
      </c>
      <c r="N49" s="6">
        <f t="shared" si="5"/>
        <v>0</v>
      </c>
      <c r="O49" s="6">
        <f t="shared" si="6"/>
        <v>0</v>
      </c>
      <c r="P49" s="6" t="str">
        <f t="shared" si="7"/>
        <v>N</v>
      </c>
      <c r="Q49" s="6">
        <f t="shared" si="8"/>
        <v>6</v>
      </c>
      <c r="R49" s="6" t="str">
        <f t="shared" si="9"/>
        <v>2024</v>
      </c>
      <c r="S49" s="6" t="str">
        <f t="shared" si="10"/>
        <v>Oct</v>
      </c>
    </row>
    <row r="50" spans="1:19" x14ac:dyDescent="0.25">
      <c r="A50" s="6">
        <v>484</v>
      </c>
      <c r="B50" s="6" t="str">
        <f t="shared" si="0"/>
        <v>NIKADM00484</v>
      </c>
      <c r="C50" s="7" t="s">
        <v>669</v>
      </c>
      <c r="D50" s="7" t="s">
        <v>670</v>
      </c>
      <c r="E50" s="7" t="str">
        <f t="shared" si="1"/>
        <v>ANUPAM MUKHI</v>
      </c>
      <c r="F50" s="7" t="s">
        <v>9</v>
      </c>
      <c r="G50" s="22">
        <v>41738</v>
      </c>
      <c r="H50" s="8">
        <v>99697</v>
      </c>
      <c r="I50" s="7" t="str">
        <f t="shared" si="2"/>
        <v>anupam.mukhi@ad.mui.ba</v>
      </c>
      <c r="J50" s="6" t="s">
        <v>1534</v>
      </c>
      <c r="K50" s="6">
        <v>36</v>
      </c>
      <c r="L50" s="7" t="str">
        <f t="shared" si="3"/>
        <v>ad.mui.ba</v>
      </c>
      <c r="M50" s="7" t="str">
        <f t="shared" si="4"/>
        <v>M.Anupam</v>
      </c>
      <c r="N50" s="6">
        <f t="shared" si="5"/>
        <v>0</v>
      </c>
      <c r="O50" s="6">
        <f t="shared" si="6"/>
        <v>0</v>
      </c>
      <c r="P50" s="6" t="str">
        <f t="shared" si="7"/>
        <v>N</v>
      </c>
      <c r="Q50" s="6">
        <f t="shared" si="8"/>
        <v>11</v>
      </c>
      <c r="R50" s="6" t="str">
        <f t="shared" si="9"/>
        <v>2014</v>
      </c>
      <c r="S50" s="6" t="str">
        <f t="shared" si="10"/>
        <v>Apr</v>
      </c>
    </row>
    <row r="51" spans="1:19" x14ac:dyDescent="0.25">
      <c r="A51" s="6">
        <v>486</v>
      </c>
      <c r="B51" s="6" t="str">
        <f t="shared" si="0"/>
        <v>NIKADM00486</v>
      </c>
      <c r="C51" s="7" t="s">
        <v>278</v>
      </c>
      <c r="D51" s="7" t="s">
        <v>70</v>
      </c>
      <c r="E51" s="7" t="str">
        <f t="shared" si="1"/>
        <v>IMMANUEL SINGH</v>
      </c>
      <c r="F51" s="7" t="s">
        <v>9</v>
      </c>
      <c r="G51" s="22">
        <v>41911</v>
      </c>
      <c r="H51" s="8">
        <v>95371</v>
      </c>
      <c r="I51" s="7" t="str">
        <f t="shared" si="2"/>
        <v>immanuel.singh@ad.sih.ba</v>
      </c>
      <c r="J51" s="6" t="s">
        <v>1542</v>
      </c>
      <c r="K51" s="6">
        <v>46</v>
      </c>
      <c r="L51" s="7" t="str">
        <f t="shared" si="3"/>
        <v>ad.sih.ba</v>
      </c>
      <c r="M51" s="7" t="str">
        <f t="shared" si="4"/>
        <v>S.Immanuel</v>
      </c>
      <c r="N51" s="6">
        <f t="shared" si="5"/>
        <v>7</v>
      </c>
      <c r="O51" s="6">
        <f t="shared" si="6"/>
        <v>0</v>
      </c>
      <c r="P51" s="6" t="str">
        <f t="shared" si="7"/>
        <v>N</v>
      </c>
      <c r="Q51" s="6">
        <f t="shared" si="8"/>
        <v>13</v>
      </c>
      <c r="R51" s="6" t="str">
        <f t="shared" si="9"/>
        <v>2014</v>
      </c>
      <c r="S51" s="6" t="str">
        <f t="shared" si="10"/>
        <v>Sep</v>
      </c>
    </row>
    <row r="52" spans="1:19" x14ac:dyDescent="0.25">
      <c r="A52" s="6">
        <v>500</v>
      </c>
      <c r="B52" s="6" t="str">
        <f t="shared" si="0"/>
        <v>NIKADM00500</v>
      </c>
      <c r="C52" s="7" t="s">
        <v>687</v>
      </c>
      <c r="D52" s="7" t="s">
        <v>557</v>
      </c>
      <c r="E52" s="7" t="str">
        <f t="shared" si="1"/>
        <v>AMITESH DUBEY</v>
      </c>
      <c r="F52" s="7" t="s">
        <v>9</v>
      </c>
      <c r="G52" s="22">
        <v>42243</v>
      </c>
      <c r="H52" s="8">
        <v>82548</v>
      </c>
      <c r="I52" s="7" t="str">
        <f t="shared" si="2"/>
        <v>amitesh.dubey@ad.duy.ba</v>
      </c>
      <c r="J52" s="6" t="s">
        <v>1532</v>
      </c>
      <c r="K52" s="6">
        <v>64</v>
      </c>
      <c r="L52" s="7" t="str">
        <f t="shared" si="3"/>
        <v>ad.duy.ba</v>
      </c>
      <c r="M52" s="7" t="str">
        <f t="shared" si="4"/>
        <v>D.Amitesh</v>
      </c>
      <c r="N52" s="6">
        <f t="shared" si="5"/>
        <v>5</v>
      </c>
      <c r="O52" s="6">
        <f t="shared" si="6"/>
        <v>4</v>
      </c>
      <c r="P52" s="6" t="str">
        <f t="shared" si="7"/>
        <v>Y</v>
      </c>
      <c r="Q52" s="6">
        <f t="shared" si="8"/>
        <v>12</v>
      </c>
      <c r="R52" s="6" t="str">
        <f t="shared" si="9"/>
        <v>2015</v>
      </c>
      <c r="S52" s="6" t="str">
        <f t="shared" si="10"/>
        <v>Aug</v>
      </c>
    </row>
    <row r="53" spans="1:19" x14ac:dyDescent="0.25">
      <c r="A53" s="6">
        <v>501</v>
      </c>
      <c r="B53" s="6" t="str">
        <f t="shared" si="0"/>
        <v>NIKADM00501</v>
      </c>
      <c r="C53" s="7" t="s">
        <v>28</v>
      </c>
      <c r="D53" s="7"/>
      <c r="E53" s="7" t="str">
        <f t="shared" si="1"/>
        <v>VARINDER</v>
      </c>
      <c r="F53" s="7" t="s">
        <v>9</v>
      </c>
      <c r="G53" s="22">
        <v>41717</v>
      </c>
      <c r="H53" s="8">
        <v>102317</v>
      </c>
      <c r="I53" s="7" t="str">
        <f t="shared" si="2"/>
        <v>varinder.@ad..ba</v>
      </c>
      <c r="J53" s="6" t="s">
        <v>1548</v>
      </c>
      <c r="K53" s="6">
        <v>73</v>
      </c>
      <c r="L53" s="7" t="str">
        <f t="shared" si="3"/>
        <v>ad..ba</v>
      </c>
      <c r="M53" s="7" t="str">
        <f t="shared" si="4"/>
        <v>.Varinder</v>
      </c>
      <c r="N53" s="6">
        <f t="shared" si="5"/>
        <v>7</v>
      </c>
      <c r="O53" s="6">
        <f t="shared" si="6"/>
        <v>0</v>
      </c>
      <c r="P53" s="6" t="str">
        <f t="shared" si="7"/>
        <v>N</v>
      </c>
      <c r="Q53" s="6">
        <f t="shared" si="8"/>
        <v>8</v>
      </c>
      <c r="R53" s="6" t="str">
        <f t="shared" si="9"/>
        <v>2014</v>
      </c>
      <c r="S53" s="6" t="str">
        <f t="shared" si="10"/>
        <v>Mar</v>
      </c>
    </row>
    <row r="54" spans="1:19" x14ac:dyDescent="0.25">
      <c r="A54" s="6">
        <v>506</v>
      </c>
      <c r="B54" s="6" t="str">
        <f t="shared" si="0"/>
        <v>NIKADM00506</v>
      </c>
      <c r="C54" s="7" t="s">
        <v>690</v>
      </c>
      <c r="D54" s="7" t="s">
        <v>691</v>
      </c>
      <c r="E54" s="7" t="str">
        <f t="shared" si="1"/>
        <v>SHILPA CHAKRABORTY</v>
      </c>
      <c r="F54" s="7" t="s">
        <v>9</v>
      </c>
      <c r="G54" s="22">
        <v>42198</v>
      </c>
      <c r="H54" s="8">
        <v>48297</v>
      </c>
      <c r="I54" s="7" t="str">
        <f t="shared" si="2"/>
        <v>shilpa.chakraborty@ad.chy.ba</v>
      </c>
      <c r="J54" s="6" t="s">
        <v>1532</v>
      </c>
      <c r="K54" s="6">
        <v>86</v>
      </c>
      <c r="L54" s="7" t="str">
        <f t="shared" si="3"/>
        <v>ad.chy.ba</v>
      </c>
      <c r="M54" s="7" t="str">
        <f t="shared" si="4"/>
        <v>C.Shilpa</v>
      </c>
      <c r="N54" s="6">
        <f t="shared" si="5"/>
        <v>0</v>
      </c>
      <c r="O54" s="6">
        <f t="shared" si="6"/>
        <v>0</v>
      </c>
      <c r="P54" s="6" t="str">
        <f t="shared" si="7"/>
        <v>N</v>
      </c>
      <c r="Q54" s="6">
        <f t="shared" si="8"/>
        <v>17</v>
      </c>
      <c r="R54" s="6" t="str">
        <f t="shared" si="9"/>
        <v>2015</v>
      </c>
      <c r="S54" s="6" t="str">
        <f t="shared" si="10"/>
        <v>Jul</v>
      </c>
    </row>
    <row r="55" spans="1:19" x14ac:dyDescent="0.25">
      <c r="A55" s="6">
        <v>516</v>
      </c>
      <c r="B55" s="6" t="str">
        <f t="shared" si="0"/>
        <v>NIKADM00516</v>
      </c>
      <c r="C55" s="7" t="s">
        <v>700</v>
      </c>
      <c r="D55" s="7" t="s">
        <v>658</v>
      </c>
      <c r="E55" s="7" t="str">
        <f t="shared" si="1"/>
        <v>NIMIT JAGDISHBHAI</v>
      </c>
      <c r="F55" s="7" t="s">
        <v>9</v>
      </c>
      <c r="G55" s="22">
        <v>42543</v>
      </c>
      <c r="H55" s="8">
        <v>90807</v>
      </c>
      <c r="I55" s="7" t="str">
        <f t="shared" si="2"/>
        <v>nimit.jagdishbhai@ad.jai.ba</v>
      </c>
      <c r="J55" s="6" t="s">
        <v>1548</v>
      </c>
      <c r="K55" s="6">
        <v>35</v>
      </c>
      <c r="L55" s="7" t="str">
        <f t="shared" si="3"/>
        <v>ad.jai.ba</v>
      </c>
      <c r="M55" s="7" t="str">
        <f t="shared" si="4"/>
        <v>J.Nimit</v>
      </c>
      <c r="N55" s="6">
        <f t="shared" si="5"/>
        <v>0</v>
      </c>
      <c r="O55" s="6">
        <f t="shared" si="6"/>
        <v>0</v>
      </c>
      <c r="P55" s="6" t="str">
        <f t="shared" si="7"/>
        <v>N</v>
      </c>
      <c r="Q55" s="6">
        <f t="shared" si="8"/>
        <v>16</v>
      </c>
      <c r="R55" s="6" t="str">
        <f t="shared" si="9"/>
        <v>2016</v>
      </c>
      <c r="S55" s="6" t="str">
        <f t="shared" si="10"/>
        <v>Jun</v>
      </c>
    </row>
    <row r="56" spans="1:19" x14ac:dyDescent="0.25">
      <c r="A56" s="6">
        <v>520</v>
      </c>
      <c r="B56" s="6" t="str">
        <f t="shared" si="0"/>
        <v>NIKADM00520</v>
      </c>
      <c r="C56" s="7" t="s">
        <v>704</v>
      </c>
      <c r="D56" s="7" t="s">
        <v>62</v>
      </c>
      <c r="E56" s="7" t="str">
        <f t="shared" si="1"/>
        <v>SHASHANK JAIN</v>
      </c>
      <c r="F56" s="7" t="s">
        <v>9</v>
      </c>
      <c r="G56" s="22">
        <v>42527</v>
      </c>
      <c r="H56" s="8">
        <v>29355</v>
      </c>
      <c r="I56" s="7" t="str">
        <f t="shared" si="2"/>
        <v>shashank.jain@ad.jan.ba</v>
      </c>
      <c r="J56" s="6" t="s">
        <v>1541</v>
      </c>
      <c r="K56" s="6">
        <v>65</v>
      </c>
      <c r="L56" s="7" t="str">
        <f t="shared" si="3"/>
        <v>ad.jan.ba</v>
      </c>
      <c r="M56" s="7" t="str">
        <f t="shared" si="4"/>
        <v>J.Shashank</v>
      </c>
      <c r="N56" s="6">
        <f t="shared" si="5"/>
        <v>0</v>
      </c>
      <c r="O56" s="6">
        <f t="shared" si="6"/>
        <v>0</v>
      </c>
      <c r="P56" s="6" t="str">
        <f t="shared" si="7"/>
        <v>N</v>
      </c>
      <c r="Q56" s="6">
        <f t="shared" si="8"/>
        <v>12</v>
      </c>
      <c r="R56" s="6" t="str">
        <f t="shared" si="9"/>
        <v>2016</v>
      </c>
      <c r="S56" s="6" t="str">
        <f t="shared" si="10"/>
        <v>Jun</v>
      </c>
    </row>
    <row r="57" spans="1:19" x14ac:dyDescent="0.25">
      <c r="A57" s="6">
        <v>528</v>
      </c>
      <c r="B57" s="6" t="str">
        <f t="shared" si="0"/>
        <v>NIKADM00528</v>
      </c>
      <c r="C57" s="7" t="s">
        <v>714</v>
      </c>
      <c r="D57" s="7" t="s">
        <v>697</v>
      </c>
      <c r="E57" s="7" t="str">
        <f t="shared" si="1"/>
        <v>MIHUL M</v>
      </c>
      <c r="F57" s="7" t="s">
        <v>9</v>
      </c>
      <c r="G57" s="22">
        <v>42751</v>
      </c>
      <c r="H57" s="8">
        <v>55178</v>
      </c>
      <c r="I57" s="7" t="str">
        <f t="shared" si="2"/>
        <v>mihul.m@ad.mm.ba</v>
      </c>
      <c r="J57" s="6" t="s">
        <v>1538</v>
      </c>
      <c r="K57" s="6">
        <v>56</v>
      </c>
      <c r="L57" s="7" t="str">
        <f t="shared" si="3"/>
        <v>ad.mm.ba</v>
      </c>
      <c r="M57" s="7" t="str">
        <f t="shared" si="4"/>
        <v>M.Mihul</v>
      </c>
      <c r="N57" s="6">
        <f t="shared" si="5"/>
        <v>0</v>
      </c>
      <c r="O57" s="6">
        <f t="shared" si="6"/>
        <v>0</v>
      </c>
      <c r="P57" s="6" t="str">
        <f t="shared" si="7"/>
        <v>N</v>
      </c>
      <c r="Q57" s="6">
        <f t="shared" si="8"/>
        <v>6</v>
      </c>
      <c r="R57" s="6" t="str">
        <f t="shared" si="9"/>
        <v>2017</v>
      </c>
      <c r="S57" s="6" t="str">
        <f t="shared" si="10"/>
        <v>Jan</v>
      </c>
    </row>
    <row r="58" spans="1:19" x14ac:dyDescent="0.25">
      <c r="A58" s="6">
        <v>535</v>
      </c>
      <c r="B58" s="6" t="str">
        <f t="shared" si="0"/>
        <v>NIKADM00535</v>
      </c>
      <c r="C58" s="7" t="s">
        <v>563</v>
      </c>
      <c r="D58" s="7" t="s">
        <v>583</v>
      </c>
      <c r="E58" s="7" t="str">
        <f t="shared" si="1"/>
        <v>GAYATRI SUDHAKAR</v>
      </c>
      <c r="F58" s="7" t="s">
        <v>9</v>
      </c>
      <c r="G58" s="22">
        <v>42662</v>
      </c>
      <c r="H58" s="8">
        <v>91369</v>
      </c>
      <c r="I58" s="7" t="str">
        <f t="shared" si="2"/>
        <v>gayatri.sudhakar@ad.sur.ba</v>
      </c>
      <c r="J58" s="6" t="s">
        <v>1534</v>
      </c>
      <c r="K58" s="6">
        <v>78</v>
      </c>
      <c r="L58" s="7" t="str">
        <f t="shared" si="3"/>
        <v>ad.sur.ba</v>
      </c>
      <c r="M58" s="7" t="str">
        <f t="shared" si="4"/>
        <v>S.Gayatri</v>
      </c>
      <c r="N58" s="6">
        <f t="shared" si="5"/>
        <v>0</v>
      </c>
      <c r="O58" s="6">
        <f t="shared" si="6"/>
        <v>0</v>
      </c>
      <c r="P58" s="6" t="str">
        <f t="shared" si="7"/>
        <v>N</v>
      </c>
      <c r="Q58" s="6">
        <f t="shared" si="8"/>
        <v>15</v>
      </c>
      <c r="R58" s="6" t="str">
        <f t="shared" si="9"/>
        <v>2016</v>
      </c>
      <c r="S58" s="6" t="str">
        <f t="shared" si="10"/>
        <v>Oct</v>
      </c>
    </row>
    <row r="59" spans="1:19" x14ac:dyDescent="0.25">
      <c r="A59" s="6">
        <v>557</v>
      </c>
      <c r="B59" s="6" t="str">
        <f t="shared" si="0"/>
        <v>NIKADM00557</v>
      </c>
      <c r="C59" s="7" t="s">
        <v>111</v>
      </c>
      <c r="D59" s="7" t="s">
        <v>736</v>
      </c>
      <c r="E59" s="7" t="str">
        <f t="shared" si="1"/>
        <v>BHARAT NAGPAL</v>
      </c>
      <c r="F59" s="7" t="s">
        <v>9</v>
      </c>
      <c r="G59" s="22">
        <v>41822</v>
      </c>
      <c r="H59" s="8">
        <v>108351</v>
      </c>
      <c r="I59" s="7" t="str">
        <f t="shared" si="2"/>
        <v>bharat.nagpal@ad.nal.ba</v>
      </c>
      <c r="J59" s="6" t="s">
        <v>1548</v>
      </c>
      <c r="K59" s="6">
        <v>86</v>
      </c>
      <c r="L59" s="7" t="str">
        <f t="shared" si="3"/>
        <v>ad.nal.ba</v>
      </c>
      <c r="M59" s="7" t="str">
        <f t="shared" si="4"/>
        <v>N.Bharat</v>
      </c>
      <c r="N59" s="6">
        <f t="shared" si="5"/>
        <v>0</v>
      </c>
      <c r="O59" s="6">
        <f t="shared" si="6"/>
        <v>0</v>
      </c>
      <c r="P59" s="6" t="str">
        <f t="shared" si="7"/>
        <v>N</v>
      </c>
      <c r="Q59" s="6">
        <f t="shared" si="8"/>
        <v>12</v>
      </c>
      <c r="R59" s="6" t="str">
        <f t="shared" si="9"/>
        <v>2014</v>
      </c>
      <c r="S59" s="6" t="str">
        <f t="shared" si="10"/>
        <v>Jul</v>
      </c>
    </row>
    <row r="60" spans="1:19" x14ac:dyDescent="0.25">
      <c r="A60" s="6">
        <v>568</v>
      </c>
      <c r="B60" s="6" t="str">
        <f t="shared" si="0"/>
        <v>NIKADM00568</v>
      </c>
      <c r="C60" s="7" t="s">
        <v>746</v>
      </c>
      <c r="D60" s="7" t="s">
        <v>137</v>
      </c>
      <c r="E60" s="7" t="str">
        <f t="shared" si="1"/>
        <v>NARENDRA KR.</v>
      </c>
      <c r="F60" s="7" t="s">
        <v>9</v>
      </c>
      <c r="G60" s="22">
        <v>41529</v>
      </c>
      <c r="H60" s="8">
        <v>41558</v>
      </c>
      <c r="I60" s="7" t="str">
        <f t="shared" si="2"/>
        <v>narendra.kr.@ad.kr..ba</v>
      </c>
      <c r="J60" s="6" t="s">
        <v>1534</v>
      </c>
      <c r="K60" s="6">
        <v>83</v>
      </c>
      <c r="L60" s="7" t="str">
        <f t="shared" si="3"/>
        <v>ad.kr..ba</v>
      </c>
      <c r="M60" s="7" t="str">
        <f t="shared" si="4"/>
        <v>K.Narendra</v>
      </c>
      <c r="N60" s="6">
        <f t="shared" si="5"/>
        <v>4</v>
      </c>
      <c r="O60" s="6">
        <f t="shared" si="6"/>
        <v>0</v>
      </c>
      <c r="P60" s="6" t="str">
        <f t="shared" si="7"/>
        <v>N</v>
      </c>
      <c r="Q60" s="6">
        <f t="shared" si="8"/>
        <v>11</v>
      </c>
      <c r="R60" s="6" t="str">
        <f t="shared" si="9"/>
        <v>2013</v>
      </c>
      <c r="S60" s="6" t="str">
        <f t="shared" si="10"/>
        <v>Sep</v>
      </c>
    </row>
    <row r="61" spans="1:19" x14ac:dyDescent="0.25">
      <c r="A61" s="6">
        <v>572</v>
      </c>
      <c r="B61" s="6" t="str">
        <f t="shared" si="0"/>
        <v>NIKADM00572</v>
      </c>
      <c r="C61" s="7" t="s">
        <v>751</v>
      </c>
      <c r="D61" s="7" t="s">
        <v>752</v>
      </c>
      <c r="E61" s="7" t="str">
        <f t="shared" si="1"/>
        <v>SWECHHA ACHARYA</v>
      </c>
      <c r="F61" s="7" t="s">
        <v>9</v>
      </c>
      <c r="G61" s="22">
        <v>42751</v>
      </c>
      <c r="H61" s="8">
        <v>64153</v>
      </c>
      <c r="I61" s="7" t="str">
        <f t="shared" si="2"/>
        <v>swechha.acharya@ad.aca.ba</v>
      </c>
      <c r="J61" s="6" t="s">
        <v>1535</v>
      </c>
      <c r="K61" s="6">
        <v>71</v>
      </c>
      <c r="L61" s="7" t="str">
        <f t="shared" si="3"/>
        <v>ad.aca.ba</v>
      </c>
      <c r="M61" s="7" t="str">
        <f t="shared" si="4"/>
        <v>A.Swechha</v>
      </c>
      <c r="N61" s="6">
        <f t="shared" si="5"/>
        <v>3</v>
      </c>
      <c r="O61" s="6">
        <f t="shared" si="6"/>
        <v>0</v>
      </c>
      <c r="P61" s="6" t="str">
        <f t="shared" si="7"/>
        <v>N</v>
      </c>
      <c r="Q61" s="6">
        <f t="shared" si="8"/>
        <v>14</v>
      </c>
      <c r="R61" s="6" t="str">
        <f t="shared" si="9"/>
        <v>2017</v>
      </c>
      <c r="S61" s="6" t="str">
        <f t="shared" si="10"/>
        <v>Jan</v>
      </c>
    </row>
    <row r="62" spans="1:19" x14ac:dyDescent="0.25">
      <c r="A62" s="6">
        <v>578</v>
      </c>
      <c r="B62" s="6" t="str">
        <f t="shared" si="0"/>
        <v>NIKADM00578</v>
      </c>
      <c r="C62" s="7" t="s">
        <v>744</v>
      </c>
      <c r="D62" s="7" t="s">
        <v>760</v>
      </c>
      <c r="E62" s="7" t="str">
        <f t="shared" si="1"/>
        <v>ASHWINI BALAJI</v>
      </c>
      <c r="F62" s="7" t="s">
        <v>9</v>
      </c>
      <c r="G62" s="22">
        <v>42767</v>
      </c>
      <c r="H62" s="8">
        <v>109923</v>
      </c>
      <c r="I62" s="7" t="str">
        <f t="shared" si="2"/>
        <v>ashwini.balaji@ad.bai.ba</v>
      </c>
      <c r="J62" s="6" t="s">
        <v>1543</v>
      </c>
      <c r="K62" s="6">
        <v>52</v>
      </c>
      <c r="L62" s="7" t="str">
        <f t="shared" si="3"/>
        <v>ad.bai.ba</v>
      </c>
      <c r="M62" s="7" t="str">
        <f t="shared" si="4"/>
        <v>B.Ashwini</v>
      </c>
      <c r="N62" s="6">
        <f t="shared" si="5"/>
        <v>0</v>
      </c>
      <c r="O62" s="6">
        <f t="shared" si="6"/>
        <v>0</v>
      </c>
      <c r="P62" s="6" t="str">
        <f t="shared" si="7"/>
        <v>N</v>
      </c>
      <c r="Q62" s="6">
        <f t="shared" si="8"/>
        <v>13</v>
      </c>
      <c r="R62" s="6" t="str">
        <f t="shared" si="9"/>
        <v>2017</v>
      </c>
      <c r="S62" s="6" t="str">
        <f t="shared" si="10"/>
        <v>Feb</v>
      </c>
    </row>
    <row r="63" spans="1:19" x14ac:dyDescent="0.25">
      <c r="A63" s="6">
        <v>579</v>
      </c>
      <c r="B63" s="6" t="str">
        <f t="shared" si="0"/>
        <v>NIKADM00579</v>
      </c>
      <c r="C63" s="7" t="s">
        <v>761</v>
      </c>
      <c r="D63" s="7" t="s">
        <v>762</v>
      </c>
      <c r="E63" s="7" t="str">
        <f t="shared" si="1"/>
        <v>CHARMI PRAVINCHANDRA</v>
      </c>
      <c r="F63" s="7" t="s">
        <v>9</v>
      </c>
      <c r="G63" s="22">
        <v>42569</v>
      </c>
      <c r="H63" s="8">
        <v>56327</v>
      </c>
      <c r="I63" s="7" t="str">
        <f t="shared" si="2"/>
        <v>charmi.pravinchandra@ad.pra.ba</v>
      </c>
      <c r="J63" s="6" t="s">
        <v>1547</v>
      </c>
      <c r="K63" s="6">
        <v>54</v>
      </c>
      <c r="L63" s="7" t="str">
        <f t="shared" si="3"/>
        <v>ad.pra.ba</v>
      </c>
      <c r="M63" s="7" t="str">
        <f t="shared" si="4"/>
        <v>P.Charmi</v>
      </c>
      <c r="N63" s="6">
        <f t="shared" si="5"/>
        <v>0</v>
      </c>
      <c r="O63" s="6">
        <f t="shared" si="6"/>
        <v>0</v>
      </c>
      <c r="P63" s="6" t="str">
        <f t="shared" si="7"/>
        <v>N</v>
      </c>
      <c r="Q63" s="6">
        <f t="shared" si="8"/>
        <v>19</v>
      </c>
      <c r="R63" s="6" t="str">
        <f t="shared" si="9"/>
        <v>2016</v>
      </c>
      <c r="S63" s="6" t="str">
        <f t="shared" si="10"/>
        <v>Jul</v>
      </c>
    </row>
    <row r="64" spans="1:19" x14ac:dyDescent="0.25">
      <c r="A64" s="6">
        <v>585</v>
      </c>
      <c r="B64" s="6" t="str">
        <f t="shared" si="0"/>
        <v>NIKADM00585</v>
      </c>
      <c r="C64" s="7" t="s">
        <v>767</v>
      </c>
      <c r="D64" s="7" t="s">
        <v>768</v>
      </c>
      <c r="E64" s="7" t="str">
        <f t="shared" si="1"/>
        <v>CHANDAN SURI</v>
      </c>
      <c r="F64" s="7" t="s">
        <v>9</v>
      </c>
      <c r="G64" s="22">
        <v>42767</v>
      </c>
      <c r="H64" s="8">
        <v>61043</v>
      </c>
      <c r="I64" s="7" t="str">
        <f t="shared" si="2"/>
        <v>chandan.suri@ad.sui.ba</v>
      </c>
      <c r="J64" s="6" t="s">
        <v>1534</v>
      </c>
      <c r="K64" s="6">
        <v>40</v>
      </c>
      <c r="L64" s="7" t="str">
        <f t="shared" si="3"/>
        <v>ad.sui.ba</v>
      </c>
      <c r="M64" s="7" t="str">
        <f t="shared" si="4"/>
        <v>S.Chandan</v>
      </c>
      <c r="N64" s="6">
        <f t="shared" si="5"/>
        <v>0</v>
      </c>
      <c r="O64" s="6">
        <f t="shared" si="6"/>
        <v>0</v>
      </c>
      <c r="P64" s="6" t="str">
        <f t="shared" si="7"/>
        <v>N</v>
      </c>
      <c r="Q64" s="6">
        <f t="shared" si="8"/>
        <v>11</v>
      </c>
      <c r="R64" s="6" t="str">
        <f t="shared" si="9"/>
        <v>2017</v>
      </c>
      <c r="S64" s="6" t="str">
        <f t="shared" si="10"/>
        <v>Feb</v>
      </c>
    </row>
    <row r="65" spans="1:19" x14ac:dyDescent="0.25">
      <c r="A65" s="6">
        <v>601</v>
      </c>
      <c r="B65" s="6" t="str">
        <f t="shared" si="0"/>
        <v>NIKADM00601</v>
      </c>
      <c r="C65" s="7" t="s">
        <v>726</v>
      </c>
      <c r="D65" s="7" t="s">
        <v>782</v>
      </c>
      <c r="E65" s="7" t="str">
        <f t="shared" si="1"/>
        <v>PRITESH VYAS</v>
      </c>
      <c r="F65" s="7" t="s">
        <v>9</v>
      </c>
      <c r="G65" s="22">
        <v>42611</v>
      </c>
      <c r="H65" s="8">
        <v>42512</v>
      </c>
      <c r="I65" s="7" t="str">
        <f t="shared" si="2"/>
        <v>pritesh.vyas@ad.vys.ba</v>
      </c>
      <c r="J65" s="6" t="s">
        <v>1549</v>
      </c>
      <c r="K65" s="6">
        <v>73</v>
      </c>
      <c r="L65" s="7" t="str">
        <f t="shared" si="3"/>
        <v>ad.vys.ba</v>
      </c>
      <c r="M65" s="7" t="str">
        <f t="shared" si="4"/>
        <v>V.Pritesh</v>
      </c>
      <c r="N65" s="6">
        <f t="shared" si="5"/>
        <v>5</v>
      </c>
      <c r="O65" s="6">
        <f t="shared" si="6"/>
        <v>0</v>
      </c>
      <c r="P65" s="6" t="str">
        <f t="shared" si="7"/>
        <v>N</v>
      </c>
      <c r="Q65" s="6">
        <f t="shared" si="8"/>
        <v>11</v>
      </c>
      <c r="R65" s="6" t="str">
        <f t="shared" si="9"/>
        <v>2016</v>
      </c>
      <c r="S65" s="6" t="str">
        <f t="shared" si="10"/>
        <v>Aug</v>
      </c>
    </row>
    <row r="66" spans="1:19" x14ac:dyDescent="0.25">
      <c r="A66" s="6">
        <v>602</v>
      </c>
      <c r="B66" s="6" t="str">
        <f t="shared" ref="B66:B129" si="11">_xlfn.TEXTJOIN("",TRUE,"NIK",UPPER(LEFT(SUBSTITUTE(SUBSTITUTE(F66," ",""),"&amp;",""),3)),TEXT(A66,"00000"))</f>
        <v>NIKADM00602</v>
      </c>
      <c r="C66" s="7" t="s">
        <v>153</v>
      </c>
      <c r="D66" s="7" t="s">
        <v>140</v>
      </c>
      <c r="E66" s="7" t="str">
        <f t="shared" ref="E66:E129" si="12">_xlfn.TEXTJOIN(" ",TRUE,C66,D66)</f>
        <v>HEMENDRA MISHRA</v>
      </c>
      <c r="F66" s="7" t="s">
        <v>9</v>
      </c>
      <c r="G66" s="22">
        <v>40969</v>
      </c>
      <c r="H66" s="8">
        <v>58687</v>
      </c>
      <c r="I66" s="7" t="str">
        <f t="shared" ref="I66:I129" si="13">LOWER(C66&amp;"."&amp;D66&amp;"@"&amp;LEFT(SUBSTITUTE(F66," ",""),2))&amp;LOWER("."&amp;LEFT(D66,2))&amp;LOWER(RIGHT(D66,1))&amp;".ba"</f>
        <v>hemendra.mishra@ad.mia.ba</v>
      </c>
      <c r="J66" s="6" t="s">
        <v>1540</v>
      </c>
      <c r="K66" s="6">
        <v>44</v>
      </c>
      <c r="L66" s="7" t="str">
        <f t="shared" ref="L66:L129" si="14">RIGHT(I66,LEN(I66)-FIND("@",I66))</f>
        <v>ad.mia.ba</v>
      </c>
      <c r="M66" s="7" t="str">
        <f t="shared" ref="M66:M129" si="15">UPPER(LEFT(D66,1))&amp;"."&amp;PROPER(C66)</f>
        <v>M.Hemendra</v>
      </c>
      <c r="N66" s="6">
        <f t="shared" ref="N66:N129" si="16">IFERROR(SEARCH("e",C66),0)</f>
        <v>2</v>
      </c>
      <c r="O66" s="6">
        <f t="shared" ref="O66:O129" si="17">IFERROR(SEARCH("e",D66),0)</f>
        <v>0</v>
      </c>
      <c r="P66" s="6" t="str">
        <f t="shared" ref="P66:P129" si="18">IF(AND(N66&gt;=1,O66&gt;=1),"Y","N")</f>
        <v>N</v>
      </c>
      <c r="Q66" s="6">
        <f t="shared" ref="Q66:Q129" si="19">LEN(SUBSTITUTE(E66, " ", ""))</f>
        <v>14</v>
      </c>
      <c r="R66" s="6" t="str">
        <f t="shared" ref="R66:R129" si="20">TEXT(G66,"YYYY")</f>
        <v>2012</v>
      </c>
      <c r="S66" s="6" t="str">
        <f t="shared" ref="S66:S129" si="21">TEXT(G66,"MMM")</f>
        <v>Mar</v>
      </c>
    </row>
    <row r="67" spans="1:19" x14ac:dyDescent="0.25">
      <c r="A67" s="6">
        <v>603</v>
      </c>
      <c r="B67" s="6" t="str">
        <f t="shared" si="11"/>
        <v>NIKADM00603</v>
      </c>
      <c r="C67" s="7" t="s">
        <v>783</v>
      </c>
      <c r="D67" s="7" t="s">
        <v>784</v>
      </c>
      <c r="E67" s="7" t="str">
        <f t="shared" si="12"/>
        <v>GARGEE BANERJEE</v>
      </c>
      <c r="F67" s="7" t="s">
        <v>9</v>
      </c>
      <c r="G67" s="22">
        <v>40912</v>
      </c>
      <c r="H67" s="8">
        <v>83407</v>
      </c>
      <c r="I67" s="7" t="str">
        <f t="shared" si="13"/>
        <v>gargee.banerjee@ad.bae.ba</v>
      </c>
      <c r="J67" s="6" t="s">
        <v>1547</v>
      </c>
      <c r="K67" s="6">
        <v>64</v>
      </c>
      <c r="L67" s="7" t="str">
        <f t="shared" si="14"/>
        <v>ad.bae.ba</v>
      </c>
      <c r="M67" s="7" t="str">
        <f t="shared" si="15"/>
        <v>B.Gargee</v>
      </c>
      <c r="N67" s="6">
        <f t="shared" si="16"/>
        <v>5</v>
      </c>
      <c r="O67" s="6">
        <f t="shared" si="17"/>
        <v>4</v>
      </c>
      <c r="P67" s="6" t="str">
        <f t="shared" si="18"/>
        <v>Y</v>
      </c>
      <c r="Q67" s="6">
        <f t="shared" si="19"/>
        <v>14</v>
      </c>
      <c r="R67" s="6" t="str">
        <f t="shared" si="20"/>
        <v>2012</v>
      </c>
      <c r="S67" s="6" t="str">
        <f t="shared" si="21"/>
        <v>Jan</v>
      </c>
    </row>
    <row r="68" spans="1:19" x14ac:dyDescent="0.25">
      <c r="A68" s="6">
        <v>606</v>
      </c>
      <c r="B68" s="6" t="str">
        <f t="shared" si="11"/>
        <v>NIKADM00606</v>
      </c>
      <c r="C68" s="7" t="s">
        <v>143</v>
      </c>
      <c r="D68" s="7" t="s">
        <v>788</v>
      </c>
      <c r="E68" s="7" t="str">
        <f t="shared" si="12"/>
        <v>NITIN CHAWLA</v>
      </c>
      <c r="F68" s="7" t="s">
        <v>9</v>
      </c>
      <c r="G68" s="22">
        <v>42466</v>
      </c>
      <c r="H68" s="8">
        <v>25378</v>
      </c>
      <c r="I68" s="7" t="str">
        <f t="shared" si="13"/>
        <v>nitin.chawla@ad.cha.ba</v>
      </c>
      <c r="J68" s="6" t="s">
        <v>1533</v>
      </c>
      <c r="K68" s="6">
        <v>58</v>
      </c>
      <c r="L68" s="7" t="str">
        <f t="shared" si="14"/>
        <v>ad.cha.ba</v>
      </c>
      <c r="M68" s="7" t="str">
        <f t="shared" si="15"/>
        <v>C.Nitin</v>
      </c>
      <c r="N68" s="6">
        <f t="shared" si="16"/>
        <v>0</v>
      </c>
      <c r="O68" s="6">
        <f t="shared" si="17"/>
        <v>0</v>
      </c>
      <c r="P68" s="6" t="str">
        <f t="shared" si="18"/>
        <v>N</v>
      </c>
      <c r="Q68" s="6">
        <f t="shared" si="19"/>
        <v>11</v>
      </c>
      <c r="R68" s="6" t="str">
        <f t="shared" si="20"/>
        <v>2016</v>
      </c>
      <c r="S68" s="6" t="str">
        <f t="shared" si="21"/>
        <v>Apr</v>
      </c>
    </row>
    <row r="69" spans="1:19" x14ac:dyDescent="0.25">
      <c r="A69" s="6">
        <v>615</v>
      </c>
      <c r="B69" s="6" t="str">
        <f t="shared" si="11"/>
        <v>NIKADM00615</v>
      </c>
      <c r="C69" s="7" t="s">
        <v>799</v>
      </c>
      <c r="D69" s="7" t="s">
        <v>800</v>
      </c>
      <c r="E69" s="7" t="str">
        <f t="shared" si="12"/>
        <v>NIMISHA THAPLIYAL</v>
      </c>
      <c r="F69" s="7" t="s">
        <v>9</v>
      </c>
      <c r="G69" s="22">
        <v>43017</v>
      </c>
      <c r="H69" s="8">
        <v>43960</v>
      </c>
      <c r="I69" s="7" t="str">
        <f t="shared" si="13"/>
        <v>nimisha.thapliyal@ad.thl.ba</v>
      </c>
      <c r="J69" s="6" t="s">
        <v>1544</v>
      </c>
      <c r="K69" s="6">
        <v>48</v>
      </c>
      <c r="L69" s="7" t="str">
        <f t="shared" si="14"/>
        <v>ad.thl.ba</v>
      </c>
      <c r="M69" s="7" t="str">
        <f t="shared" si="15"/>
        <v>T.Nimisha</v>
      </c>
      <c r="N69" s="6">
        <f t="shared" si="16"/>
        <v>0</v>
      </c>
      <c r="O69" s="6">
        <f t="shared" si="17"/>
        <v>0</v>
      </c>
      <c r="P69" s="6" t="str">
        <f t="shared" si="18"/>
        <v>N</v>
      </c>
      <c r="Q69" s="6">
        <f t="shared" si="19"/>
        <v>16</v>
      </c>
      <c r="R69" s="6" t="str">
        <f t="shared" si="20"/>
        <v>2017</v>
      </c>
      <c r="S69" s="6" t="str">
        <f t="shared" si="21"/>
        <v>Oct</v>
      </c>
    </row>
    <row r="70" spans="1:19" x14ac:dyDescent="0.25">
      <c r="A70" s="6">
        <v>622</v>
      </c>
      <c r="B70" s="6" t="str">
        <f t="shared" si="11"/>
        <v>NIKADM00622</v>
      </c>
      <c r="C70" s="7" t="s">
        <v>146</v>
      </c>
      <c r="D70" s="7" t="s">
        <v>79</v>
      </c>
      <c r="E70" s="7" t="str">
        <f t="shared" si="12"/>
        <v>ANKIT TYAGI</v>
      </c>
      <c r="F70" s="7" t="s">
        <v>9</v>
      </c>
      <c r="G70" s="22">
        <v>42410</v>
      </c>
      <c r="H70" s="8">
        <v>106933</v>
      </c>
      <c r="I70" s="7" t="str">
        <f t="shared" si="13"/>
        <v>ankit.tyagi@ad.tyi.ba</v>
      </c>
      <c r="J70" s="6" t="s">
        <v>1550</v>
      </c>
      <c r="K70" s="6">
        <v>86</v>
      </c>
      <c r="L70" s="7" t="str">
        <f t="shared" si="14"/>
        <v>ad.tyi.ba</v>
      </c>
      <c r="M70" s="7" t="str">
        <f t="shared" si="15"/>
        <v>T.Ankit</v>
      </c>
      <c r="N70" s="6">
        <f t="shared" si="16"/>
        <v>0</v>
      </c>
      <c r="O70" s="6">
        <f t="shared" si="17"/>
        <v>0</v>
      </c>
      <c r="P70" s="6" t="str">
        <f t="shared" si="18"/>
        <v>N</v>
      </c>
      <c r="Q70" s="6">
        <f t="shared" si="19"/>
        <v>10</v>
      </c>
      <c r="R70" s="6" t="str">
        <f t="shared" si="20"/>
        <v>2016</v>
      </c>
      <c r="S70" s="6" t="str">
        <f t="shared" si="21"/>
        <v>Feb</v>
      </c>
    </row>
    <row r="71" spans="1:19" x14ac:dyDescent="0.25">
      <c r="A71" s="6">
        <v>630</v>
      </c>
      <c r="B71" s="6" t="str">
        <f t="shared" si="11"/>
        <v>NIKADM00630</v>
      </c>
      <c r="C71" s="7" t="s">
        <v>309</v>
      </c>
      <c r="D71" s="7" t="s">
        <v>811</v>
      </c>
      <c r="E71" s="7" t="str">
        <f t="shared" si="12"/>
        <v>SUMIT UPADHYAYA</v>
      </c>
      <c r="F71" s="7" t="s">
        <v>9</v>
      </c>
      <c r="G71" s="22">
        <v>40519</v>
      </c>
      <c r="H71" s="8">
        <v>96623</v>
      </c>
      <c r="I71" s="7" t="str">
        <f t="shared" si="13"/>
        <v>sumit.upadhyaya@ad.upa.ba</v>
      </c>
      <c r="J71" s="6" t="s">
        <v>1548</v>
      </c>
      <c r="K71" s="6">
        <v>84</v>
      </c>
      <c r="L71" s="7" t="str">
        <f t="shared" si="14"/>
        <v>ad.upa.ba</v>
      </c>
      <c r="M71" s="7" t="str">
        <f t="shared" si="15"/>
        <v>U.Sumit</v>
      </c>
      <c r="N71" s="6">
        <f t="shared" si="16"/>
        <v>0</v>
      </c>
      <c r="O71" s="6">
        <f t="shared" si="17"/>
        <v>0</v>
      </c>
      <c r="P71" s="6" t="str">
        <f t="shared" si="18"/>
        <v>N</v>
      </c>
      <c r="Q71" s="6">
        <f t="shared" si="19"/>
        <v>14</v>
      </c>
      <c r="R71" s="6" t="str">
        <f t="shared" si="20"/>
        <v>2010</v>
      </c>
      <c r="S71" s="6" t="str">
        <f t="shared" si="21"/>
        <v>Dec</v>
      </c>
    </row>
    <row r="72" spans="1:19" x14ac:dyDescent="0.25">
      <c r="A72" s="6">
        <v>634</v>
      </c>
      <c r="B72" s="6" t="str">
        <f t="shared" si="11"/>
        <v>NIKADM00634</v>
      </c>
      <c r="C72" s="7" t="s">
        <v>296</v>
      </c>
      <c r="D72" s="7" t="s">
        <v>815</v>
      </c>
      <c r="E72" s="7" t="str">
        <f t="shared" si="12"/>
        <v>DEEPAK BHANUDAS</v>
      </c>
      <c r="F72" s="7" t="s">
        <v>9</v>
      </c>
      <c r="G72" s="22">
        <v>42625</v>
      </c>
      <c r="H72" s="8">
        <v>76112</v>
      </c>
      <c r="I72" s="7" t="str">
        <f t="shared" si="13"/>
        <v>deepak.bhanudas@ad.bhs.ba</v>
      </c>
      <c r="J72" s="6" t="s">
        <v>1534</v>
      </c>
      <c r="K72" s="6">
        <v>45</v>
      </c>
      <c r="L72" s="7" t="str">
        <f t="shared" si="14"/>
        <v>ad.bhs.ba</v>
      </c>
      <c r="M72" s="7" t="str">
        <f t="shared" si="15"/>
        <v>B.Deepak</v>
      </c>
      <c r="N72" s="6">
        <f t="shared" si="16"/>
        <v>2</v>
      </c>
      <c r="O72" s="6">
        <f t="shared" si="17"/>
        <v>0</v>
      </c>
      <c r="P72" s="6" t="str">
        <f t="shared" si="18"/>
        <v>N</v>
      </c>
      <c r="Q72" s="6">
        <f t="shared" si="19"/>
        <v>14</v>
      </c>
      <c r="R72" s="6" t="str">
        <f t="shared" si="20"/>
        <v>2016</v>
      </c>
      <c r="S72" s="6" t="str">
        <f t="shared" si="21"/>
        <v>Sep</v>
      </c>
    </row>
    <row r="73" spans="1:19" x14ac:dyDescent="0.25">
      <c r="A73" s="6">
        <v>636</v>
      </c>
      <c r="B73" s="6" t="str">
        <f t="shared" si="11"/>
        <v>NIKADM00636</v>
      </c>
      <c r="C73" s="7" t="s">
        <v>817</v>
      </c>
      <c r="D73" s="7" t="s">
        <v>818</v>
      </c>
      <c r="E73" s="7" t="str">
        <f t="shared" si="12"/>
        <v>RASHMI RATHORE</v>
      </c>
      <c r="F73" s="7" t="s">
        <v>9</v>
      </c>
      <c r="G73" s="22">
        <v>42935</v>
      </c>
      <c r="H73" s="8">
        <v>46420</v>
      </c>
      <c r="I73" s="7" t="str">
        <f t="shared" si="13"/>
        <v>rashmi.rathore@ad.rae.ba</v>
      </c>
      <c r="J73" s="6" t="s">
        <v>1547</v>
      </c>
      <c r="K73" s="6">
        <v>43</v>
      </c>
      <c r="L73" s="7" t="str">
        <f t="shared" si="14"/>
        <v>ad.rae.ba</v>
      </c>
      <c r="M73" s="7" t="str">
        <f t="shared" si="15"/>
        <v>R.Rashmi</v>
      </c>
      <c r="N73" s="6">
        <f t="shared" si="16"/>
        <v>0</v>
      </c>
      <c r="O73" s="6">
        <f t="shared" si="17"/>
        <v>7</v>
      </c>
      <c r="P73" s="6" t="str">
        <f t="shared" si="18"/>
        <v>N</v>
      </c>
      <c r="Q73" s="6">
        <f t="shared" si="19"/>
        <v>13</v>
      </c>
      <c r="R73" s="6" t="str">
        <f t="shared" si="20"/>
        <v>2017</v>
      </c>
      <c r="S73" s="6" t="str">
        <f t="shared" si="21"/>
        <v>Jul</v>
      </c>
    </row>
    <row r="74" spans="1:19" x14ac:dyDescent="0.25">
      <c r="A74" s="6">
        <v>642</v>
      </c>
      <c r="B74" s="6" t="str">
        <f t="shared" si="11"/>
        <v>NIKADM00642</v>
      </c>
      <c r="C74" s="7" t="s">
        <v>146</v>
      </c>
      <c r="D74" s="7" t="s">
        <v>55</v>
      </c>
      <c r="E74" s="7" t="str">
        <f t="shared" si="12"/>
        <v>ANKIT SHARMA</v>
      </c>
      <c r="F74" s="7" t="s">
        <v>9</v>
      </c>
      <c r="G74" s="22">
        <v>42979</v>
      </c>
      <c r="H74" s="8">
        <v>84777</v>
      </c>
      <c r="I74" s="7" t="str">
        <f t="shared" si="13"/>
        <v>ankit.sharma@ad.sha.ba</v>
      </c>
      <c r="J74" s="6" t="s">
        <v>1543</v>
      </c>
      <c r="K74" s="6">
        <v>38</v>
      </c>
      <c r="L74" s="7" t="str">
        <f t="shared" si="14"/>
        <v>ad.sha.ba</v>
      </c>
      <c r="M74" s="7" t="str">
        <f t="shared" si="15"/>
        <v>S.Ankit</v>
      </c>
      <c r="N74" s="6">
        <f t="shared" si="16"/>
        <v>0</v>
      </c>
      <c r="O74" s="6">
        <f t="shared" si="17"/>
        <v>0</v>
      </c>
      <c r="P74" s="6" t="str">
        <f t="shared" si="18"/>
        <v>N</v>
      </c>
      <c r="Q74" s="6">
        <f t="shared" si="19"/>
        <v>11</v>
      </c>
      <c r="R74" s="6" t="str">
        <f t="shared" si="20"/>
        <v>2017</v>
      </c>
      <c r="S74" s="6" t="str">
        <f t="shared" si="21"/>
        <v>Sep</v>
      </c>
    </row>
    <row r="75" spans="1:19" x14ac:dyDescent="0.25">
      <c r="A75" s="6">
        <v>643</v>
      </c>
      <c r="B75" s="6" t="str">
        <f t="shared" si="11"/>
        <v>NIKADM00643</v>
      </c>
      <c r="C75" s="7" t="s">
        <v>146</v>
      </c>
      <c r="D75" s="7" t="s">
        <v>68</v>
      </c>
      <c r="E75" s="7" t="str">
        <f t="shared" si="12"/>
        <v>ANKIT KUMAR</v>
      </c>
      <c r="F75" s="7" t="s">
        <v>9</v>
      </c>
      <c r="G75" s="22">
        <v>41426</v>
      </c>
      <c r="H75" s="8">
        <v>101338</v>
      </c>
      <c r="I75" s="7" t="str">
        <f t="shared" si="13"/>
        <v>ankit.kumar@ad.kur.ba</v>
      </c>
      <c r="J75" s="6" t="s">
        <v>1549</v>
      </c>
      <c r="K75" s="6">
        <v>75</v>
      </c>
      <c r="L75" s="7" t="str">
        <f t="shared" si="14"/>
        <v>ad.kur.ba</v>
      </c>
      <c r="M75" s="7" t="str">
        <f t="shared" si="15"/>
        <v>K.Ankit</v>
      </c>
      <c r="N75" s="6">
        <f t="shared" si="16"/>
        <v>0</v>
      </c>
      <c r="O75" s="6">
        <f t="shared" si="17"/>
        <v>0</v>
      </c>
      <c r="P75" s="6" t="str">
        <f t="shared" si="18"/>
        <v>N</v>
      </c>
      <c r="Q75" s="6">
        <f t="shared" si="19"/>
        <v>10</v>
      </c>
      <c r="R75" s="6" t="str">
        <f t="shared" si="20"/>
        <v>2013</v>
      </c>
      <c r="S75" s="6" t="str">
        <f t="shared" si="21"/>
        <v>Jun</v>
      </c>
    </row>
    <row r="76" spans="1:19" x14ac:dyDescent="0.25">
      <c r="A76" s="6">
        <v>655</v>
      </c>
      <c r="B76" s="6" t="str">
        <f t="shared" si="11"/>
        <v>NIKADM00655</v>
      </c>
      <c r="C76" s="7" t="s">
        <v>833</v>
      </c>
      <c r="D76" s="7" t="s">
        <v>834</v>
      </c>
      <c r="E76" s="7" t="str">
        <f t="shared" si="12"/>
        <v>SV SENTHIL</v>
      </c>
      <c r="F76" s="7" t="s">
        <v>9</v>
      </c>
      <c r="G76" s="22">
        <v>42167</v>
      </c>
      <c r="H76" s="8">
        <v>96629</v>
      </c>
      <c r="I76" s="7" t="str">
        <f t="shared" si="13"/>
        <v>sv.senthil@ad.sel.ba</v>
      </c>
      <c r="J76" s="6" t="s">
        <v>1534</v>
      </c>
      <c r="K76" s="6">
        <v>57</v>
      </c>
      <c r="L76" s="7" t="str">
        <f t="shared" si="14"/>
        <v>ad.sel.ba</v>
      </c>
      <c r="M76" s="7" t="str">
        <f t="shared" si="15"/>
        <v>S.Sv</v>
      </c>
      <c r="N76" s="6">
        <f t="shared" si="16"/>
        <v>0</v>
      </c>
      <c r="O76" s="6">
        <f t="shared" si="17"/>
        <v>2</v>
      </c>
      <c r="P76" s="6" t="str">
        <f t="shared" si="18"/>
        <v>N</v>
      </c>
      <c r="Q76" s="6">
        <f t="shared" si="19"/>
        <v>9</v>
      </c>
      <c r="R76" s="6" t="str">
        <f t="shared" si="20"/>
        <v>2015</v>
      </c>
      <c r="S76" s="6" t="str">
        <f t="shared" si="21"/>
        <v>Jun</v>
      </c>
    </row>
    <row r="77" spans="1:19" x14ac:dyDescent="0.25">
      <c r="A77" s="6">
        <v>656</v>
      </c>
      <c r="B77" s="6" t="str">
        <f t="shared" si="11"/>
        <v>NIKADM00656</v>
      </c>
      <c r="C77" s="7" t="s">
        <v>835</v>
      </c>
      <c r="D77" s="7" t="s">
        <v>501</v>
      </c>
      <c r="E77" s="7" t="str">
        <f t="shared" si="12"/>
        <v>HETASHRI PATEL</v>
      </c>
      <c r="F77" s="7" t="s">
        <v>9</v>
      </c>
      <c r="G77" s="22">
        <v>43048</v>
      </c>
      <c r="H77" s="8">
        <v>79249</v>
      </c>
      <c r="I77" s="7" t="str">
        <f t="shared" si="13"/>
        <v>hetashri.patel@ad.pal.ba</v>
      </c>
      <c r="J77" s="6" t="s">
        <v>1549</v>
      </c>
      <c r="K77" s="6">
        <v>65</v>
      </c>
      <c r="L77" s="7" t="str">
        <f t="shared" si="14"/>
        <v>ad.pal.ba</v>
      </c>
      <c r="M77" s="7" t="str">
        <f t="shared" si="15"/>
        <v>P.Hetashri</v>
      </c>
      <c r="N77" s="6">
        <f t="shared" si="16"/>
        <v>2</v>
      </c>
      <c r="O77" s="6">
        <f t="shared" si="17"/>
        <v>4</v>
      </c>
      <c r="P77" s="6" t="str">
        <f t="shared" si="18"/>
        <v>Y</v>
      </c>
      <c r="Q77" s="6">
        <f t="shared" si="19"/>
        <v>13</v>
      </c>
      <c r="R77" s="6" t="str">
        <f t="shared" si="20"/>
        <v>2017</v>
      </c>
      <c r="S77" s="6" t="str">
        <f t="shared" si="21"/>
        <v>Nov</v>
      </c>
    </row>
    <row r="78" spans="1:19" x14ac:dyDescent="0.25">
      <c r="A78" s="6">
        <v>666</v>
      </c>
      <c r="B78" s="6" t="str">
        <f t="shared" si="11"/>
        <v>NIKADM00666</v>
      </c>
      <c r="C78" s="7" t="s">
        <v>845</v>
      </c>
      <c r="D78" s="7" t="s">
        <v>846</v>
      </c>
      <c r="E78" s="7" t="str">
        <f t="shared" si="12"/>
        <v>VASIM NOBI</v>
      </c>
      <c r="F78" s="7" t="s">
        <v>9</v>
      </c>
      <c r="G78" s="22">
        <v>42396</v>
      </c>
      <c r="H78" s="8">
        <v>83560</v>
      </c>
      <c r="I78" s="7" t="str">
        <f t="shared" si="13"/>
        <v>vasim.nobi@ad.noi.ba</v>
      </c>
      <c r="J78" s="6" t="s">
        <v>1535</v>
      </c>
      <c r="K78" s="6">
        <v>35</v>
      </c>
      <c r="L78" s="7" t="str">
        <f t="shared" si="14"/>
        <v>ad.noi.ba</v>
      </c>
      <c r="M78" s="7" t="str">
        <f t="shared" si="15"/>
        <v>N.Vasim</v>
      </c>
      <c r="N78" s="6">
        <f t="shared" si="16"/>
        <v>0</v>
      </c>
      <c r="O78" s="6">
        <f t="shared" si="17"/>
        <v>0</v>
      </c>
      <c r="P78" s="6" t="str">
        <f t="shared" si="18"/>
        <v>N</v>
      </c>
      <c r="Q78" s="6">
        <f t="shared" si="19"/>
        <v>9</v>
      </c>
      <c r="R78" s="6" t="str">
        <f t="shared" si="20"/>
        <v>2016</v>
      </c>
      <c r="S78" s="6" t="str">
        <f t="shared" si="21"/>
        <v>Jan</v>
      </c>
    </row>
    <row r="79" spans="1:19" x14ac:dyDescent="0.25">
      <c r="A79" s="6">
        <v>672</v>
      </c>
      <c r="B79" s="6" t="str">
        <f t="shared" si="11"/>
        <v>NIKADM00672</v>
      </c>
      <c r="C79" s="7" t="s">
        <v>618</v>
      </c>
      <c r="D79" s="7" t="s">
        <v>852</v>
      </c>
      <c r="E79" s="7" t="str">
        <f t="shared" si="12"/>
        <v>SHIV DAYAL</v>
      </c>
      <c r="F79" s="7" t="s">
        <v>9</v>
      </c>
      <c r="G79" s="22">
        <v>42935</v>
      </c>
      <c r="H79" s="8">
        <v>91631</v>
      </c>
      <c r="I79" s="7" t="str">
        <f t="shared" si="13"/>
        <v>shiv.dayal@ad.dal.ba</v>
      </c>
      <c r="J79" s="6" t="s">
        <v>1544</v>
      </c>
      <c r="K79" s="6">
        <v>49</v>
      </c>
      <c r="L79" s="7" t="str">
        <f t="shared" si="14"/>
        <v>ad.dal.ba</v>
      </c>
      <c r="M79" s="7" t="str">
        <f t="shared" si="15"/>
        <v>D.Shiv</v>
      </c>
      <c r="N79" s="6">
        <f t="shared" si="16"/>
        <v>0</v>
      </c>
      <c r="O79" s="6">
        <f t="shared" si="17"/>
        <v>0</v>
      </c>
      <c r="P79" s="6" t="str">
        <f t="shared" si="18"/>
        <v>N</v>
      </c>
      <c r="Q79" s="6">
        <f t="shared" si="19"/>
        <v>9</v>
      </c>
      <c r="R79" s="6" t="str">
        <f t="shared" si="20"/>
        <v>2017</v>
      </c>
      <c r="S79" s="6" t="str">
        <f t="shared" si="21"/>
        <v>Jul</v>
      </c>
    </row>
    <row r="80" spans="1:19" x14ac:dyDescent="0.25">
      <c r="A80" s="6">
        <v>679</v>
      </c>
      <c r="B80" s="6" t="str">
        <f t="shared" si="11"/>
        <v>NIKADM00679</v>
      </c>
      <c r="C80" s="7" t="s">
        <v>288</v>
      </c>
      <c r="D80" s="7" t="s">
        <v>859</v>
      </c>
      <c r="E80" s="7" t="str">
        <f t="shared" si="12"/>
        <v>PIYUSH DESHMUKH</v>
      </c>
      <c r="F80" s="7" t="s">
        <v>9</v>
      </c>
      <c r="G80" s="22">
        <v>42902</v>
      </c>
      <c r="H80" s="8">
        <v>28372</v>
      </c>
      <c r="I80" s="7" t="str">
        <f t="shared" si="13"/>
        <v>piyush.deshmukh@ad.deh.ba</v>
      </c>
      <c r="J80" s="6" t="s">
        <v>1547</v>
      </c>
      <c r="K80" s="6">
        <v>75</v>
      </c>
      <c r="L80" s="7" t="str">
        <f t="shared" si="14"/>
        <v>ad.deh.ba</v>
      </c>
      <c r="M80" s="7" t="str">
        <f t="shared" si="15"/>
        <v>D.Piyush</v>
      </c>
      <c r="N80" s="6">
        <f t="shared" si="16"/>
        <v>0</v>
      </c>
      <c r="O80" s="6">
        <f t="shared" si="17"/>
        <v>2</v>
      </c>
      <c r="P80" s="6" t="str">
        <f t="shared" si="18"/>
        <v>N</v>
      </c>
      <c r="Q80" s="6">
        <f t="shared" si="19"/>
        <v>14</v>
      </c>
      <c r="R80" s="6" t="str">
        <f t="shared" si="20"/>
        <v>2017</v>
      </c>
      <c r="S80" s="6" t="str">
        <f t="shared" si="21"/>
        <v>Jun</v>
      </c>
    </row>
    <row r="81" spans="1:19" x14ac:dyDescent="0.25">
      <c r="A81" s="6">
        <v>688</v>
      </c>
      <c r="B81" s="6" t="str">
        <f t="shared" si="11"/>
        <v>NIKADM00688</v>
      </c>
      <c r="C81" s="7" t="s">
        <v>865</v>
      </c>
      <c r="D81" s="7" t="s">
        <v>697</v>
      </c>
      <c r="E81" s="7" t="str">
        <f t="shared" si="12"/>
        <v>DHAVAL M</v>
      </c>
      <c r="F81" s="7" t="s">
        <v>9</v>
      </c>
      <c r="G81" s="22">
        <v>42543</v>
      </c>
      <c r="H81" s="8">
        <v>63619</v>
      </c>
      <c r="I81" s="7" t="str">
        <f t="shared" si="13"/>
        <v>dhaval.m@ad.mm.ba</v>
      </c>
      <c r="J81" s="6" t="s">
        <v>1539</v>
      </c>
      <c r="K81" s="6">
        <v>69</v>
      </c>
      <c r="L81" s="7" t="str">
        <f t="shared" si="14"/>
        <v>ad.mm.ba</v>
      </c>
      <c r="M81" s="7" t="str">
        <f t="shared" si="15"/>
        <v>M.Dhaval</v>
      </c>
      <c r="N81" s="6">
        <f t="shared" si="16"/>
        <v>0</v>
      </c>
      <c r="O81" s="6">
        <f t="shared" si="17"/>
        <v>0</v>
      </c>
      <c r="P81" s="6" t="str">
        <f t="shared" si="18"/>
        <v>N</v>
      </c>
      <c r="Q81" s="6">
        <f t="shared" si="19"/>
        <v>7</v>
      </c>
      <c r="R81" s="6" t="str">
        <f t="shared" si="20"/>
        <v>2016</v>
      </c>
      <c r="S81" s="6" t="str">
        <f t="shared" si="21"/>
        <v>Jun</v>
      </c>
    </row>
    <row r="82" spans="1:19" x14ac:dyDescent="0.25">
      <c r="A82" s="6">
        <v>692</v>
      </c>
      <c r="B82" s="6" t="str">
        <f t="shared" si="11"/>
        <v>NIKADM00692</v>
      </c>
      <c r="C82" s="7" t="s">
        <v>605</v>
      </c>
      <c r="D82" s="7" t="s">
        <v>868</v>
      </c>
      <c r="E82" s="7" t="str">
        <f t="shared" si="12"/>
        <v>TANMAY MAHAJAN</v>
      </c>
      <c r="F82" s="7" t="s">
        <v>9</v>
      </c>
      <c r="G82" s="22">
        <v>42527</v>
      </c>
      <c r="H82" s="8">
        <v>74846</v>
      </c>
      <c r="I82" s="7" t="str">
        <f t="shared" si="13"/>
        <v>tanmay.mahajan@ad.man.ba</v>
      </c>
      <c r="J82" s="6" t="s">
        <v>1542</v>
      </c>
      <c r="K82" s="6">
        <v>40</v>
      </c>
      <c r="L82" s="7" t="str">
        <f t="shared" si="14"/>
        <v>ad.man.ba</v>
      </c>
      <c r="M82" s="7" t="str">
        <f t="shared" si="15"/>
        <v>M.Tanmay</v>
      </c>
      <c r="N82" s="6">
        <f t="shared" si="16"/>
        <v>0</v>
      </c>
      <c r="O82" s="6">
        <f t="shared" si="17"/>
        <v>0</v>
      </c>
      <c r="P82" s="6" t="str">
        <f t="shared" si="18"/>
        <v>N</v>
      </c>
      <c r="Q82" s="6">
        <f t="shared" si="19"/>
        <v>13</v>
      </c>
      <c r="R82" s="6" t="str">
        <f t="shared" si="20"/>
        <v>2016</v>
      </c>
      <c r="S82" s="6" t="str">
        <f t="shared" si="21"/>
        <v>Jun</v>
      </c>
    </row>
    <row r="83" spans="1:19" x14ac:dyDescent="0.25">
      <c r="A83" s="6">
        <v>694</v>
      </c>
      <c r="B83" s="6" t="str">
        <f t="shared" si="11"/>
        <v>NIKADM00694</v>
      </c>
      <c r="C83" s="7" t="s">
        <v>870</v>
      </c>
      <c r="D83" s="7" t="s">
        <v>187</v>
      </c>
      <c r="E83" s="7" t="str">
        <f t="shared" si="12"/>
        <v>BHASKAR ANAND</v>
      </c>
      <c r="F83" s="7" t="s">
        <v>9</v>
      </c>
      <c r="G83" s="22">
        <v>41696</v>
      </c>
      <c r="H83" s="8">
        <v>38405</v>
      </c>
      <c r="I83" s="7" t="str">
        <f t="shared" si="13"/>
        <v>bhaskar.anand@ad.and.ba</v>
      </c>
      <c r="J83" s="6" t="s">
        <v>1540</v>
      </c>
      <c r="K83" s="6">
        <v>53</v>
      </c>
      <c r="L83" s="7" t="str">
        <f t="shared" si="14"/>
        <v>ad.and.ba</v>
      </c>
      <c r="M83" s="7" t="str">
        <f t="shared" si="15"/>
        <v>A.Bhaskar</v>
      </c>
      <c r="N83" s="6">
        <f t="shared" si="16"/>
        <v>0</v>
      </c>
      <c r="O83" s="6">
        <f t="shared" si="17"/>
        <v>0</v>
      </c>
      <c r="P83" s="6" t="str">
        <f t="shared" si="18"/>
        <v>N</v>
      </c>
      <c r="Q83" s="6">
        <f t="shared" si="19"/>
        <v>12</v>
      </c>
      <c r="R83" s="6" t="str">
        <f t="shared" si="20"/>
        <v>2014</v>
      </c>
      <c r="S83" s="6" t="str">
        <f t="shared" si="21"/>
        <v>Feb</v>
      </c>
    </row>
    <row r="84" spans="1:19" x14ac:dyDescent="0.25">
      <c r="A84" s="6">
        <v>702</v>
      </c>
      <c r="B84" s="6" t="str">
        <f t="shared" si="11"/>
        <v>NIKADM00702</v>
      </c>
      <c r="C84" s="7" t="s">
        <v>843</v>
      </c>
      <c r="D84" s="7" t="s">
        <v>879</v>
      </c>
      <c r="E84" s="7" t="str">
        <f t="shared" si="12"/>
        <v>NIKHIL MEHLA</v>
      </c>
      <c r="F84" s="7" t="s">
        <v>9</v>
      </c>
      <c r="G84" s="22">
        <v>43227</v>
      </c>
      <c r="H84" s="8">
        <v>73475</v>
      </c>
      <c r="I84" s="7" t="str">
        <f t="shared" si="13"/>
        <v>nikhil.mehla@ad.mea.ba</v>
      </c>
      <c r="J84" s="6" t="s">
        <v>1540</v>
      </c>
      <c r="K84" s="6">
        <v>58</v>
      </c>
      <c r="L84" s="7" t="str">
        <f t="shared" si="14"/>
        <v>ad.mea.ba</v>
      </c>
      <c r="M84" s="7" t="str">
        <f t="shared" si="15"/>
        <v>M.Nikhil</v>
      </c>
      <c r="N84" s="6">
        <f t="shared" si="16"/>
        <v>0</v>
      </c>
      <c r="O84" s="6">
        <f t="shared" si="17"/>
        <v>2</v>
      </c>
      <c r="P84" s="6" t="str">
        <f t="shared" si="18"/>
        <v>N</v>
      </c>
      <c r="Q84" s="6">
        <f t="shared" si="19"/>
        <v>11</v>
      </c>
      <c r="R84" s="6" t="str">
        <f t="shared" si="20"/>
        <v>2018</v>
      </c>
      <c r="S84" s="6" t="str">
        <f t="shared" si="21"/>
        <v>May</v>
      </c>
    </row>
    <row r="85" spans="1:19" x14ac:dyDescent="0.25">
      <c r="A85" s="6">
        <v>704</v>
      </c>
      <c r="B85" s="6" t="str">
        <f t="shared" si="11"/>
        <v>NIKADM00704</v>
      </c>
      <c r="C85" s="7" t="s">
        <v>880</v>
      </c>
      <c r="D85" s="7" t="s">
        <v>241</v>
      </c>
      <c r="E85" s="7" t="str">
        <f t="shared" si="12"/>
        <v>TOSHAK KISHOR</v>
      </c>
      <c r="F85" s="7" t="s">
        <v>9</v>
      </c>
      <c r="G85" s="22">
        <v>42982</v>
      </c>
      <c r="H85" s="8">
        <v>79072</v>
      </c>
      <c r="I85" s="7" t="str">
        <f t="shared" si="13"/>
        <v>toshak.kishor@ad.kir.ba</v>
      </c>
      <c r="J85" s="6" t="s">
        <v>1543</v>
      </c>
      <c r="K85" s="6">
        <v>50</v>
      </c>
      <c r="L85" s="7" t="str">
        <f t="shared" si="14"/>
        <v>ad.kir.ba</v>
      </c>
      <c r="M85" s="7" t="str">
        <f t="shared" si="15"/>
        <v>K.Toshak</v>
      </c>
      <c r="N85" s="6">
        <f t="shared" si="16"/>
        <v>0</v>
      </c>
      <c r="O85" s="6">
        <f t="shared" si="17"/>
        <v>0</v>
      </c>
      <c r="P85" s="6" t="str">
        <f t="shared" si="18"/>
        <v>N</v>
      </c>
      <c r="Q85" s="6">
        <f t="shared" si="19"/>
        <v>12</v>
      </c>
      <c r="R85" s="6" t="str">
        <f t="shared" si="20"/>
        <v>2017</v>
      </c>
      <c r="S85" s="6" t="str">
        <f t="shared" si="21"/>
        <v>Sep</v>
      </c>
    </row>
    <row r="86" spans="1:19" x14ac:dyDescent="0.25">
      <c r="A86" s="6">
        <v>710</v>
      </c>
      <c r="B86" s="6" t="str">
        <f t="shared" si="11"/>
        <v>NIKADM00710</v>
      </c>
      <c r="C86" s="7" t="s">
        <v>190</v>
      </c>
      <c r="D86" s="7" t="s">
        <v>888</v>
      </c>
      <c r="E86" s="7" t="str">
        <f t="shared" si="12"/>
        <v>ABHISHEK JOHN</v>
      </c>
      <c r="F86" s="7" t="s">
        <v>9</v>
      </c>
      <c r="G86" s="22">
        <v>42935</v>
      </c>
      <c r="H86" s="8">
        <v>87709</v>
      </c>
      <c r="I86" s="7" t="str">
        <f t="shared" si="13"/>
        <v>abhishek.john@ad.jon.ba</v>
      </c>
      <c r="J86" s="6" t="s">
        <v>1541</v>
      </c>
      <c r="K86" s="6">
        <v>90</v>
      </c>
      <c r="L86" s="7" t="str">
        <f t="shared" si="14"/>
        <v>ad.jon.ba</v>
      </c>
      <c r="M86" s="7" t="str">
        <f t="shared" si="15"/>
        <v>J.Abhishek</v>
      </c>
      <c r="N86" s="6">
        <f t="shared" si="16"/>
        <v>7</v>
      </c>
      <c r="O86" s="6">
        <f t="shared" si="17"/>
        <v>0</v>
      </c>
      <c r="P86" s="6" t="str">
        <f t="shared" si="18"/>
        <v>N</v>
      </c>
      <c r="Q86" s="6">
        <f t="shared" si="19"/>
        <v>12</v>
      </c>
      <c r="R86" s="6" t="str">
        <f t="shared" si="20"/>
        <v>2017</v>
      </c>
      <c r="S86" s="6" t="str">
        <f t="shared" si="21"/>
        <v>Jul</v>
      </c>
    </row>
    <row r="87" spans="1:19" x14ac:dyDescent="0.25">
      <c r="A87" s="6">
        <v>711</v>
      </c>
      <c r="B87" s="6" t="str">
        <f t="shared" si="11"/>
        <v>NIKADM00711</v>
      </c>
      <c r="C87" s="7" t="s">
        <v>889</v>
      </c>
      <c r="D87" s="7" t="s">
        <v>55</v>
      </c>
      <c r="E87" s="7" t="str">
        <f t="shared" si="12"/>
        <v>PURNIMA SHARMA</v>
      </c>
      <c r="F87" s="7" t="s">
        <v>9</v>
      </c>
      <c r="G87" s="22">
        <v>41986</v>
      </c>
      <c r="H87" s="8">
        <v>74740</v>
      </c>
      <c r="I87" s="7" t="str">
        <f t="shared" si="13"/>
        <v>purnima.sharma@ad.sha.ba</v>
      </c>
      <c r="J87" s="6" t="s">
        <v>1539</v>
      </c>
      <c r="K87" s="6">
        <v>43</v>
      </c>
      <c r="L87" s="7" t="str">
        <f t="shared" si="14"/>
        <v>ad.sha.ba</v>
      </c>
      <c r="M87" s="7" t="str">
        <f t="shared" si="15"/>
        <v>S.Purnima</v>
      </c>
      <c r="N87" s="6">
        <f t="shared" si="16"/>
        <v>0</v>
      </c>
      <c r="O87" s="6">
        <f t="shared" si="17"/>
        <v>0</v>
      </c>
      <c r="P87" s="6" t="str">
        <f t="shared" si="18"/>
        <v>N</v>
      </c>
      <c r="Q87" s="6">
        <f t="shared" si="19"/>
        <v>13</v>
      </c>
      <c r="R87" s="6" t="str">
        <f t="shared" si="20"/>
        <v>2014</v>
      </c>
      <c r="S87" s="6" t="str">
        <f t="shared" si="21"/>
        <v>Dec</v>
      </c>
    </row>
    <row r="88" spans="1:19" x14ac:dyDescent="0.25">
      <c r="A88" s="6">
        <v>722</v>
      </c>
      <c r="B88" s="6" t="str">
        <f t="shared" si="11"/>
        <v>NIKADM00722</v>
      </c>
      <c r="C88" s="7" t="s">
        <v>900</v>
      </c>
      <c r="D88" s="7" t="s">
        <v>70</v>
      </c>
      <c r="E88" s="7" t="str">
        <f t="shared" si="12"/>
        <v>JAI SINGH</v>
      </c>
      <c r="F88" s="7" t="s">
        <v>9</v>
      </c>
      <c r="G88" s="22">
        <v>42982</v>
      </c>
      <c r="H88" s="8">
        <v>29416</v>
      </c>
      <c r="I88" s="7" t="str">
        <f t="shared" si="13"/>
        <v>jai.singh@ad.sih.ba</v>
      </c>
      <c r="J88" s="6" t="s">
        <v>1542</v>
      </c>
      <c r="K88" s="6">
        <v>41</v>
      </c>
      <c r="L88" s="7" t="str">
        <f t="shared" si="14"/>
        <v>ad.sih.ba</v>
      </c>
      <c r="M88" s="7" t="str">
        <f t="shared" si="15"/>
        <v>S.Jai</v>
      </c>
      <c r="N88" s="6">
        <f t="shared" si="16"/>
        <v>0</v>
      </c>
      <c r="O88" s="6">
        <f t="shared" si="17"/>
        <v>0</v>
      </c>
      <c r="P88" s="6" t="str">
        <f t="shared" si="18"/>
        <v>N</v>
      </c>
      <c r="Q88" s="6">
        <f t="shared" si="19"/>
        <v>8</v>
      </c>
      <c r="R88" s="6" t="str">
        <f t="shared" si="20"/>
        <v>2017</v>
      </c>
      <c r="S88" s="6" t="str">
        <f t="shared" si="21"/>
        <v>Sep</v>
      </c>
    </row>
    <row r="89" spans="1:19" x14ac:dyDescent="0.25">
      <c r="A89" s="6">
        <v>729</v>
      </c>
      <c r="B89" s="6" t="str">
        <f t="shared" si="11"/>
        <v>NIKADM00729</v>
      </c>
      <c r="C89" s="7" t="s">
        <v>109</v>
      </c>
      <c r="D89" s="7" t="s">
        <v>179</v>
      </c>
      <c r="E89" s="7" t="str">
        <f t="shared" si="12"/>
        <v>AMRITA GUPTA</v>
      </c>
      <c r="F89" s="7" t="s">
        <v>9</v>
      </c>
      <c r="G89" s="22">
        <v>43344</v>
      </c>
      <c r="H89" s="8">
        <v>29478</v>
      </c>
      <c r="I89" s="7" t="str">
        <f t="shared" si="13"/>
        <v>amrita.gupta@ad.gua.ba</v>
      </c>
      <c r="J89" s="6" t="s">
        <v>1540</v>
      </c>
      <c r="K89" s="6">
        <v>50</v>
      </c>
      <c r="L89" s="7" t="str">
        <f t="shared" si="14"/>
        <v>ad.gua.ba</v>
      </c>
      <c r="M89" s="7" t="str">
        <f t="shared" si="15"/>
        <v>G.Amrita</v>
      </c>
      <c r="N89" s="6">
        <f t="shared" si="16"/>
        <v>0</v>
      </c>
      <c r="O89" s="6">
        <f t="shared" si="17"/>
        <v>0</v>
      </c>
      <c r="P89" s="6" t="str">
        <f t="shared" si="18"/>
        <v>N</v>
      </c>
      <c r="Q89" s="6">
        <f t="shared" si="19"/>
        <v>11</v>
      </c>
      <c r="R89" s="6" t="str">
        <f t="shared" si="20"/>
        <v>2018</v>
      </c>
      <c r="S89" s="6" t="str">
        <f t="shared" si="21"/>
        <v>Sep</v>
      </c>
    </row>
    <row r="90" spans="1:19" x14ac:dyDescent="0.25">
      <c r="A90" s="6">
        <v>736</v>
      </c>
      <c r="B90" s="6" t="str">
        <f t="shared" si="11"/>
        <v>NIKADM00736</v>
      </c>
      <c r="C90" s="7" t="s">
        <v>32</v>
      </c>
      <c r="D90" s="7"/>
      <c r="E90" s="7" t="str">
        <f t="shared" si="12"/>
        <v>SUSHIL</v>
      </c>
      <c r="F90" s="7" t="s">
        <v>9</v>
      </c>
      <c r="G90" s="22">
        <v>42653</v>
      </c>
      <c r="H90" s="8">
        <v>36489</v>
      </c>
      <c r="I90" s="7" t="str">
        <f t="shared" si="13"/>
        <v>sushil.@ad..ba</v>
      </c>
      <c r="J90" s="6" t="s">
        <v>1551</v>
      </c>
      <c r="K90" s="6">
        <v>79</v>
      </c>
      <c r="L90" s="7" t="str">
        <f t="shared" si="14"/>
        <v>ad..ba</v>
      </c>
      <c r="M90" s="7" t="str">
        <f t="shared" si="15"/>
        <v>.Sushil</v>
      </c>
      <c r="N90" s="6">
        <f t="shared" si="16"/>
        <v>0</v>
      </c>
      <c r="O90" s="6">
        <f t="shared" si="17"/>
        <v>0</v>
      </c>
      <c r="P90" s="6" t="str">
        <f t="shared" si="18"/>
        <v>N</v>
      </c>
      <c r="Q90" s="6">
        <f t="shared" si="19"/>
        <v>6</v>
      </c>
      <c r="R90" s="6" t="str">
        <f t="shared" si="20"/>
        <v>2016</v>
      </c>
      <c r="S90" s="6" t="str">
        <f t="shared" si="21"/>
        <v>Oct</v>
      </c>
    </row>
    <row r="91" spans="1:19" x14ac:dyDescent="0.25">
      <c r="A91" s="6">
        <v>739</v>
      </c>
      <c r="B91" s="6" t="str">
        <f t="shared" si="11"/>
        <v>NIKADM00739</v>
      </c>
      <c r="C91" s="7" t="s">
        <v>911</v>
      </c>
      <c r="D91" s="7" t="s">
        <v>912</v>
      </c>
      <c r="E91" s="7" t="str">
        <f t="shared" si="12"/>
        <v>HARSHAL DAMLE</v>
      </c>
      <c r="F91" s="7" t="s">
        <v>9</v>
      </c>
      <c r="G91" s="22">
        <v>42009</v>
      </c>
      <c r="H91" s="8">
        <v>32066</v>
      </c>
      <c r="I91" s="7" t="str">
        <f t="shared" si="13"/>
        <v>harshal.damle@ad.dae.ba</v>
      </c>
      <c r="J91" s="6" t="s">
        <v>1535</v>
      </c>
      <c r="K91" s="6">
        <v>57</v>
      </c>
      <c r="L91" s="7" t="str">
        <f t="shared" si="14"/>
        <v>ad.dae.ba</v>
      </c>
      <c r="M91" s="7" t="str">
        <f t="shared" si="15"/>
        <v>D.Harshal</v>
      </c>
      <c r="N91" s="6">
        <f t="shared" si="16"/>
        <v>0</v>
      </c>
      <c r="O91" s="6">
        <f t="shared" si="17"/>
        <v>5</v>
      </c>
      <c r="P91" s="6" t="str">
        <f t="shared" si="18"/>
        <v>N</v>
      </c>
      <c r="Q91" s="6">
        <f t="shared" si="19"/>
        <v>12</v>
      </c>
      <c r="R91" s="6" t="str">
        <f t="shared" si="20"/>
        <v>2015</v>
      </c>
      <c r="S91" s="6" t="str">
        <f t="shared" si="21"/>
        <v>Jan</v>
      </c>
    </row>
    <row r="92" spans="1:19" x14ac:dyDescent="0.25">
      <c r="A92" s="6">
        <v>746</v>
      </c>
      <c r="B92" s="6" t="str">
        <f t="shared" si="11"/>
        <v>NIKADM00746</v>
      </c>
      <c r="C92" s="7" t="s">
        <v>47</v>
      </c>
      <c r="D92" s="7" t="s">
        <v>61</v>
      </c>
      <c r="E92" s="7" t="str">
        <f t="shared" si="12"/>
        <v>PUNEET MEHTA</v>
      </c>
      <c r="F92" s="7" t="s">
        <v>9</v>
      </c>
      <c r="G92" s="22">
        <v>43319</v>
      </c>
      <c r="H92" s="8">
        <v>75806</v>
      </c>
      <c r="I92" s="7" t="str">
        <f t="shared" si="13"/>
        <v>puneet.mehta@ad.mea.ba</v>
      </c>
      <c r="J92" s="6" t="s">
        <v>1539</v>
      </c>
      <c r="K92" s="6">
        <v>60</v>
      </c>
      <c r="L92" s="7" t="str">
        <f t="shared" si="14"/>
        <v>ad.mea.ba</v>
      </c>
      <c r="M92" s="7" t="str">
        <f t="shared" si="15"/>
        <v>M.Puneet</v>
      </c>
      <c r="N92" s="6">
        <f t="shared" si="16"/>
        <v>4</v>
      </c>
      <c r="O92" s="6">
        <f t="shared" si="17"/>
        <v>2</v>
      </c>
      <c r="P92" s="6" t="str">
        <f t="shared" si="18"/>
        <v>Y</v>
      </c>
      <c r="Q92" s="6">
        <f t="shared" si="19"/>
        <v>11</v>
      </c>
      <c r="R92" s="6" t="str">
        <f t="shared" si="20"/>
        <v>2018</v>
      </c>
      <c r="S92" s="6" t="str">
        <f t="shared" si="21"/>
        <v>Aug</v>
      </c>
    </row>
    <row r="93" spans="1:19" x14ac:dyDescent="0.25">
      <c r="A93" s="6">
        <v>750</v>
      </c>
      <c r="B93" s="6" t="str">
        <f t="shared" si="11"/>
        <v>NIKADM00750</v>
      </c>
      <c r="C93" s="7" t="s">
        <v>664</v>
      </c>
      <c r="D93" s="7" t="s">
        <v>919</v>
      </c>
      <c r="E93" s="7" t="str">
        <f t="shared" si="12"/>
        <v>ROHAN FRANKLIN</v>
      </c>
      <c r="F93" s="7" t="s">
        <v>9</v>
      </c>
      <c r="G93" s="22">
        <v>43012</v>
      </c>
      <c r="H93" s="8">
        <v>54685</v>
      </c>
      <c r="I93" s="7" t="str">
        <f t="shared" si="13"/>
        <v>rohan.franklin@ad.frn.ba</v>
      </c>
      <c r="J93" s="6" t="s">
        <v>1539</v>
      </c>
      <c r="K93" s="6">
        <v>52</v>
      </c>
      <c r="L93" s="7" t="str">
        <f t="shared" si="14"/>
        <v>ad.frn.ba</v>
      </c>
      <c r="M93" s="7" t="str">
        <f t="shared" si="15"/>
        <v>F.Rohan</v>
      </c>
      <c r="N93" s="6">
        <f t="shared" si="16"/>
        <v>0</v>
      </c>
      <c r="O93" s="6">
        <f t="shared" si="17"/>
        <v>0</v>
      </c>
      <c r="P93" s="6" t="str">
        <f t="shared" si="18"/>
        <v>N</v>
      </c>
      <c r="Q93" s="6">
        <f t="shared" si="19"/>
        <v>13</v>
      </c>
      <c r="R93" s="6" t="str">
        <f t="shared" si="20"/>
        <v>2017</v>
      </c>
      <c r="S93" s="6" t="str">
        <f t="shared" si="21"/>
        <v>Oct</v>
      </c>
    </row>
    <row r="94" spans="1:19" x14ac:dyDescent="0.25">
      <c r="A94" s="6">
        <v>754</v>
      </c>
      <c r="B94" s="6" t="str">
        <f t="shared" si="11"/>
        <v>NIKADM00754</v>
      </c>
      <c r="C94" s="7" t="s">
        <v>754</v>
      </c>
      <c r="D94" s="7" t="s">
        <v>921</v>
      </c>
      <c r="E94" s="7" t="str">
        <f t="shared" si="12"/>
        <v>ABHAY CHANDRAKANT</v>
      </c>
      <c r="F94" s="7" t="s">
        <v>9</v>
      </c>
      <c r="G94" s="22">
        <v>42590</v>
      </c>
      <c r="H94" s="8">
        <v>57828</v>
      </c>
      <c r="I94" s="7" t="str">
        <f t="shared" si="13"/>
        <v>abhay.chandrakant@ad.cht.ba</v>
      </c>
      <c r="J94" s="6" t="s">
        <v>1549</v>
      </c>
      <c r="K94" s="6">
        <v>66</v>
      </c>
      <c r="L94" s="7" t="str">
        <f t="shared" si="14"/>
        <v>ad.cht.ba</v>
      </c>
      <c r="M94" s="7" t="str">
        <f t="shared" si="15"/>
        <v>C.Abhay</v>
      </c>
      <c r="N94" s="6">
        <f t="shared" si="16"/>
        <v>0</v>
      </c>
      <c r="O94" s="6">
        <f t="shared" si="17"/>
        <v>0</v>
      </c>
      <c r="P94" s="6" t="str">
        <f t="shared" si="18"/>
        <v>N</v>
      </c>
      <c r="Q94" s="6">
        <f t="shared" si="19"/>
        <v>16</v>
      </c>
      <c r="R94" s="6" t="str">
        <f t="shared" si="20"/>
        <v>2016</v>
      </c>
      <c r="S94" s="6" t="str">
        <f t="shared" si="21"/>
        <v>Aug</v>
      </c>
    </row>
    <row r="95" spans="1:19" x14ac:dyDescent="0.25">
      <c r="A95" s="6">
        <v>755</v>
      </c>
      <c r="B95" s="6" t="str">
        <f t="shared" si="11"/>
        <v>NIKADM00755</v>
      </c>
      <c r="C95" s="7" t="s">
        <v>112</v>
      </c>
      <c r="D95" s="7" t="s">
        <v>922</v>
      </c>
      <c r="E95" s="7" t="str">
        <f t="shared" si="12"/>
        <v>NISHANT VASHISTHA</v>
      </c>
      <c r="F95" s="7" t="s">
        <v>9</v>
      </c>
      <c r="G95" s="22">
        <v>43202</v>
      </c>
      <c r="H95" s="8">
        <v>88691</v>
      </c>
      <c r="I95" s="7" t="str">
        <f t="shared" si="13"/>
        <v>nishant.vashistha@ad.vaa.ba</v>
      </c>
      <c r="J95" s="6" t="s">
        <v>1533</v>
      </c>
      <c r="K95" s="6">
        <v>76</v>
      </c>
      <c r="L95" s="7" t="str">
        <f t="shared" si="14"/>
        <v>ad.vaa.ba</v>
      </c>
      <c r="M95" s="7" t="str">
        <f t="shared" si="15"/>
        <v>V.Nishant</v>
      </c>
      <c r="N95" s="6">
        <f t="shared" si="16"/>
        <v>0</v>
      </c>
      <c r="O95" s="6">
        <f t="shared" si="17"/>
        <v>0</v>
      </c>
      <c r="P95" s="6" t="str">
        <f t="shared" si="18"/>
        <v>N</v>
      </c>
      <c r="Q95" s="6">
        <f t="shared" si="19"/>
        <v>16</v>
      </c>
      <c r="R95" s="6" t="str">
        <f t="shared" si="20"/>
        <v>2018</v>
      </c>
      <c r="S95" s="6" t="str">
        <f t="shared" si="21"/>
        <v>Apr</v>
      </c>
    </row>
    <row r="96" spans="1:19" x14ac:dyDescent="0.25">
      <c r="A96" s="6">
        <v>759</v>
      </c>
      <c r="B96" s="6" t="str">
        <f t="shared" si="11"/>
        <v>NIKADM00759</v>
      </c>
      <c r="C96" s="7" t="s">
        <v>19</v>
      </c>
      <c r="D96" s="7" t="s">
        <v>848</v>
      </c>
      <c r="E96" s="7" t="str">
        <f t="shared" si="12"/>
        <v>AMIT V</v>
      </c>
      <c r="F96" s="7" t="s">
        <v>9</v>
      </c>
      <c r="G96" s="22">
        <v>42560</v>
      </c>
      <c r="H96" s="8">
        <v>47679</v>
      </c>
      <c r="I96" s="7" t="str">
        <f t="shared" si="13"/>
        <v>amit.v@ad.vv.ba</v>
      </c>
      <c r="J96" s="6" t="s">
        <v>1551</v>
      </c>
      <c r="K96" s="6">
        <v>55</v>
      </c>
      <c r="L96" s="7" t="str">
        <f t="shared" si="14"/>
        <v>ad.vv.ba</v>
      </c>
      <c r="M96" s="7" t="str">
        <f t="shared" si="15"/>
        <v>V.Amit</v>
      </c>
      <c r="N96" s="6">
        <f t="shared" si="16"/>
        <v>0</v>
      </c>
      <c r="O96" s="6">
        <f t="shared" si="17"/>
        <v>0</v>
      </c>
      <c r="P96" s="6" t="str">
        <f t="shared" si="18"/>
        <v>N</v>
      </c>
      <c r="Q96" s="6">
        <f t="shared" si="19"/>
        <v>5</v>
      </c>
      <c r="R96" s="6" t="str">
        <f t="shared" si="20"/>
        <v>2016</v>
      </c>
      <c r="S96" s="6" t="str">
        <f t="shared" si="21"/>
        <v>Jul</v>
      </c>
    </row>
    <row r="97" spans="1:19" x14ac:dyDescent="0.25">
      <c r="A97" s="6">
        <v>768</v>
      </c>
      <c r="B97" s="6" t="str">
        <f t="shared" si="11"/>
        <v>NIKADM00768</v>
      </c>
      <c r="C97" s="7" t="s">
        <v>348</v>
      </c>
      <c r="D97" s="7" t="s">
        <v>70</v>
      </c>
      <c r="E97" s="7" t="str">
        <f t="shared" si="12"/>
        <v>AKASH SINGH</v>
      </c>
      <c r="F97" s="7" t="s">
        <v>9</v>
      </c>
      <c r="G97" s="22">
        <v>42949</v>
      </c>
      <c r="H97" s="8">
        <v>86641</v>
      </c>
      <c r="I97" s="7" t="str">
        <f t="shared" si="13"/>
        <v>akash.singh@ad.sih.ba</v>
      </c>
      <c r="J97" s="6" t="s">
        <v>1532</v>
      </c>
      <c r="K97" s="6">
        <v>86</v>
      </c>
      <c r="L97" s="7" t="str">
        <f t="shared" si="14"/>
        <v>ad.sih.ba</v>
      </c>
      <c r="M97" s="7" t="str">
        <f t="shared" si="15"/>
        <v>S.Akash</v>
      </c>
      <c r="N97" s="6">
        <f t="shared" si="16"/>
        <v>0</v>
      </c>
      <c r="O97" s="6">
        <f t="shared" si="17"/>
        <v>0</v>
      </c>
      <c r="P97" s="6" t="str">
        <f t="shared" si="18"/>
        <v>N</v>
      </c>
      <c r="Q97" s="6">
        <f t="shared" si="19"/>
        <v>10</v>
      </c>
      <c r="R97" s="6" t="str">
        <f t="shared" si="20"/>
        <v>2017</v>
      </c>
      <c r="S97" s="6" t="str">
        <f t="shared" si="21"/>
        <v>Aug</v>
      </c>
    </row>
    <row r="98" spans="1:19" x14ac:dyDescent="0.25">
      <c r="A98" s="6">
        <v>779</v>
      </c>
      <c r="B98" s="6" t="str">
        <f t="shared" si="11"/>
        <v>NIKADM00779</v>
      </c>
      <c r="C98" s="7" t="s">
        <v>112</v>
      </c>
      <c r="D98" s="7" t="s">
        <v>68</v>
      </c>
      <c r="E98" s="7" t="str">
        <f t="shared" si="12"/>
        <v>NISHANT KUMAR</v>
      </c>
      <c r="F98" s="7" t="s">
        <v>9</v>
      </c>
      <c r="G98" s="22">
        <v>42767</v>
      </c>
      <c r="H98" s="8">
        <v>61801</v>
      </c>
      <c r="I98" s="7" t="str">
        <f t="shared" si="13"/>
        <v>nishant.kumar@ad.kur.ba</v>
      </c>
      <c r="J98" s="6" t="s">
        <v>1538</v>
      </c>
      <c r="K98" s="6">
        <v>80</v>
      </c>
      <c r="L98" s="7" t="str">
        <f t="shared" si="14"/>
        <v>ad.kur.ba</v>
      </c>
      <c r="M98" s="7" t="str">
        <f t="shared" si="15"/>
        <v>K.Nishant</v>
      </c>
      <c r="N98" s="6">
        <f t="shared" si="16"/>
        <v>0</v>
      </c>
      <c r="O98" s="6">
        <f t="shared" si="17"/>
        <v>0</v>
      </c>
      <c r="P98" s="6" t="str">
        <f t="shared" si="18"/>
        <v>N</v>
      </c>
      <c r="Q98" s="6">
        <f t="shared" si="19"/>
        <v>12</v>
      </c>
      <c r="R98" s="6" t="str">
        <f t="shared" si="20"/>
        <v>2017</v>
      </c>
      <c r="S98" s="6" t="str">
        <f t="shared" si="21"/>
        <v>Feb</v>
      </c>
    </row>
    <row r="99" spans="1:19" x14ac:dyDescent="0.25">
      <c r="A99" s="6">
        <v>786</v>
      </c>
      <c r="B99" s="6" t="str">
        <f t="shared" si="11"/>
        <v>NIKADM00786</v>
      </c>
      <c r="C99" s="7" t="s">
        <v>949</v>
      </c>
      <c r="D99" s="7" t="s">
        <v>326</v>
      </c>
      <c r="E99" s="7" t="str">
        <f t="shared" si="12"/>
        <v>PRANAYKUMAR RATHOD</v>
      </c>
      <c r="F99" s="7" t="s">
        <v>9</v>
      </c>
      <c r="G99" s="22">
        <v>43252</v>
      </c>
      <c r="H99" s="8">
        <v>46444</v>
      </c>
      <c r="I99" s="7" t="str">
        <f t="shared" si="13"/>
        <v>pranaykumar.rathod@ad.rad.ba</v>
      </c>
      <c r="J99" s="6" t="s">
        <v>1551</v>
      </c>
      <c r="K99" s="6">
        <v>72</v>
      </c>
      <c r="L99" s="7" t="str">
        <f t="shared" si="14"/>
        <v>ad.rad.ba</v>
      </c>
      <c r="M99" s="7" t="str">
        <f t="shared" si="15"/>
        <v>R.Pranaykumar</v>
      </c>
      <c r="N99" s="6">
        <f t="shared" si="16"/>
        <v>0</v>
      </c>
      <c r="O99" s="6">
        <f t="shared" si="17"/>
        <v>0</v>
      </c>
      <c r="P99" s="6" t="str">
        <f t="shared" si="18"/>
        <v>N</v>
      </c>
      <c r="Q99" s="6">
        <f t="shared" si="19"/>
        <v>17</v>
      </c>
      <c r="R99" s="6" t="str">
        <f t="shared" si="20"/>
        <v>2018</v>
      </c>
      <c r="S99" s="6" t="str">
        <f t="shared" si="21"/>
        <v>Jun</v>
      </c>
    </row>
    <row r="100" spans="1:19" x14ac:dyDescent="0.25">
      <c r="A100" s="6">
        <v>789</v>
      </c>
      <c r="B100" s="6" t="str">
        <f t="shared" si="11"/>
        <v>NIKADM00789</v>
      </c>
      <c r="C100" s="7" t="s">
        <v>259</v>
      </c>
      <c r="D100" s="7" t="s">
        <v>62</v>
      </c>
      <c r="E100" s="7" t="str">
        <f t="shared" si="12"/>
        <v>ASHISH JAIN</v>
      </c>
      <c r="F100" s="7" t="s">
        <v>9</v>
      </c>
      <c r="G100" s="22">
        <v>39807</v>
      </c>
      <c r="H100" s="8">
        <v>78398</v>
      </c>
      <c r="I100" s="7" t="str">
        <f t="shared" si="13"/>
        <v>ashish.jain@ad.jan.ba</v>
      </c>
      <c r="J100" s="6" t="s">
        <v>1533</v>
      </c>
      <c r="K100" s="6">
        <v>47</v>
      </c>
      <c r="L100" s="7" t="str">
        <f t="shared" si="14"/>
        <v>ad.jan.ba</v>
      </c>
      <c r="M100" s="7" t="str">
        <f t="shared" si="15"/>
        <v>J.Ashish</v>
      </c>
      <c r="N100" s="6">
        <f t="shared" si="16"/>
        <v>0</v>
      </c>
      <c r="O100" s="6">
        <f t="shared" si="17"/>
        <v>0</v>
      </c>
      <c r="P100" s="6" t="str">
        <f t="shared" si="18"/>
        <v>N</v>
      </c>
      <c r="Q100" s="6">
        <f t="shared" si="19"/>
        <v>10</v>
      </c>
      <c r="R100" s="6" t="str">
        <f t="shared" si="20"/>
        <v>2008</v>
      </c>
      <c r="S100" s="6" t="str">
        <f t="shared" si="21"/>
        <v>Dec</v>
      </c>
    </row>
    <row r="101" spans="1:19" x14ac:dyDescent="0.25">
      <c r="A101" s="6">
        <v>802</v>
      </c>
      <c r="B101" s="6" t="str">
        <f t="shared" si="11"/>
        <v>NIKADM00802</v>
      </c>
      <c r="C101" s="7" t="s">
        <v>963</v>
      </c>
      <c r="D101" s="7" t="s">
        <v>964</v>
      </c>
      <c r="E101" s="7" t="str">
        <f t="shared" si="12"/>
        <v>MAHESHKUMAR YUWRAJ</v>
      </c>
      <c r="F101" s="7" t="s">
        <v>9</v>
      </c>
      <c r="G101" s="22">
        <v>43497</v>
      </c>
      <c r="H101" s="8">
        <v>88458</v>
      </c>
      <c r="I101" s="7" t="str">
        <f t="shared" si="13"/>
        <v>maheshkumar.yuwraj@ad.yuj.ba</v>
      </c>
      <c r="J101" s="6" t="s">
        <v>1551</v>
      </c>
      <c r="K101" s="6">
        <v>49</v>
      </c>
      <c r="L101" s="7" t="str">
        <f t="shared" si="14"/>
        <v>ad.yuj.ba</v>
      </c>
      <c r="M101" s="7" t="str">
        <f t="shared" si="15"/>
        <v>Y.Maheshkumar</v>
      </c>
      <c r="N101" s="6">
        <f t="shared" si="16"/>
        <v>4</v>
      </c>
      <c r="O101" s="6">
        <f t="shared" si="17"/>
        <v>0</v>
      </c>
      <c r="P101" s="6" t="str">
        <f t="shared" si="18"/>
        <v>N</v>
      </c>
      <c r="Q101" s="6">
        <f t="shared" si="19"/>
        <v>17</v>
      </c>
      <c r="R101" s="6" t="str">
        <f t="shared" si="20"/>
        <v>2019</v>
      </c>
      <c r="S101" s="6" t="str">
        <f t="shared" si="21"/>
        <v>Feb</v>
      </c>
    </row>
    <row r="102" spans="1:19" x14ac:dyDescent="0.25">
      <c r="A102" s="6">
        <v>815</v>
      </c>
      <c r="B102" s="6" t="str">
        <f t="shared" si="11"/>
        <v>NIKADM00815</v>
      </c>
      <c r="C102" s="7" t="s">
        <v>34</v>
      </c>
      <c r="D102" s="7"/>
      <c r="E102" s="7" t="str">
        <f t="shared" si="12"/>
        <v>ARPIT</v>
      </c>
      <c r="F102" s="7" t="s">
        <v>9</v>
      </c>
      <c r="G102" s="22">
        <v>42648</v>
      </c>
      <c r="H102" s="8">
        <v>101503</v>
      </c>
      <c r="I102" s="7" t="str">
        <f t="shared" si="13"/>
        <v>arpit.@ad..ba</v>
      </c>
      <c r="J102" s="6" t="s">
        <v>1534</v>
      </c>
      <c r="K102" s="6">
        <v>39</v>
      </c>
      <c r="L102" s="7" t="str">
        <f t="shared" si="14"/>
        <v>ad..ba</v>
      </c>
      <c r="M102" s="7" t="str">
        <f t="shared" si="15"/>
        <v>.Arpit</v>
      </c>
      <c r="N102" s="6">
        <f t="shared" si="16"/>
        <v>0</v>
      </c>
      <c r="O102" s="6">
        <f t="shared" si="17"/>
        <v>0</v>
      </c>
      <c r="P102" s="6" t="str">
        <f t="shared" si="18"/>
        <v>N</v>
      </c>
      <c r="Q102" s="6">
        <f t="shared" si="19"/>
        <v>5</v>
      </c>
      <c r="R102" s="6" t="str">
        <f t="shared" si="20"/>
        <v>2016</v>
      </c>
      <c r="S102" s="6" t="str">
        <f t="shared" si="21"/>
        <v>Oct</v>
      </c>
    </row>
    <row r="103" spans="1:19" x14ac:dyDescent="0.25">
      <c r="A103" s="6">
        <v>820</v>
      </c>
      <c r="B103" s="6" t="str">
        <f t="shared" si="11"/>
        <v>NIKADM00820</v>
      </c>
      <c r="C103" s="7" t="s">
        <v>982</v>
      </c>
      <c r="D103" s="7" t="s">
        <v>476</v>
      </c>
      <c r="E103" s="7" t="str">
        <f t="shared" si="12"/>
        <v>VIPIN DWIVEDI</v>
      </c>
      <c r="F103" s="7" t="s">
        <v>9</v>
      </c>
      <c r="G103" s="22">
        <v>43199</v>
      </c>
      <c r="H103" s="8">
        <v>73614</v>
      </c>
      <c r="I103" s="7" t="str">
        <f t="shared" si="13"/>
        <v>vipin.dwivedi@ad.dwi.ba</v>
      </c>
      <c r="J103" s="6" t="s">
        <v>1545</v>
      </c>
      <c r="K103" s="6">
        <v>51</v>
      </c>
      <c r="L103" s="7" t="str">
        <f t="shared" si="14"/>
        <v>ad.dwi.ba</v>
      </c>
      <c r="M103" s="7" t="str">
        <f t="shared" si="15"/>
        <v>D.Vipin</v>
      </c>
      <c r="N103" s="6">
        <f t="shared" si="16"/>
        <v>0</v>
      </c>
      <c r="O103" s="6">
        <f t="shared" si="17"/>
        <v>5</v>
      </c>
      <c r="P103" s="6" t="str">
        <f t="shared" si="18"/>
        <v>N</v>
      </c>
      <c r="Q103" s="6">
        <f t="shared" si="19"/>
        <v>12</v>
      </c>
      <c r="R103" s="6" t="str">
        <f t="shared" si="20"/>
        <v>2018</v>
      </c>
      <c r="S103" s="6" t="str">
        <f t="shared" si="21"/>
        <v>Apr</v>
      </c>
    </row>
    <row r="104" spans="1:19" x14ac:dyDescent="0.25">
      <c r="A104" s="6">
        <v>833</v>
      </c>
      <c r="B104" s="6" t="str">
        <f t="shared" si="11"/>
        <v>NIKADM00833</v>
      </c>
      <c r="C104" s="7" t="s">
        <v>560</v>
      </c>
      <c r="D104" s="7" t="s">
        <v>62</v>
      </c>
      <c r="E104" s="7" t="str">
        <f t="shared" si="12"/>
        <v>SAKSHI JAIN</v>
      </c>
      <c r="F104" s="7" t="s">
        <v>9</v>
      </c>
      <c r="G104" s="22">
        <v>43314</v>
      </c>
      <c r="H104" s="8">
        <v>33551</v>
      </c>
      <c r="I104" s="7" t="str">
        <f t="shared" si="13"/>
        <v>sakshi.jain@ad.jan.ba</v>
      </c>
      <c r="J104" s="6" t="s">
        <v>1532</v>
      </c>
      <c r="K104" s="6">
        <v>72</v>
      </c>
      <c r="L104" s="7" t="str">
        <f t="shared" si="14"/>
        <v>ad.jan.ba</v>
      </c>
      <c r="M104" s="7" t="str">
        <f t="shared" si="15"/>
        <v>J.Sakshi</v>
      </c>
      <c r="N104" s="6">
        <f t="shared" si="16"/>
        <v>0</v>
      </c>
      <c r="O104" s="6">
        <f t="shared" si="17"/>
        <v>0</v>
      </c>
      <c r="P104" s="6" t="str">
        <f t="shared" si="18"/>
        <v>N</v>
      </c>
      <c r="Q104" s="6">
        <f t="shared" si="19"/>
        <v>10</v>
      </c>
      <c r="R104" s="6" t="str">
        <f t="shared" si="20"/>
        <v>2018</v>
      </c>
      <c r="S104" s="6" t="str">
        <f t="shared" si="21"/>
        <v>Aug</v>
      </c>
    </row>
    <row r="105" spans="1:19" x14ac:dyDescent="0.25">
      <c r="A105" s="6">
        <v>841</v>
      </c>
      <c r="B105" s="6" t="str">
        <f t="shared" si="11"/>
        <v>NIKADM00841</v>
      </c>
      <c r="C105" s="7" t="s">
        <v>993</v>
      </c>
      <c r="D105" s="7" t="s">
        <v>70</v>
      </c>
      <c r="E105" s="7" t="str">
        <f t="shared" si="12"/>
        <v>RANJEET SINGH</v>
      </c>
      <c r="F105" s="7" t="s">
        <v>9</v>
      </c>
      <c r="G105" s="22">
        <v>43535</v>
      </c>
      <c r="H105" s="8">
        <v>101602</v>
      </c>
      <c r="I105" s="7" t="str">
        <f t="shared" si="13"/>
        <v>ranjeet.singh@ad.sih.ba</v>
      </c>
      <c r="J105" s="6" t="s">
        <v>1549</v>
      </c>
      <c r="K105" s="6">
        <v>79</v>
      </c>
      <c r="L105" s="7" t="str">
        <f t="shared" si="14"/>
        <v>ad.sih.ba</v>
      </c>
      <c r="M105" s="7" t="str">
        <f t="shared" si="15"/>
        <v>S.Ranjeet</v>
      </c>
      <c r="N105" s="6">
        <f t="shared" si="16"/>
        <v>5</v>
      </c>
      <c r="O105" s="6">
        <f t="shared" si="17"/>
        <v>0</v>
      </c>
      <c r="P105" s="6" t="str">
        <f t="shared" si="18"/>
        <v>N</v>
      </c>
      <c r="Q105" s="6">
        <f t="shared" si="19"/>
        <v>12</v>
      </c>
      <c r="R105" s="6" t="str">
        <f t="shared" si="20"/>
        <v>2019</v>
      </c>
      <c r="S105" s="6" t="str">
        <f t="shared" si="21"/>
        <v>Mar</v>
      </c>
    </row>
    <row r="106" spans="1:19" x14ac:dyDescent="0.25">
      <c r="A106" s="6">
        <v>846</v>
      </c>
      <c r="B106" s="6" t="str">
        <f t="shared" si="11"/>
        <v>NIKADM00846</v>
      </c>
      <c r="C106" s="7" t="s">
        <v>132</v>
      </c>
      <c r="D106" s="7" t="s">
        <v>70</v>
      </c>
      <c r="E106" s="7" t="str">
        <f t="shared" si="12"/>
        <v>DHIRENDRA SINGH</v>
      </c>
      <c r="F106" s="7" t="s">
        <v>9</v>
      </c>
      <c r="G106" s="22">
        <v>43570</v>
      </c>
      <c r="H106" s="8">
        <v>57143</v>
      </c>
      <c r="I106" s="7" t="str">
        <f t="shared" si="13"/>
        <v>dhirendra.singh@ad.sih.ba</v>
      </c>
      <c r="J106" s="6" t="s">
        <v>1534</v>
      </c>
      <c r="K106" s="6">
        <v>66</v>
      </c>
      <c r="L106" s="7" t="str">
        <f t="shared" si="14"/>
        <v>ad.sih.ba</v>
      </c>
      <c r="M106" s="7" t="str">
        <f t="shared" si="15"/>
        <v>S.Dhirendra</v>
      </c>
      <c r="N106" s="6">
        <f t="shared" si="16"/>
        <v>5</v>
      </c>
      <c r="O106" s="6">
        <f t="shared" si="17"/>
        <v>0</v>
      </c>
      <c r="P106" s="6" t="str">
        <f t="shared" si="18"/>
        <v>N</v>
      </c>
      <c r="Q106" s="6">
        <f t="shared" si="19"/>
        <v>14</v>
      </c>
      <c r="R106" s="6" t="str">
        <f t="shared" si="20"/>
        <v>2019</v>
      </c>
      <c r="S106" s="6" t="str">
        <f t="shared" si="21"/>
        <v>Apr</v>
      </c>
    </row>
    <row r="107" spans="1:19" x14ac:dyDescent="0.25">
      <c r="A107" s="6">
        <v>855</v>
      </c>
      <c r="B107" s="6" t="str">
        <f t="shared" si="11"/>
        <v>NIKADM00855</v>
      </c>
      <c r="C107" s="7" t="s">
        <v>188</v>
      </c>
      <c r="D107" s="7" t="s">
        <v>1004</v>
      </c>
      <c r="E107" s="7" t="str">
        <f t="shared" si="12"/>
        <v>JAY MUKESHBHAI</v>
      </c>
      <c r="F107" s="7" t="s">
        <v>9</v>
      </c>
      <c r="G107" s="22">
        <v>43313</v>
      </c>
      <c r="H107" s="8">
        <v>55833</v>
      </c>
      <c r="I107" s="7" t="str">
        <f t="shared" si="13"/>
        <v>jay.mukeshbhai@ad.mui.ba</v>
      </c>
      <c r="J107" s="6" t="s">
        <v>1548</v>
      </c>
      <c r="K107" s="6">
        <v>46</v>
      </c>
      <c r="L107" s="7" t="str">
        <f t="shared" si="14"/>
        <v>ad.mui.ba</v>
      </c>
      <c r="M107" s="7" t="str">
        <f t="shared" si="15"/>
        <v>M.Jay</v>
      </c>
      <c r="N107" s="6">
        <f t="shared" si="16"/>
        <v>0</v>
      </c>
      <c r="O107" s="6">
        <f t="shared" si="17"/>
        <v>4</v>
      </c>
      <c r="P107" s="6" t="str">
        <f t="shared" si="18"/>
        <v>N</v>
      </c>
      <c r="Q107" s="6">
        <f t="shared" si="19"/>
        <v>13</v>
      </c>
      <c r="R107" s="6" t="str">
        <f t="shared" si="20"/>
        <v>2018</v>
      </c>
      <c r="S107" s="6" t="str">
        <f t="shared" si="21"/>
        <v>Aug</v>
      </c>
    </row>
    <row r="108" spans="1:19" x14ac:dyDescent="0.25">
      <c r="A108" s="6">
        <v>859</v>
      </c>
      <c r="B108" s="6" t="str">
        <f t="shared" si="11"/>
        <v>NIKADM00859</v>
      </c>
      <c r="C108" s="7" t="s">
        <v>65</v>
      </c>
      <c r="D108" s="7" t="s">
        <v>140</v>
      </c>
      <c r="E108" s="7" t="str">
        <f t="shared" si="12"/>
        <v>RAHUL MISHRA</v>
      </c>
      <c r="F108" s="7" t="s">
        <v>9</v>
      </c>
      <c r="G108" s="22">
        <v>43663</v>
      </c>
      <c r="H108" s="8">
        <v>39698</v>
      </c>
      <c r="I108" s="7" t="str">
        <f t="shared" si="13"/>
        <v>rahul.mishra@ad.mia.ba</v>
      </c>
      <c r="J108" s="6" t="s">
        <v>1537</v>
      </c>
      <c r="K108" s="6">
        <v>82</v>
      </c>
      <c r="L108" s="7" t="str">
        <f t="shared" si="14"/>
        <v>ad.mia.ba</v>
      </c>
      <c r="M108" s="7" t="str">
        <f t="shared" si="15"/>
        <v>M.Rahul</v>
      </c>
      <c r="N108" s="6">
        <f t="shared" si="16"/>
        <v>0</v>
      </c>
      <c r="O108" s="6">
        <f t="shared" si="17"/>
        <v>0</v>
      </c>
      <c r="P108" s="6" t="str">
        <f t="shared" si="18"/>
        <v>N</v>
      </c>
      <c r="Q108" s="6">
        <f t="shared" si="19"/>
        <v>11</v>
      </c>
      <c r="R108" s="6" t="str">
        <f t="shared" si="20"/>
        <v>2019</v>
      </c>
      <c r="S108" s="6" t="str">
        <f t="shared" si="21"/>
        <v>Jul</v>
      </c>
    </row>
    <row r="109" spans="1:19" x14ac:dyDescent="0.25">
      <c r="A109" s="6">
        <v>885</v>
      </c>
      <c r="B109" s="6" t="str">
        <f t="shared" si="11"/>
        <v>NIKADM00885</v>
      </c>
      <c r="C109" s="7" t="s">
        <v>1028</v>
      </c>
      <c r="D109" s="7" t="s">
        <v>179</v>
      </c>
      <c r="E109" s="7" t="str">
        <f t="shared" si="12"/>
        <v>PRAKHAR GUPTA</v>
      </c>
      <c r="F109" s="7" t="s">
        <v>9</v>
      </c>
      <c r="G109" s="22">
        <v>43206</v>
      </c>
      <c r="H109" s="8">
        <v>45516</v>
      </c>
      <c r="I109" s="7" t="str">
        <f t="shared" si="13"/>
        <v>prakhar.gupta@ad.gua.ba</v>
      </c>
      <c r="J109" s="6" t="s">
        <v>1550</v>
      </c>
      <c r="K109" s="6">
        <v>52</v>
      </c>
      <c r="L109" s="7" t="str">
        <f t="shared" si="14"/>
        <v>ad.gua.ba</v>
      </c>
      <c r="M109" s="7" t="str">
        <f t="shared" si="15"/>
        <v>G.Prakhar</v>
      </c>
      <c r="N109" s="6">
        <f t="shared" si="16"/>
        <v>0</v>
      </c>
      <c r="O109" s="6">
        <f t="shared" si="17"/>
        <v>0</v>
      </c>
      <c r="P109" s="6" t="str">
        <f t="shared" si="18"/>
        <v>N</v>
      </c>
      <c r="Q109" s="6">
        <f t="shared" si="19"/>
        <v>12</v>
      </c>
      <c r="R109" s="6" t="str">
        <f t="shared" si="20"/>
        <v>2018</v>
      </c>
      <c r="S109" s="6" t="str">
        <f t="shared" si="21"/>
        <v>Apr</v>
      </c>
    </row>
    <row r="110" spans="1:19" x14ac:dyDescent="0.25">
      <c r="A110" s="6">
        <v>894</v>
      </c>
      <c r="B110" s="6" t="str">
        <f t="shared" si="11"/>
        <v>NIKADM00894</v>
      </c>
      <c r="C110" s="7" t="s">
        <v>307</v>
      </c>
      <c r="D110" s="7" t="s">
        <v>71</v>
      </c>
      <c r="E110" s="7" t="str">
        <f t="shared" si="12"/>
        <v>HEMANT ARUN</v>
      </c>
      <c r="F110" s="7" t="s">
        <v>9</v>
      </c>
      <c r="G110" s="22">
        <v>42583</v>
      </c>
      <c r="H110" s="8">
        <v>91749</v>
      </c>
      <c r="I110" s="7" t="str">
        <f t="shared" si="13"/>
        <v>hemant.arun@ad.arn.ba</v>
      </c>
      <c r="J110" s="6" t="s">
        <v>1537</v>
      </c>
      <c r="K110" s="6">
        <v>66</v>
      </c>
      <c r="L110" s="7" t="str">
        <f t="shared" si="14"/>
        <v>ad.arn.ba</v>
      </c>
      <c r="M110" s="7" t="str">
        <f t="shared" si="15"/>
        <v>A.Hemant</v>
      </c>
      <c r="N110" s="6">
        <f t="shared" si="16"/>
        <v>2</v>
      </c>
      <c r="O110" s="6">
        <f t="shared" si="17"/>
        <v>0</v>
      </c>
      <c r="P110" s="6" t="str">
        <f t="shared" si="18"/>
        <v>N</v>
      </c>
      <c r="Q110" s="6">
        <f t="shared" si="19"/>
        <v>10</v>
      </c>
      <c r="R110" s="6" t="str">
        <f t="shared" si="20"/>
        <v>2016</v>
      </c>
      <c r="S110" s="6" t="str">
        <f t="shared" si="21"/>
        <v>Aug</v>
      </c>
    </row>
    <row r="111" spans="1:19" x14ac:dyDescent="0.25">
      <c r="A111" s="6">
        <v>904</v>
      </c>
      <c r="B111" s="6" t="str">
        <f t="shared" si="11"/>
        <v>NIKADM00904</v>
      </c>
      <c r="C111" s="7" t="s">
        <v>1044</v>
      </c>
      <c r="D111" s="7" t="s">
        <v>1045</v>
      </c>
      <c r="E111" s="7" t="str">
        <f t="shared" si="12"/>
        <v>ARUSHI TUSAR</v>
      </c>
      <c r="F111" s="7" t="s">
        <v>9</v>
      </c>
      <c r="G111" s="22">
        <v>43264</v>
      </c>
      <c r="H111" s="8">
        <v>95255</v>
      </c>
      <c r="I111" s="7" t="str">
        <f t="shared" si="13"/>
        <v>arushi.tusar@ad.tur.ba</v>
      </c>
      <c r="J111" s="6" t="s">
        <v>1548</v>
      </c>
      <c r="K111" s="6">
        <v>37</v>
      </c>
      <c r="L111" s="7" t="str">
        <f t="shared" si="14"/>
        <v>ad.tur.ba</v>
      </c>
      <c r="M111" s="7" t="str">
        <f t="shared" si="15"/>
        <v>T.Arushi</v>
      </c>
      <c r="N111" s="6">
        <f t="shared" si="16"/>
        <v>0</v>
      </c>
      <c r="O111" s="6">
        <f t="shared" si="17"/>
        <v>0</v>
      </c>
      <c r="P111" s="6" t="str">
        <f t="shared" si="18"/>
        <v>N</v>
      </c>
      <c r="Q111" s="6">
        <f t="shared" si="19"/>
        <v>11</v>
      </c>
      <c r="R111" s="6" t="str">
        <f t="shared" si="20"/>
        <v>2018</v>
      </c>
      <c r="S111" s="6" t="str">
        <f t="shared" si="21"/>
        <v>Jun</v>
      </c>
    </row>
    <row r="112" spans="1:19" x14ac:dyDescent="0.25">
      <c r="A112" s="6">
        <v>920</v>
      </c>
      <c r="B112" s="6" t="str">
        <f t="shared" si="11"/>
        <v>NIKADM00920</v>
      </c>
      <c r="C112" s="7" t="s">
        <v>1060</v>
      </c>
      <c r="D112" s="7" t="s">
        <v>1061</v>
      </c>
      <c r="E112" s="7" t="str">
        <f t="shared" si="12"/>
        <v>PARAS OBEROI</v>
      </c>
      <c r="F112" s="7" t="s">
        <v>9</v>
      </c>
      <c r="G112" s="22">
        <v>42835</v>
      </c>
      <c r="H112" s="8">
        <v>74936</v>
      </c>
      <c r="I112" s="7" t="str">
        <f t="shared" si="13"/>
        <v>paras.oberoi@ad.obi.ba</v>
      </c>
      <c r="J112" s="6" t="s">
        <v>1541</v>
      </c>
      <c r="K112" s="6">
        <v>56</v>
      </c>
      <c r="L112" s="7" t="str">
        <f t="shared" si="14"/>
        <v>ad.obi.ba</v>
      </c>
      <c r="M112" s="7" t="str">
        <f t="shared" si="15"/>
        <v>O.Paras</v>
      </c>
      <c r="N112" s="6">
        <f t="shared" si="16"/>
        <v>0</v>
      </c>
      <c r="O112" s="6">
        <f t="shared" si="17"/>
        <v>3</v>
      </c>
      <c r="P112" s="6" t="str">
        <f t="shared" si="18"/>
        <v>N</v>
      </c>
      <c r="Q112" s="6">
        <f t="shared" si="19"/>
        <v>11</v>
      </c>
      <c r="R112" s="6" t="str">
        <f t="shared" si="20"/>
        <v>2017</v>
      </c>
      <c r="S112" s="6" t="str">
        <f t="shared" si="21"/>
        <v>Apr</v>
      </c>
    </row>
    <row r="113" spans="1:19" x14ac:dyDescent="0.25">
      <c r="A113" s="6">
        <v>932</v>
      </c>
      <c r="B113" s="6" t="str">
        <f t="shared" si="11"/>
        <v>NIKADM00932</v>
      </c>
      <c r="C113" s="7" t="s">
        <v>209</v>
      </c>
      <c r="D113" s="7" t="s">
        <v>206</v>
      </c>
      <c r="E113" s="7" t="str">
        <f t="shared" si="12"/>
        <v>GAURAV SONI</v>
      </c>
      <c r="F113" s="7" t="s">
        <v>9</v>
      </c>
      <c r="G113" s="22">
        <v>43801</v>
      </c>
      <c r="H113" s="8">
        <v>33080</v>
      </c>
      <c r="I113" s="7" t="str">
        <f t="shared" si="13"/>
        <v>gaurav.soni@ad.soi.ba</v>
      </c>
      <c r="J113" s="6" t="s">
        <v>1549</v>
      </c>
      <c r="K113" s="6">
        <v>49</v>
      </c>
      <c r="L113" s="7" t="str">
        <f t="shared" si="14"/>
        <v>ad.soi.ba</v>
      </c>
      <c r="M113" s="7" t="str">
        <f t="shared" si="15"/>
        <v>S.Gaurav</v>
      </c>
      <c r="N113" s="6">
        <f t="shared" si="16"/>
        <v>0</v>
      </c>
      <c r="O113" s="6">
        <f t="shared" si="17"/>
        <v>0</v>
      </c>
      <c r="P113" s="6" t="str">
        <f t="shared" si="18"/>
        <v>N</v>
      </c>
      <c r="Q113" s="6">
        <f t="shared" si="19"/>
        <v>10</v>
      </c>
      <c r="R113" s="6" t="str">
        <f t="shared" si="20"/>
        <v>2019</v>
      </c>
      <c r="S113" s="6" t="str">
        <f t="shared" si="21"/>
        <v>Dec</v>
      </c>
    </row>
    <row r="114" spans="1:19" x14ac:dyDescent="0.25">
      <c r="A114" s="6">
        <v>936</v>
      </c>
      <c r="B114" s="6" t="str">
        <f t="shared" si="11"/>
        <v>NIKADM00936</v>
      </c>
      <c r="C114" s="7" t="s">
        <v>39</v>
      </c>
      <c r="D114" s="7"/>
      <c r="E114" s="7" t="str">
        <f t="shared" si="12"/>
        <v>RANJANA</v>
      </c>
      <c r="F114" s="7" t="s">
        <v>9</v>
      </c>
      <c r="G114" s="22">
        <v>43481</v>
      </c>
      <c r="H114" s="8">
        <v>76395</v>
      </c>
      <c r="I114" s="7" t="str">
        <f t="shared" si="13"/>
        <v>ranjana.@ad..ba</v>
      </c>
      <c r="J114" s="6" t="s">
        <v>1532</v>
      </c>
      <c r="K114" s="6">
        <v>72</v>
      </c>
      <c r="L114" s="7" t="str">
        <f t="shared" si="14"/>
        <v>ad..ba</v>
      </c>
      <c r="M114" s="7" t="str">
        <f t="shared" si="15"/>
        <v>.Ranjana</v>
      </c>
      <c r="N114" s="6">
        <f t="shared" si="16"/>
        <v>0</v>
      </c>
      <c r="O114" s="6">
        <f t="shared" si="17"/>
        <v>0</v>
      </c>
      <c r="P114" s="6" t="str">
        <f t="shared" si="18"/>
        <v>N</v>
      </c>
      <c r="Q114" s="6">
        <f t="shared" si="19"/>
        <v>7</v>
      </c>
      <c r="R114" s="6" t="str">
        <f t="shared" si="20"/>
        <v>2019</v>
      </c>
      <c r="S114" s="6" t="str">
        <f t="shared" si="21"/>
        <v>Jan</v>
      </c>
    </row>
    <row r="115" spans="1:19" x14ac:dyDescent="0.25">
      <c r="A115" s="6">
        <v>942</v>
      </c>
      <c r="B115" s="6" t="str">
        <f t="shared" si="11"/>
        <v>NIKADM00942</v>
      </c>
      <c r="C115" s="7" t="s">
        <v>1077</v>
      </c>
      <c r="D115" s="7" t="s">
        <v>68</v>
      </c>
      <c r="E115" s="7" t="str">
        <f t="shared" si="12"/>
        <v>RATNESH KUMAR</v>
      </c>
      <c r="F115" s="7" t="s">
        <v>9</v>
      </c>
      <c r="G115" s="22">
        <v>43353</v>
      </c>
      <c r="H115" s="8">
        <v>49773</v>
      </c>
      <c r="I115" s="7" t="str">
        <f t="shared" si="13"/>
        <v>ratnesh.kumar@ad.kur.ba</v>
      </c>
      <c r="J115" s="6" t="s">
        <v>1543</v>
      </c>
      <c r="K115" s="6">
        <v>69</v>
      </c>
      <c r="L115" s="7" t="str">
        <f t="shared" si="14"/>
        <v>ad.kur.ba</v>
      </c>
      <c r="M115" s="7" t="str">
        <f t="shared" si="15"/>
        <v>K.Ratnesh</v>
      </c>
      <c r="N115" s="6">
        <f t="shared" si="16"/>
        <v>5</v>
      </c>
      <c r="O115" s="6">
        <f t="shared" si="17"/>
        <v>0</v>
      </c>
      <c r="P115" s="6" t="str">
        <f t="shared" si="18"/>
        <v>N</v>
      </c>
      <c r="Q115" s="6">
        <f t="shared" si="19"/>
        <v>12</v>
      </c>
      <c r="R115" s="6" t="str">
        <f t="shared" si="20"/>
        <v>2018</v>
      </c>
      <c r="S115" s="6" t="str">
        <f t="shared" si="21"/>
        <v>Sep</v>
      </c>
    </row>
    <row r="116" spans="1:19" x14ac:dyDescent="0.25">
      <c r="A116" s="6">
        <v>948</v>
      </c>
      <c r="B116" s="6" t="str">
        <f t="shared" si="11"/>
        <v>NIKADM00948</v>
      </c>
      <c r="C116" s="7" t="s">
        <v>683</v>
      </c>
      <c r="D116" s="7" t="s">
        <v>1081</v>
      </c>
      <c r="E116" s="7" t="str">
        <f t="shared" si="12"/>
        <v>PRATEEK BHAWAL</v>
      </c>
      <c r="F116" s="7" t="s">
        <v>9</v>
      </c>
      <c r="G116" s="22">
        <v>43832</v>
      </c>
      <c r="H116" s="8">
        <v>51351</v>
      </c>
      <c r="I116" s="7" t="str">
        <f t="shared" si="13"/>
        <v>prateek.bhawal@ad.bhl.ba</v>
      </c>
      <c r="J116" s="6" t="s">
        <v>1543</v>
      </c>
      <c r="K116" s="6">
        <v>90</v>
      </c>
      <c r="L116" s="7" t="str">
        <f t="shared" si="14"/>
        <v>ad.bhl.ba</v>
      </c>
      <c r="M116" s="7" t="str">
        <f t="shared" si="15"/>
        <v>B.Prateek</v>
      </c>
      <c r="N116" s="6">
        <f t="shared" si="16"/>
        <v>5</v>
      </c>
      <c r="O116" s="6">
        <f t="shared" si="17"/>
        <v>0</v>
      </c>
      <c r="P116" s="6" t="str">
        <f t="shared" si="18"/>
        <v>N</v>
      </c>
      <c r="Q116" s="6">
        <f t="shared" si="19"/>
        <v>13</v>
      </c>
      <c r="R116" s="6" t="str">
        <f t="shared" si="20"/>
        <v>2020</v>
      </c>
      <c r="S116" s="6" t="str">
        <f t="shared" si="21"/>
        <v>Jan</v>
      </c>
    </row>
    <row r="117" spans="1:19" x14ac:dyDescent="0.25">
      <c r="A117" s="6">
        <v>952</v>
      </c>
      <c r="B117" s="6" t="str">
        <f t="shared" si="11"/>
        <v>NIKADM00952</v>
      </c>
      <c r="C117" s="7" t="s">
        <v>146</v>
      </c>
      <c r="D117" s="7" t="s">
        <v>95</v>
      </c>
      <c r="E117" s="7" t="str">
        <f t="shared" si="12"/>
        <v>ANKIT JOSHI</v>
      </c>
      <c r="F117" s="7" t="s">
        <v>9</v>
      </c>
      <c r="G117" s="22">
        <v>43832</v>
      </c>
      <c r="H117" s="8">
        <v>30037</v>
      </c>
      <c r="I117" s="7" t="str">
        <f t="shared" si="13"/>
        <v>ankit.joshi@ad.joi.ba</v>
      </c>
      <c r="J117" s="6" t="s">
        <v>1548</v>
      </c>
      <c r="K117" s="6">
        <v>78</v>
      </c>
      <c r="L117" s="7" t="str">
        <f t="shared" si="14"/>
        <v>ad.joi.ba</v>
      </c>
      <c r="M117" s="7" t="str">
        <f t="shared" si="15"/>
        <v>J.Ankit</v>
      </c>
      <c r="N117" s="6">
        <f t="shared" si="16"/>
        <v>0</v>
      </c>
      <c r="O117" s="6">
        <f t="shared" si="17"/>
        <v>0</v>
      </c>
      <c r="P117" s="6" t="str">
        <f t="shared" si="18"/>
        <v>N</v>
      </c>
      <c r="Q117" s="6">
        <f t="shared" si="19"/>
        <v>10</v>
      </c>
      <c r="R117" s="6" t="str">
        <f t="shared" si="20"/>
        <v>2020</v>
      </c>
      <c r="S117" s="6" t="str">
        <f t="shared" si="21"/>
        <v>Jan</v>
      </c>
    </row>
    <row r="118" spans="1:19" x14ac:dyDescent="0.25">
      <c r="A118" s="6">
        <v>953</v>
      </c>
      <c r="B118" s="6" t="str">
        <f t="shared" si="11"/>
        <v>NIKADM00953</v>
      </c>
      <c r="C118" s="7" t="s">
        <v>1083</v>
      </c>
      <c r="D118" s="7" t="s">
        <v>1084</v>
      </c>
      <c r="E118" s="7" t="str">
        <f t="shared" si="12"/>
        <v>DEEPTI MITHILESH</v>
      </c>
      <c r="F118" s="7" t="s">
        <v>9</v>
      </c>
      <c r="G118" s="22">
        <v>43360</v>
      </c>
      <c r="H118" s="8">
        <v>54952</v>
      </c>
      <c r="I118" s="7" t="str">
        <f t="shared" si="13"/>
        <v>deepti.mithilesh@ad.mih.ba</v>
      </c>
      <c r="J118" s="6" t="s">
        <v>1550</v>
      </c>
      <c r="K118" s="6">
        <v>55</v>
      </c>
      <c r="L118" s="7" t="str">
        <f t="shared" si="14"/>
        <v>ad.mih.ba</v>
      </c>
      <c r="M118" s="7" t="str">
        <f t="shared" si="15"/>
        <v>M.Deepti</v>
      </c>
      <c r="N118" s="6">
        <f t="shared" si="16"/>
        <v>2</v>
      </c>
      <c r="O118" s="6">
        <f t="shared" si="17"/>
        <v>7</v>
      </c>
      <c r="P118" s="6" t="str">
        <f t="shared" si="18"/>
        <v>Y</v>
      </c>
      <c r="Q118" s="6">
        <f t="shared" si="19"/>
        <v>15</v>
      </c>
      <c r="R118" s="6" t="str">
        <f t="shared" si="20"/>
        <v>2018</v>
      </c>
      <c r="S118" s="6" t="str">
        <f t="shared" si="21"/>
        <v>Sep</v>
      </c>
    </row>
    <row r="119" spans="1:19" x14ac:dyDescent="0.25">
      <c r="A119" s="6">
        <v>955</v>
      </c>
      <c r="B119" s="6" t="str">
        <f t="shared" si="11"/>
        <v>NIKADM00955</v>
      </c>
      <c r="C119" s="7" t="s">
        <v>23</v>
      </c>
      <c r="D119" s="7" t="s">
        <v>89</v>
      </c>
      <c r="E119" s="7" t="str">
        <f t="shared" si="12"/>
        <v>ROHIT VIJAY</v>
      </c>
      <c r="F119" s="7" t="s">
        <v>9</v>
      </c>
      <c r="G119" s="22">
        <v>43752</v>
      </c>
      <c r="H119" s="8">
        <v>68661</v>
      </c>
      <c r="I119" s="7" t="str">
        <f t="shared" si="13"/>
        <v>rohit.vijay@ad.viy.ba</v>
      </c>
      <c r="J119" s="6" t="s">
        <v>1542</v>
      </c>
      <c r="K119" s="6">
        <v>65</v>
      </c>
      <c r="L119" s="7" t="str">
        <f t="shared" si="14"/>
        <v>ad.viy.ba</v>
      </c>
      <c r="M119" s="7" t="str">
        <f t="shared" si="15"/>
        <v>V.Rohit</v>
      </c>
      <c r="N119" s="6">
        <f t="shared" si="16"/>
        <v>0</v>
      </c>
      <c r="O119" s="6">
        <f t="shared" si="17"/>
        <v>0</v>
      </c>
      <c r="P119" s="6" t="str">
        <f t="shared" si="18"/>
        <v>N</v>
      </c>
      <c r="Q119" s="6">
        <f t="shared" si="19"/>
        <v>10</v>
      </c>
      <c r="R119" s="6" t="str">
        <f t="shared" si="20"/>
        <v>2019</v>
      </c>
      <c r="S119" s="6" t="str">
        <f t="shared" si="21"/>
        <v>Oct</v>
      </c>
    </row>
    <row r="120" spans="1:19" x14ac:dyDescent="0.25">
      <c r="A120" s="6">
        <v>957</v>
      </c>
      <c r="B120" s="6" t="str">
        <f t="shared" si="11"/>
        <v>NIKADM00957</v>
      </c>
      <c r="C120" s="7" t="s">
        <v>695</v>
      </c>
      <c r="D120" s="7" t="s">
        <v>1086</v>
      </c>
      <c r="E120" s="7" t="str">
        <f t="shared" si="12"/>
        <v>SWAPNIL SHAM</v>
      </c>
      <c r="F120" s="7" t="s">
        <v>9</v>
      </c>
      <c r="G120" s="22">
        <v>43479</v>
      </c>
      <c r="H120" s="8">
        <v>41175</v>
      </c>
      <c r="I120" s="7" t="str">
        <f t="shared" si="13"/>
        <v>swapnil.sham@ad.shm.ba</v>
      </c>
      <c r="J120" s="6" t="s">
        <v>1545</v>
      </c>
      <c r="K120" s="6">
        <v>53</v>
      </c>
      <c r="L120" s="7" t="str">
        <f t="shared" si="14"/>
        <v>ad.shm.ba</v>
      </c>
      <c r="M120" s="7" t="str">
        <f t="shared" si="15"/>
        <v>S.Swapnil</v>
      </c>
      <c r="N120" s="6">
        <f t="shared" si="16"/>
        <v>0</v>
      </c>
      <c r="O120" s="6">
        <f t="shared" si="17"/>
        <v>0</v>
      </c>
      <c r="P120" s="6" t="str">
        <f t="shared" si="18"/>
        <v>N</v>
      </c>
      <c r="Q120" s="6">
        <f t="shared" si="19"/>
        <v>11</v>
      </c>
      <c r="R120" s="6" t="str">
        <f t="shared" si="20"/>
        <v>2019</v>
      </c>
      <c r="S120" s="6" t="str">
        <f t="shared" si="21"/>
        <v>Jan</v>
      </c>
    </row>
    <row r="121" spans="1:19" x14ac:dyDescent="0.25">
      <c r="A121" s="6">
        <v>958</v>
      </c>
      <c r="B121" s="6" t="str">
        <f t="shared" si="11"/>
        <v>NIKADM00958</v>
      </c>
      <c r="C121" s="7" t="s">
        <v>722</v>
      </c>
      <c r="D121" s="7" t="s">
        <v>1087</v>
      </c>
      <c r="E121" s="7" t="str">
        <f t="shared" si="12"/>
        <v>RITU JAYMIN</v>
      </c>
      <c r="F121" s="7" t="s">
        <v>9</v>
      </c>
      <c r="G121" s="22">
        <v>42268</v>
      </c>
      <c r="H121" s="8">
        <v>75206</v>
      </c>
      <c r="I121" s="7" t="str">
        <f t="shared" si="13"/>
        <v>ritu.jaymin@ad.jan.ba</v>
      </c>
      <c r="J121" s="6" t="s">
        <v>1545</v>
      </c>
      <c r="K121" s="6">
        <v>56</v>
      </c>
      <c r="L121" s="7" t="str">
        <f t="shared" si="14"/>
        <v>ad.jan.ba</v>
      </c>
      <c r="M121" s="7" t="str">
        <f t="shared" si="15"/>
        <v>J.Ritu</v>
      </c>
      <c r="N121" s="6">
        <f t="shared" si="16"/>
        <v>0</v>
      </c>
      <c r="O121" s="6">
        <f t="shared" si="17"/>
        <v>0</v>
      </c>
      <c r="P121" s="6" t="str">
        <f t="shared" si="18"/>
        <v>N</v>
      </c>
      <c r="Q121" s="6">
        <f t="shared" si="19"/>
        <v>10</v>
      </c>
      <c r="R121" s="6" t="str">
        <f t="shared" si="20"/>
        <v>2015</v>
      </c>
      <c r="S121" s="6" t="str">
        <f t="shared" si="21"/>
        <v>Sep</v>
      </c>
    </row>
    <row r="122" spans="1:19" x14ac:dyDescent="0.25">
      <c r="A122" s="6">
        <v>972</v>
      </c>
      <c r="B122" s="6" t="str">
        <f t="shared" si="11"/>
        <v>NIKADM00972</v>
      </c>
      <c r="C122" s="7" t="s">
        <v>24</v>
      </c>
      <c r="D122" s="7" t="s">
        <v>1095</v>
      </c>
      <c r="E122" s="7" t="str">
        <f t="shared" si="12"/>
        <v>RAVI CHOUDHARY</v>
      </c>
      <c r="F122" s="7" t="s">
        <v>9</v>
      </c>
      <c r="G122" s="22">
        <v>43684</v>
      </c>
      <c r="H122" s="8">
        <v>31718</v>
      </c>
      <c r="I122" s="7" t="str">
        <f t="shared" si="13"/>
        <v>ravi.choudhary@ad.chy.ba</v>
      </c>
      <c r="J122" s="6" t="s">
        <v>1538</v>
      </c>
      <c r="K122" s="6">
        <v>39</v>
      </c>
      <c r="L122" s="7" t="str">
        <f t="shared" si="14"/>
        <v>ad.chy.ba</v>
      </c>
      <c r="M122" s="7" t="str">
        <f t="shared" si="15"/>
        <v>C.Ravi</v>
      </c>
      <c r="N122" s="6">
        <f t="shared" si="16"/>
        <v>0</v>
      </c>
      <c r="O122" s="6">
        <f t="shared" si="17"/>
        <v>0</v>
      </c>
      <c r="P122" s="6" t="str">
        <f t="shared" si="18"/>
        <v>N</v>
      </c>
      <c r="Q122" s="6">
        <f t="shared" si="19"/>
        <v>13</v>
      </c>
      <c r="R122" s="6" t="str">
        <f t="shared" si="20"/>
        <v>2019</v>
      </c>
      <c r="S122" s="6" t="str">
        <f t="shared" si="21"/>
        <v>Aug</v>
      </c>
    </row>
    <row r="123" spans="1:19" x14ac:dyDescent="0.25">
      <c r="A123" s="6">
        <v>977</v>
      </c>
      <c r="B123" s="6" t="str">
        <f t="shared" si="11"/>
        <v>NIKADM00977</v>
      </c>
      <c r="C123" s="7" t="s">
        <v>1103</v>
      </c>
      <c r="D123" s="7" t="s">
        <v>310</v>
      </c>
      <c r="E123" s="7" t="str">
        <f t="shared" si="12"/>
        <v>PRANUL KHANDELWAL</v>
      </c>
      <c r="F123" s="7" t="s">
        <v>9</v>
      </c>
      <c r="G123" s="22">
        <v>43416</v>
      </c>
      <c r="H123" s="8">
        <v>105457</v>
      </c>
      <c r="I123" s="7" t="str">
        <f t="shared" si="13"/>
        <v>pranul.khandelwal@ad.khl.ba</v>
      </c>
      <c r="J123" s="6" t="s">
        <v>1545</v>
      </c>
      <c r="K123" s="6">
        <v>87</v>
      </c>
      <c r="L123" s="7" t="str">
        <f t="shared" si="14"/>
        <v>ad.khl.ba</v>
      </c>
      <c r="M123" s="7" t="str">
        <f t="shared" si="15"/>
        <v>K.Pranul</v>
      </c>
      <c r="N123" s="6">
        <f t="shared" si="16"/>
        <v>0</v>
      </c>
      <c r="O123" s="6">
        <f t="shared" si="17"/>
        <v>6</v>
      </c>
      <c r="P123" s="6" t="str">
        <f t="shared" si="18"/>
        <v>N</v>
      </c>
      <c r="Q123" s="6">
        <f t="shared" si="19"/>
        <v>16</v>
      </c>
      <c r="R123" s="6" t="str">
        <f t="shared" si="20"/>
        <v>2018</v>
      </c>
      <c r="S123" s="6" t="str">
        <f t="shared" si="21"/>
        <v>Nov</v>
      </c>
    </row>
    <row r="124" spans="1:19" x14ac:dyDescent="0.25">
      <c r="A124" s="6">
        <v>987</v>
      </c>
      <c r="B124" s="6" t="str">
        <f t="shared" si="11"/>
        <v>NIKADM00987</v>
      </c>
      <c r="C124" s="7" t="s">
        <v>23</v>
      </c>
      <c r="D124" s="7" t="s">
        <v>1114</v>
      </c>
      <c r="E124" s="7" t="str">
        <f t="shared" si="12"/>
        <v>ROHIT GORAKH</v>
      </c>
      <c r="F124" s="7" t="s">
        <v>9</v>
      </c>
      <c r="G124" s="22">
        <v>42887</v>
      </c>
      <c r="H124" s="8">
        <v>68142</v>
      </c>
      <c r="I124" s="7" t="str">
        <f t="shared" si="13"/>
        <v>rohit.gorakh@ad.goh.ba</v>
      </c>
      <c r="J124" s="6" t="s">
        <v>1550</v>
      </c>
      <c r="K124" s="6">
        <v>67</v>
      </c>
      <c r="L124" s="7" t="str">
        <f t="shared" si="14"/>
        <v>ad.goh.ba</v>
      </c>
      <c r="M124" s="7" t="str">
        <f t="shared" si="15"/>
        <v>G.Rohit</v>
      </c>
      <c r="N124" s="6">
        <f t="shared" si="16"/>
        <v>0</v>
      </c>
      <c r="O124" s="6">
        <f t="shared" si="17"/>
        <v>0</v>
      </c>
      <c r="P124" s="6" t="str">
        <f t="shared" si="18"/>
        <v>N</v>
      </c>
      <c r="Q124" s="6">
        <f t="shared" si="19"/>
        <v>11</v>
      </c>
      <c r="R124" s="6" t="str">
        <f t="shared" si="20"/>
        <v>2017</v>
      </c>
      <c r="S124" s="6" t="str">
        <f t="shared" si="21"/>
        <v>Jun</v>
      </c>
    </row>
    <row r="125" spans="1:19" x14ac:dyDescent="0.25">
      <c r="A125" s="6">
        <v>988</v>
      </c>
      <c r="B125" s="6" t="str">
        <f t="shared" si="11"/>
        <v>NIKADM00988</v>
      </c>
      <c r="C125" s="7" t="s">
        <v>1115</v>
      </c>
      <c r="D125" s="7" t="s">
        <v>557</v>
      </c>
      <c r="E125" s="7" t="str">
        <f t="shared" si="12"/>
        <v>RENUKA DUBEY</v>
      </c>
      <c r="F125" s="7" t="s">
        <v>9</v>
      </c>
      <c r="G125" s="22">
        <v>43808</v>
      </c>
      <c r="H125" s="8">
        <v>66431</v>
      </c>
      <c r="I125" s="7" t="str">
        <f t="shared" si="13"/>
        <v>renuka.dubey@ad.duy.ba</v>
      </c>
      <c r="J125" s="6" t="s">
        <v>1542</v>
      </c>
      <c r="K125" s="6">
        <v>54</v>
      </c>
      <c r="L125" s="7" t="str">
        <f t="shared" si="14"/>
        <v>ad.duy.ba</v>
      </c>
      <c r="M125" s="7" t="str">
        <f t="shared" si="15"/>
        <v>D.Renuka</v>
      </c>
      <c r="N125" s="6">
        <f t="shared" si="16"/>
        <v>2</v>
      </c>
      <c r="O125" s="6">
        <f t="shared" si="17"/>
        <v>4</v>
      </c>
      <c r="P125" s="6" t="str">
        <f t="shared" si="18"/>
        <v>Y</v>
      </c>
      <c r="Q125" s="6">
        <f t="shared" si="19"/>
        <v>11</v>
      </c>
      <c r="R125" s="6" t="str">
        <f t="shared" si="20"/>
        <v>2019</v>
      </c>
      <c r="S125" s="6" t="str">
        <f t="shared" si="21"/>
        <v>Dec</v>
      </c>
    </row>
    <row r="126" spans="1:19" x14ac:dyDescent="0.25">
      <c r="A126" s="6">
        <v>1008</v>
      </c>
      <c r="B126" s="6" t="str">
        <f t="shared" si="11"/>
        <v>NIKADM01008</v>
      </c>
      <c r="C126" s="7" t="s">
        <v>1135</v>
      </c>
      <c r="D126" s="7" t="s">
        <v>1136</v>
      </c>
      <c r="E126" s="7" t="str">
        <f t="shared" si="12"/>
        <v>DIPLOO KONWAR</v>
      </c>
      <c r="F126" s="7" t="s">
        <v>9</v>
      </c>
      <c r="G126" s="22">
        <v>42844</v>
      </c>
      <c r="H126" s="8">
        <v>25796</v>
      </c>
      <c r="I126" s="7" t="str">
        <f t="shared" si="13"/>
        <v>diploo.konwar@ad.kor.ba</v>
      </c>
      <c r="J126" s="6" t="s">
        <v>1548</v>
      </c>
      <c r="K126" s="6">
        <v>73</v>
      </c>
      <c r="L126" s="7" t="str">
        <f t="shared" si="14"/>
        <v>ad.kor.ba</v>
      </c>
      <c r="M126" s="7" t="str">
        <f t="shared" si="15"/>
        <v>K.Diploo</v>
      </c>
      <c r="N126" s="6">
        <f t="shared" si="16"/>
        <v>0</v>
      </c>
      <c r="O126" s="6">
        <f t="shared" si="17"/>
        <v>0</v>
      </c>
      <c r="P126" s="6" t="str">
        <f t="shared" si="18"/>
        <v>N</v>
      </c>
      <c r="Q126" s="6">
        <f t="shared" si="19"/>
        <v>12</v>
      </c>
      <c r="R126" s="6" t="str">
        <f t="shared" si="20"/>
        <v>2017</v>
      </c>
      <c r="S126" s="6" t="str">
        <f t="shared" si="21"/>
        <v>Apr</v>
      </c>
    </row>
    <row r="127" spans="1:19" x14ac:dyDescent="0.25">
      <c r="A127" s="6">
        <v>1017</v>
      </c>
      <c r="B127" s="6" t="str">
        <f t="shared" si="11"/>
        <v>NIKADM01017</v>
      </c>
      <c r="C127" s="7" t="s">
        <v>1145</v>
      </c>
      <c r="D127" s="7" t="s">
        <v>124</v>
      </c>
      <c r="E127" s="7" t="str">
        <f t="shared" si="12"/>
        <v>NAISARGI SHUKLA</v>
      </c>
      <c r="F127" s="7" t="s">
        <v>9</v>
      </c>
      <c r="G127" s="22">
        <v>42249</v>
      </c>
      <c r="H127" s="8">
        <v>108137</v>
      </c>
      <c r="I127" s="7" t="str">
        <f t="shared" si="13"/>
        <v>naisargi.shukla@ad.sha.ba</v>
      </c>
      <c r="J127" s="6" t="s">
        <v>1538</v>
      </c>
      <c r="K127" s="6">
        <v>51</v>
      </c>
      <c r="L127" s="7" t="str">
        <f t="shared" si="14"/>
        <v>ad.sha.ba</v>
      </c>
      <c r="M127" s="7" t="str">
        <f t="shared" si="15"/>
        <v>S.Naisargi</v>
      </c>
      <c r="N127" s="6">
        <f t="shared" si="16"/>
        <v>0</v>
      </c>
      <c r="O127" s="6">
        <f t="shared" si="17"/>
        <v>0</v>
      </c>
      <c r="P127" s="6" t="str">
        <f t="shared" si="18"/>
        <v>N</v>
      </c>
      <c r="Q127" s="6">
        <f t="shared" si="19"/>
        <v>14</v>
      </c>
      <c r="R127" s="6" t="str">
        <f t="shared" si="20"/>
        <v>2015</v>
      </c>
      <c r="S127" s="6" t="str">
        <f t="shared" si="21"/>
        <v>Sep</v>
      </c>
    </row>
    <row r="128" spans="1:19" x14ac:dyDescent="0.25">
      <c r="A128" s="6">
        <v>1023</v>
      </c>
      <c r="B128" s="6" t="str">
        <f t="shared" si="11"/>
        <v>NIKADM01023</v>
      </c>
      <c r="C128" s="7" t="s">
        <v>1015</v>
      </c>
      <c r="D128" s="7" t="s">
        <v>61</v>
      </c>
      <c r="E128" s="7" t="str">
        <f t="shared" si="12"/>
        <v>ASTHA MEHTA</v>
      </c>
      <c r="F128" s="7" t="s">
        <v>9</v>
      </c>
      <c r="G128" s="22">
        <v>43801</v>
      </c>
      <c r="H128" s="8">
        <v>59868</v>
      </c>
      <c r="I128" s="7" t="str">
        <f t="shared" si="13"/>
        <v>astha.mehta@ad.mea.ba</v>
      </c>
      <c r="J128" s="6" t="s">
        <v>1544</v>
      </c>
      <c r="K128" s="6">
        <v>71</v>
      </c>
      <c r="L128" s="7" t="str">
        <f t="shared" si="14"/>
        <v>ad.mea.ba</v>
      </c>
      <c r="M128" s="7" t="str">
        <f t="shared" si="15"/>
        <v>M.Astha</v>
      </c>
      <c r="N128" s="6">
        <f t="shared" si="16"/>
        <v>0</v>
      </c>
      <c r="O128" s="6">
        <f t="shared" si="17"/>
        <v>2</v>
      </c>
      <c r="P128" s="6" t="str">
        <f t="shared" si="18"/>
        <v>N</v>
      </c>
      <c r="Q128" s="6">
        <f t="shared" si="19"/>
        <v>10</v>
      </c>
      <c r="R128" s="6" t="str">
        <f t="shared" si="20"/>
        <v>2019</v>
      </c>
      <c r="S128" s="6" t="str">
        <f t="shared" si="21"/>
        <v>Dec</v>
      </c>
    </row>
    <row r="129" spans="1:19" x14ac:dyDescent="0.25">
      <c r="A129" s="6">
        <v>1026</v>
      </c>
      <c r="B129" s="6" t="str">
        <f t="shared" si="11"/>
        <v>NIKADM01026</v>
      </c>
      <c r="C129" s="7" t="s">
        <v>1150</v>
      </c>
      <c r="D129" s="7" t="s">
        <v>162</v>
      </c>
      <c r="E129" s="7" t="str">
        <f t="shared" si="12"/>
        <v>PRERANA PATHAK</v>
      </c>
      <c r="F129" s="7" t="s">
        <v>9</v>
      </c>
      <c r="G129" s="22">
        <v>42948</v>
      </c>
      <c r="H129" s="8">
        <v>57874</v>
      </c>
      <c r="I129" s="7" t="str">
        <f t="shared" si="13"/>
        <v>prerana.pathak@ad.pak.ba</v>
      </c>
      <c r="J129" s="6" t="s">
        <v>1551</v>
      </c>
      <c r="K129" s="6">
        <v>40</v>
      </c>
      <c r="L129" s="7" t="str">
        <f t="shared" si="14"/>
        <v>ad.pak.ba</v>
      </c>
      <c r="M129" s="7" t="str">
        <f t="shared" si="15"/>
        <v>P.Prerana</v>
      </c>
      <c r="N129" s="6">
        <f t="shared" si="16"/>
        <v>3</v>
      </c>
      <c r="O129" s="6">
        <f t="shared" si="17"/>
        <v>0</v>
      </c>
      <c r="P129" s="6" t="str">
        <f t="shared" si="18"/>
        <v>N</v>
      </c>
      <c r="Q129" s="6">
        <f t="shared" si="19"/>
        <v>13</v>
      </c>
      <c r="R129" s="6" t="str">
        <f t="shared" si="20"/>
        <v>2017</v>
      </c>
      <c r="S129" s="6" t="str">
        <f t="shared" si="21"/>
        <v>Aug</v>
      </c>
    </row>
    <row r="130" spans="1:19" x14ac:dyDescent="0.25">
      <c r="A130" s="6">
        <v>1036</v>
      </c>
      <c r="B130" s="6" t="str">
        <f t="shared" ref="B130:B193" si="22">_xlfn.TEXTJOIN("",TRUE,"NIK",UPPER(LEFT(SUBSTITUTE(SUBSTITUTE(F130," ",""),"&amp;",""),3)),TEXT(A130,"00000"))</f>
        <v>NIKADM01036</v>
      </c>
      <c r="C130" s="7" t="s">
        <v>80</v>
      </c>
      <c r="D130" s="7" t="s">
        <v>198</v>
      </c>
      <c r="E130" s="7" t="str">
        <f t="shared" ref="E130:E193" si="23">_xlfn.TEXTJOIN(" ",TRUE,C130,D130)</f>
        <v>PRASHANT SAINI</v>
      </c>
      <c r="F130" s="7" t="s">
        <v>9</v>
      </c>
      <c r="G130" s="22">
        <v>44235</v>
      </c>
      <c r="H130" s="8">
        <v>66574</v>
      </c>
      <c r="I130" s="7" t="str">
        <f t="shared" ref="I130:I193" si="24">LOWER(C130&amp;"."&amp;D130&amp;"@"&amp;LEFT(SUBSTITUTE(F130," ",""),2))&amp;LOWER("."&amp;LEFT(D130,2))&amp;LOWER(RIGHT(D130,1))&amp;".ba"</f>
        <v>prashant.saini@ad.sai.ba</v>
      </c>
      <c r="J130" s="6" t="s">
        <v>1540</v>
      </c>
      <c r="K130" s="6">
        <v>72</v>
      </c>
      <c r="L130" s="7" t="str">
        <f t="shared" ref="L130:L193" si="25">RIGHT(I130,LEN(I130)-FIND("@",I130))</f>
        <v>ad.sai.ba</v>
      </c>
      <c r="M130" s="7" t="str">
        <f t="shared" ref="M130:M193" si="26">UPPER(LEFT(D130,1))&amp;"."&amp;PROPER(C130)</f>
        <v>S.Prashant</v>
      </c>
      <c r="N130" s="6">
        <f t="shared" ref="N130:N193" si="27">IFERROR(SEARCH("e",C130),0)</f>
        <v>0</v>
      </c>
      <c r="O130" s="6">
        <f t="shared" ref="O130:O193" si="28">IFERROR(SEARCH("e",D130),0)</f>
        <v>0</v>
      </c>
      <c r="P130" s="6" t="str">
        <f t="shared" ref="P130:P193" si="29">IF(AND(N130&gt;=1,O130&gt;=1),"Y","N")</f>
        <v>N</v>
      </c>
      <c r="Q130" s="6">
        <f t="shared" ref="Q130:Q193" si="30">LEN(SUBSTITUTE(E130, " ", ""))</f>
        <v>13</v>
      </c>
      <c r="R130" s="6" t="str">
        <f t="shared" ref="R130:R193" si="31">TEXT(G130,"YYYY")</f>
        <v>2021</v>
      </c>
      <c r="S130" s="6" t="str">
        <f t="shared" ref="S130:S193" si="32">TEXT(G130,"MMM")</f>
        <v>Feb</v>
      </c>
    </row>
    <row r="131" spans="1:19" x14ac:dyDescent="0.25">
      <c r="A131" s="6">
        <v>1050</v>
      </c>
      <c r="B131" s="6" t="str">
        <f t="shared" si="22"/>
        <v>NIKADM01050</v>
      </c>
      <c r="C131" s="7" t="s">
        <v>1166</v>
      </c>
      <c r="D131" s="7" t="s">
        <v>70</v>
      </c>
      <c r="E131" s="7" t="str">
        <f t="shared" si="23"/>
        <v>VIJENDAR SINGH</v>
      </c>
      <c r="F131" s="7" t="s">
        <v>9</v>
      </c>
      <c r="G131" s="22">
        <v>42979</v>
      </c>
      <c r="H131" s="8">
        <v>32480</v>
      </c>
      <c r="I131" s="7" t="str">
        <f t="shared" si="24"/>
        <v>vijendar.singh@ad.sih.ba</v>
      </c>
      <c r="J131" s="6" t="s">
        <v>1543</v>
      </c>
      <c r="K131" s="6">
        <v>48</v>
      </c>
      <c r="L131" s="7" t="str">
        <f t="shared" si="25"/>
        <v>ad.sih.ba</v>
      </c>
      <c r="M131" s="7" t="str">
        <f t="shared" si="26"/>
        <v>S.Vijendar</v>
      </c>
      <c r="N131" s="6">
        <f t="shared" si="27"/>
        <v>4</v>
      </c>
      <c r="O131" s="6">
        <f t="shared" si="28"/>
        <v>0</v>
      </c>
      <c r="P131" s="6" t="str">
        <f t="shared" si="29"/>
        <v>N</v>
      </c>
      <c r="Q131" s="6">
        <f t="shared" si="30"/>
        <v>13</v>
      </c>
      <c r="R131" s="6" t="str">
        <f t="shared" si="31"/>
        <v>2017</v>
      </c>
      <c r="S131" s="6" t="str">
        <f t="shared" si="32"/>
        <v>Sep</v>
      </c>
    </row>
    <row r="132" spans="1:19" x14ac:dyDescent="0.25">
      <c r="A132" s="6">
        <v>1057</v>
      </c>
      <c r="B132" s="6" t="str">
        <f t="shared" si="22"/>
        <v>NIKADM01057</v>
      </c>
      <c r="C132" s="7" t="s">
        <v>40</v>
      </c>
      <c r="D132" s="7"/>
      <c r="E132" s="7" t="str">
        <f t="shared" si="23"/>
        <v>SHUBHAM</v>
      </c>
      <c r="F132" s="7" t="s">
        <v>9</v>
      </c>
      <c r="G132" s="22">
        <v>43040</v>
      </c>
      <c r="H132" s="8">
        <v>78297</v>
      </c>
      <c r="I132" s="7" t="str">
        <f t="shared" si="24"/>
        <v>shubham.@ad..ba</v>
      </c>
      <c r="J132" s="6" t="s">
        <v>1537</v>
      </c>
      <c r="K132" s="6">
        <v>65</v>
      </c>
      <c r="L132" s="7" t="str">
        <f t="shared" si="25"/>
        <v>ad..ba</v>
      </c>
      <c r="M132" s="7" t="str">
        <f t="shared" si="26"/>
        <v>.Shubham</v>
      </c>
      <c r="N132" s="6">
        <f t="shared" si="27"/>
        <v>0</v>
      </c>
      <c r="O132" s="6">
        <f t="shared" si="28"/>
        <v>0</v>
      </c>
      <c r="P132" s="6" t="str">
        <f t="shared" si="29"/>
        <v>N</v>
      </c>
      <c r="Q132" s="6">
        <f t="shared" si="30"/>
        <v>7</v>
      </c>
      <c r="R132" s="6" t="str">
        <f t="shared" si="31"/>
        <v>2017</v>
      </c>
      <c r="S132" s="6" t="str">
        <f t="shared" si="32"/>
        <v>Nov</v>
      </c>
    </row>
    <row r="133" spans="1:19" x14ac:dyDescent="0.25">
      <c r="A133" s="6">
        <v>1075</v>
      </c>
      <c r="B133" s="6" t="str">
        <f t="shared" si="22"/>
        <v>NIKADM01075</v>
      </c>
      <c r="C133" s="7" t="s">
        <v>1185</v>
      </c>
      <c r="D133" s="7" t="s">
        <v>1186</v>
      </c>
      <c r="E133" s="7" t="str">
        <f t="shared" si="23"/>
        <v>SANDHYA AHIRWAR</v>
      </c>
      <c r="F133" s="7" t="s">
        <v>9</v>
      </c>
      <c r="G133" s="22">
        <v>43083</v>
      </c>
      <c r="H133" s="8">
        <v>56805</v>
      </c>
      <c r="I133" s="7" t="str">
        <f t="shared" si="24"/>
        <v>sandhya.ahirwar@ad.ahr.ba</v>
      </c>
      <c r="J133" s="6" t="s">
        <v>1535</v>
      </c>
      <c r="K133" s="6">
        <v>74</v>
      </c>
      <c r="L133" s="7" t="str">
        <f t="shared" si="25"/>
        <v>ad.ahr.ba</v>
      </c>
      <c r="M133" s="7" t="str">
        <f t="shared" si="26"/>
        <v>A.Sandhya</v>
      </c>
      <c r="N133" s="6">
        <f t="shared" si="27"/>
        <v>0</v>
      </c>
      <c r="O133" s="6">
        <f t="shared" si="28"/>
        <v>0</v>
      </c>
      <c r="P133" s="6" t="str">
        <f t="shared" si="29"/>
        <v>N</v>
      </c>
      <c r="Q133" s="6">
        <f t="shared" si="30"/>
        <v>14</v>
      </c>
      <c r="R133" s="6" t="str">
        <f t="shared" si="31"/>
        <v>2017</v>
      </c>
      <c r="S133" s="6" t="str">
        <f t="shared" si="32"/>
        <v>Dec</v>
      </c>
    </row>
    <row r="134" spans="1:19" x14ac:dyDescent="0.25">
      <c r="A134" s="6">
        <v>1082</v>
      </c>
      <c r="B134" s="6" t="str">
        <f t="shared" si="22"/>
        <v>NIKADM01082</v>
      </c>
      <c r="C134" s="7" t="s">
        <v>1191</v>
      </c>
      <c r="D134" s="7" t="s">
        <v>1192</v>
      </c>
      <c r="E134" s="7" t="str">
        <f t="shared" si="23"/>
        <v>SHAMAL VILASRAO</v>
      </c>
      <c r="F134" s="7" t="s">
        <v>9</v>
      </c>
      <c r="G134" s="22">
        <v>42662</v>
      </c>
      <c r="H134" s="8">
        <v>86790</v>
      </c>
      <c r="I134" s="7" t="str">
        <f t="shared" si="24"/>
        <v>shamal.vilasrao@ad.vio.ba</v>
      </c>
      <c r="J134" s="6" t="s">
        <v>1537</v>
      </c>
      <c r="K134" s="6">
        <v>56</v>
      </c>
      <c r="L134" s="7" t="str">
        <f t="shared" si="25"/>
        <v>ad.vio.ba</v>
      </c>
      <c r="M134" s="7" t="str">
        <f t="shared" si="26"/>
        <v>V.Shamal</v>
      </c>
      <c r="N134" s="6">
        <f t="shared" si="27"/>
        <v>0</v>
      </c>
      <c r="O134" s="6">
        <f t="shared" si="28"/>
        <v>0</v>
      </c>
      <c r="P134" s="6" t="str">
        <f t="shared" si="29"/>
        <v>N</v>
      </c>
      <c r="Q134" s="6">
        <f t="shared" si="30"/>
        <v>14</v>
      </c>
      <c r="R134" s="6" t="str">
        <f t="shared" si="31"/>
        <v>2016</v>
      </c>
      <c r="S134" s="6" t="str">
        <f t="shared" si="32"/>
        <v>Oct</v>
      </c>
    </row>
    <row r="135" spans="1:19" x14ac:dyDescent="0.25">
      <c r="A135" s="6">
        <v>1085</v>
      </c>
      <c r="B135" s="6" t="str">
        <f t="shared" si="22"/>
        <v>NIKADM01085</v>
      </c>
      <c r="C135" s="7" t="s">
        <v>1196</v>
      </c>
      <c r="D135" s="7" t="s">
        <v>1197</v>
      </c>
      <c r="E135" s="7" t="str">
        <f t="shared" si="23"/>
        <v>RAJNI BHALLA</v>
      </c>
      <c r="F135" s="7" t="s">
        <v>9</v>
      </c>
      <c r="G135" s="22">
        <v>43229</v>
      </c>
      <c r="H135" s="8">
        <v>51387</v>
      </c>
      <c r="I135" s="7" t="str">
        <f t="shared" si="24"/>
        <v>rajni.bhalla@ad.bha.ba</v>
      </c>
      <c r="J135" s="6" t="s">
        <v>1539</v>
      </c>
      <c r="K135" s="6">
        <v>82</v>
      </c>
      <c r="L135" s="7" t="str">
        <f t="shared" si="25"/>
        <v>ad.bha.ba</v>
      </c>
      <c r="M135" s="7" t="str">
        <f t="shared" si="26"/>
        <v>B.Rajni</v>
      </c>
      <c r="N135" s="6">
        <f t="shared" si="27"/>
        <v>0</v>
      </c>
      <c r="O135" s="6">
        <f t="shared" si="28"/>
        <v>0</v>
      </c>
      <c r="P135" s="6" t="str">
        <f t="shared" si="29"/>
        <v>N</v>
      </c>
      <c r="Q135" s="6">
        <f t="shared" si="30"/>
        <v>11</v>
      </c>
      <c r="R135" s="6" t="str">
        <f t="shared" si="31"/>
        <v>2018</v>
      </c>
      <c r="S135" s="6" t="str">
        <f t="shared" si="32"/>
        <v>May</v>
      </c>
    </row>
    <row r="136" spans="1:19" x14ac:dyDescent="0.25">
      <c r="A136" s="6">
        <v>1087</v>
      </c>
      <c r="B136" s="6" t="str">
        <f t="shared" si="22"/>
        <v>NIKADM01087</v>
      </c>
      <c r="C136" s="7" t="s">
        <v>1199</v>
      </c>
      <c r="D136" s="7" t="s">
        <v>248</v>
      </c>
      <c r="E136" s="7" t="str">
        <f t="shared" si="23"/>
        <v>PANCHAL PRIYANKA</v>
      </c>
      <c r="F136" s="7" t="s">
        <v>9</v>
      </c>
      <c r="G136" s="22">
        <v>44305</v>
      </c>
      <c r="H136" s="8">
        <v>58439</v>
      </c>
      <c r="I136" s="7" t="str">
        <f t="shared" si="24"/>
        <v>panchal.priyanka@ad.pra.ba</v>
      </c>
      <c r="J136" s="6" t="s">
        <v>1541</v>
      </c>
      <c r="K136" s="6">
        <v>52</v>
      </c>
      <c r="L136" s="7" t="str">
        <f t="shared" si="25"/>
        <v>ad.pra.ba</v>
      </c>
      <c r="M136" s="7" t="str">
        <f t="shared" si="26"/>
        <v>P.Panchal</v>
      </c>
      <c r="N136" s="6">
        <f t="shared" si="27"/>
        <v>0</v>
      </c>
      <c r="O136" s="6">
        <f t="shared" si="28"/>
        <v>0</v>
      </c>
      <c r="P136" s="6" t="str">
        <f t="shared" si="29"/>
        <v>N</v>
      </c>
      <c r="Q136" s="6">
        <f t="shared" si="30"/>
        <v>15</v>
      </c>
      <c r="R136" s="6" t="str">
        <f t="shared" si="31"/>
        <v>2021</v>
      </c>
      <c r="S136" s="6" t="str">
        <f t="shared" si="32"/>
        <v>Apr</v>
      </c>
    </row>
    <row r="137" spans="1:19" x14ac:dyDescent="0.25">
      <c r="A137" s="6">
        <v>1097</v>
      </c>
      <c r="B137" s="6" t="str">
        <f t="shared" si="22"/>
        <v>NIKADM01097</v>
      </c>
      <c r="C137" s="7" t="s">
        <v>733</v>
      </c>
      <c r="D137" s="7" t="s">
        <v>1207</v>
      </c>
      <c r="E137" s="7" t="str">
        <f t="shared" si="23"/>
        <v>HEMAL G.</v>
      </c>
      <c r="F137" s="7" t="s">
        <v>9</v>
      </c>
      <c r="G137" s="22">
        <v>39210</v>
      </c>
      <c r="H137" s="8">
        <v>95760</v>
      </c>
      <c r="I137" s="7" t="str">
        <f t="shared" si="24"/>
        <v>hemal.g.@ad.g...ba</v>
      </c>
      <c r="J137" s="6" t="s">
        <v>1534</v>
      </c>
      <c r="K137" s="6">
        <v>73</v>
      </c>
      <c r="L137" s="7" t="str">
        <f t="shared" si="25"/>
        <v>ad.g...ba</v>
      </c>
      <c r="M137" s="7" t="str">
        <f t="shared" si="26"/>
        <v>G.Hemal</v>
      </c>
      <c r="N137" s="6">
        <f t="shared" si="27"/>
        <v>2</v>
      </c>
      <c r="O137" s="6">
        <f t="shared" si="28"/>
        <v>0</v>
      </c>
      <c r="P137" s="6" t="str">
        <f t="shared" si="29"/>
        <v>N</v>
      </c>
      <c r="Q137" s="6">
        <f t="shared" si="30"/>
        <v>7</v>
      </c>
      <c r="R137" s="6" t="str">
        <f t="shared" si="31"/>
        <v>2007</v>
      </c>
      <c r="S137" s="6" t="str">
        <f t="shared" si="32"/>
        <v>May</v>
      </c>
    </row>
    <row r="138" spans="1:19" x14ac:dyDescent="0.25">
      <c r="A138" s="6">
        <v>1101</v>
      </c>
      <c r="B138" s="6" t="str">
        <f t="shared" si="22"/>
        <v>NIKADM01101</v>
      </c>
      <c r="C138" s="7" t="s">
        <v>320</v>
      </c>
      <c r="D138" s="7" t="s">
        <v>111</v>
      </c>
      <c r="E138" s="7" t="str">
        <f t="shared" si="23"/>
        <v>VISHAL BHARAT</v>
      </c>
      <c r="F138" s="7" t="s">
        <v>9</v>
      </c>
      <c r="G138" s="22">
        <v>42961</v>
      </c>
      <c r="H138" s="8">
        <v>108103</v>
      </c>
      <c r="I138" s="7" t="str">
        <f t="shared" si="24"/>
        <v>vishal.bharat@ad.bht.ba</v>
      </c>
      <c r="J138" s="6" t="s">
        <v>1539</v>
      </c>
      <c r="K138" s="6">
        <v>61</v>
      </c>
      <c r="L138" s="7" t="str">
        <f t="shared" si="25"/>
        <v>ad.bht.ba</v>
      </c>
      <c r="M138" s="7" t="str">
        <f t="shared" si="26"/>
        <v>B.Vishal</v>
      </c>
      <c r="N138" s="6">
        <f t="shared" si="27"/>
        <v>0</v>
      </c>
      <c r="O138" s="6">
        <f t="shared" si="28"/>
        <v>0</v>
      </c>
      <c r="P138" s="6" t="str">
        <f t="shared" si="29"/>
        <v>N</v>
      </c>
      <c r="Q138" s="6">
        <f t="shared" si="30"/>
        <v>12</v>
      </c>
      <c r="R138" s="6" t="str">
        <f t="shared" si="31"/>
        <v>2017</v>
      </c>
      <c r="S138" s="6" t="str">
        <f t="shared" si="32"/>
        <v>Aug</v>
      </c>
    </row>
    <row r="139" spans="1:19" x14ac:dyDescent="0.25">
      <c r="A139" s="6">
        <v>1105</v>
      </c>
      <c r="B139" s="6" t="str">
        <f t="shared" si="22"/>
        <v>NIKADM01105</v>
      </c>
      <c r="C139" s="7" t="s">
        <v>20</v>
      </c>
      <c r="D139" s="7" t="s">
        <v>1211</v>
      </c>
      <c r="E139" s="7" t="str">
        <f t="shared" si="23"/>
        <v>VINAY NOUDIYAL</v>
      </c>
      <c r="F139" s="7" t="s">
        <v>9</v>
      </c>
      <c r="G139" s="22">
        <v>42592</v>
      </c>
      <c r="H139" s="8">
        <v>105805</v>
      </c>
      <c r="I139" s="7" t="str">
        <f t="shared" si="24"/>
        <v>vinay.noudiyal@ad.nol.ba</v>
      </c>
      <c r="J139" s="6" t="s">
        <v>1543</v>
      </c>
      <c r="K139" s="6">
        <v>46</v>
      </c>
      <c r="L139" s="7" t="str">
        <f t="shared" si="25"/>
        <v>ad.nol.ba</v>
      </c>
      <c r="M139" s="7" t="str">
        <f t="shared" si="26"/>
        <v>N.Vinay</v>
      </c>
      <c r="N139" s="6">
        <f t="shared" si="27"/>
        <v>0</v>
      </c>
      <c r="O139" s="6">
        <f t="shared" si="28"/>
        <v>0</v>
      </c>
      <c r="P139" s="6" t="str">
        <f t="shared" si="29"/>
        <v>N</v>
      </c>
      <c r="Q139" s="6">
        <f t="shared" si="30"/>
        <v>13</v>
      </c>
      <c r="R139" s="6" t="str">
        <f t="shared" si="31"/>
        <v>2016</v>
      </c>
      <c r="S139" s="6" t="str">
        <f t="shared" si="32"/>
        <v>Aug</v>
      </c>
    </row>
    <row r="140" spans="1:19" x14ac:dyDescent="0.25">
      <c r="A140" s="6">
        <v>1116</v>
      </c>
      <c r="B140" s="6" t="str">
        <f t="shared" si="22"/>
        <v>NIKADM01116</v>
      </c>
      <c r="C140" s="7" t="s">
        <v>1221</v>
      </c>
      <c r="D140" s="7" t="s">
        <v>1222</v>
      </c>
      <c r="E140" s="7" t="str">
        <f t="shared" si="23"/>
        <v>TABASSUM SALAUDDIN</v>
      </c>
      <c r="F140" s="7" t="s">
        <v>9</v>
      </c>
      <c r="G140" s="22">
        <v>41855</v>
      </c>
      <c r="H140" s="8">
        <v>35868</v>
      </c>
      <c r="I140" s="7" t="str">
        <f t="shared" si="24"/>
        <v>tabassum.salauddin@ad.san.ba</v>
      </c>
      <c r="J140" s="6" t="s">
        <v>1539</v>
      </c>
      <c r="K140" s="6">
        <v>90</v>
      </c>
      <c r="L140" s="7" t="str">
        <f t="shared" si="25"/>
        <v>ad.san.ba</v>
      </c>
      <c r="M140" s="7" t="str">
        <f t="shared" si="26"/>
        <v>S.Tabassum</v>
      </c>
      <c r="N140" s="6">
        <f t="shared" si="27"/>
        <v>0</v>
      </c>
      <c r="O140" s="6">
        <f t="shared" si="28"/>
        <v>0</v>
      </c>
      <c r="P140" s="6" t="str">
        <f t="shared" si="29"/>
        <v>N</v>
      </c>
      <c r="Q140" s="6">
        <f t="shared" si="30"/>
        <v>17</v>
      </c>
      <c r="R140" s="6" t="str">
        <f t="shared" si="31"/>
        <v>2014</v>
      </c>
      <c r="S140" s="6" t="str">
        <f t="shared" si="32"/>
        <v>Aug</v>
      </c>
    </row>
    <row r="141" spans="1:19" x14ac:dyDescent="0.25">
      <c r="A141" s="6">
        <v>1120</v>
      </c>
      <c r="B141" s="6" t="str">
        <f t="shared" si="22"/>
        <v>NIKADM01120</v>
      </c>
      <c r="C141" s="7" t="s">
        <v>89</v>
      </c>
      <c r="D141" s="7" t="s">
        <v>1223</v>
      </c>
      <c r="E141" s="7" t="str">
        <f t="shared" si="23"/>
        <v>VIJAY HIRJIBHAI</v>
      </c>
      <c r="F141" s="7" t="s">
        <v>9</v>
      </c>
      <c r="G141" s="22">
        <v>44116</v>
      </c>
      <c r="H141" s="8">
        <v>91408</v>
      </c>
      <c r="I141" s="7" t="str">
        <f t="shared" si="24"/>
        <v>vijay.hirjibhai@ad.hii.ba</v>
      </c>
      <c r="J141" s="6" t="s">
        <v>1545</v>
      </c>
      <c r="K141" s="6">
        <v>64</v>
      </c>
      <c r="L141" s="7" t="str">
        <f t="shared" si="25"/>
        <v>ad.hii.ba</v>
      </c>
      <c r="M141" s="7" t="str">
        <f t="shared" si="26"/>
        <v>H.Vijay</v>
      </c>
      <c r="N141" s="6">
        <f t="shared" si="27"/>
        <v>0</v>
      </c>
      <c r="O141" s="6">
        <f t="shared" si="28"/>
        <v>0</v>
      </c>
      <c r="P141" s="6" t="str">
        <f t="shared" si="29"/>
        <v>N</v>
      </c>
      <c r="Q141" s="6">
        <f t="shared" si="30"/>
        <v>14</v>
      </c>
      <c r="R141" s="6" t="str">
        <f t="shared" si="31"/>
        <v>2020</v>
      </c>
      <c r="S141" s="6" t="str">
        <f t="shared" si="32"/>
        <v>Oct</v>
      </c>
    </row>
    <row r="142" spans="1:19" x14ac:dyDescent="0.25">
      <c r="A142" s="6">
        <v>1122</v>
      </c>
      <c r="B142" s="6" t="str">
        <f t="shared" si="22"/>
        <v>NIKADM01122</v>
      </c>
      <c r="C142" s="7" t="s">
        <v>1224</v>
      </c>
      <c r="D142" s="7" t="s">
        <v>1225</v>
      </c>
      <c r="E142" s="7" t="str">
        <f t="shared" si="23"/>
        <v>URJA DILIPKUMAR</v>
      </c>
      <c r="F142" s="7" t="s">
        <v>9</v>
      </c>
      <c r="G142" s="22">
        <v>44298</v>
      </c>
      <c r="H142" s="8">
        <v>86185</v>
      </c>
      <c r="I142" s="7" t="str">
        <f t="shared" si="24"/>
        <v>urja.dilipkumar@ad.dir.ba</v>
      </c>
      <c r="J142" s="6" t="s">
        <v>1545</v>
      </c>
      <c r="K142" s="6">
        <v>43</v>
      </c>
      <c r="L142" s="7" t="str">
        <f t="shared" si="25"/>
        <v>ad.dir.ba</v>
      </c>
      <c r="M142" s="7" t="str">
        <f t="shared" si="26"/>
        <v>D.Urja</v>
      </c>
      <c r="N142" s="6">
        <f t="shared" si="27"/>
        <v>0</v>
      </c>
      <c r="O142" s="6">
        <f t="shared" si="28"/>
        <v>0</v>
      </c>
      <c r="P142" s="6" t="str">
        <f t="shared" si="29"/>
        <v>N</v>
      </c>
      <c r="Q142" s="6">
        <f t="shared" si="30"/>
        <v>14</v>
      </c>
      <c r="R142" s="6" t="str">
        <f t="shared" si="31"/>
        <v>2021</v>
      </c>
      <c r="S142" s="6" t="str">
        <f t="shared" si="32"/>
        <v>Apr</v>
      </c>
    </row>
    <row r="143" spans="1:19" x14ac:dyDescent="0.25">
      <c r="A143" s="6">
        <v>1129</v>
      </c>
      <c r="B143" s="6" t="str">
        <f t="shared" si="22"/>
        <v>NIKADM01129</v>
      </c>
      <c r="C143" s="7" t="s">
        <v>1230</v>
      </c>
      <c r="D143" s="7" t="s">
        <v>221</v>
      </c>
      <c r="E143" s="7" t="str">
        <f t="shared" si="23"/>
        <v>DARSHANA DILIP</v>
      </c>
      <c r="F143" s="7" t="s">
        <v>9</v>
      </c>
      <c r="G143" s="22">
        <v>42590</v>
      </c>
      <c r="H143" s="8">
        <v>70544</v>
      </c>
      <c r="I143" s="7" t="str">
        <f t="shared" si="24"/>
        <v>darshana.dilip@ad.dip.ba</v>
      </c>
      <c r="J143" s="6" t="s">
        <v>1533</v>
      </c>
      <c r="K143" s="6">
        <v>74</v>
      </c>
      <c r="L143" s="7" t="str">
        <f t="shared" si="25"/>
        <v>ad.dip.ba</v>
      </c>
      <c r="M143" s="7" t="str">
        <f t="shared" si="26"/>
        <v>D.Darshana</v>
      </c>
      <c r="N143" s="6">
        <f t="shared" si="27"/>
        <v>0</v>
      </c>
      <c r="O143" s="6">
        <f t="shared" si="28"/>
        <v>0</v>
      </c>
      <c r="P143" s="6" t="str">
        <f t="shared" si="29"/>
        <v>N</v>
      </c>
      <c r="Q143" s="6">
        <f t="shared" si="30"/>
        <v>13</v>
      </c>
      <c r="R143" s="6" t="str">
        <f t="shared" si="31"/>
        <v>2016</v>
      </c>
      <c r="S143" s="6" t="str">
        <f t="shared" si="32"/>
        <v>Aug</v>
      </c>
    </row>
    <row r="144" spans="1:19" x14ac:dyDescent="0.25">
      <c r="A144" s="6">
        <v>1133</v>
      </c>
      <c r="B144" s="6" t="str">
        <f t="shared" si="22"/>
        <v>NIKADM01133</v>
      </c>
      <c r="C144" s="7" t="s">
        <v>722</v>
      </c>
      <c r="D144" s="7" t="s">
        <v>1232</v>
      </c>
      <c r="E144" s="7" t="str">
        <f t="shared" si="23"/>
        <v>RITU BHANWARSINGH</v>
      </c>
      <c r="F144" s="7" t="s">
        <v>9</v>
      </c>
      <c r="G144" s="22">
        <v>42249</v>
      </c>
      <c r="H144" s="8">
        <v>84955</v>
      </c>
      <c r="I144" s="7" t="str">
        <f t="shared" si="24"/>
        <v>ritu.bhanwarsingh@ad.bhh.ba</v>
      </c>
      <c r="J144" s="6" t="s">
        <v>1544</v>
      </c>
      <c r="K144" s="6">
        <v>47</v>
      </c>
      <c r="L144" s="7" t="str">
        <f t="shared" si="25"/>
        <v>ad.bhh.ba</v>
      </c>
      <c r="M144" s="7" t="str">
        <f t="shared" si="26"/>
        <v>B.Ritu</v>
      </c>
      <c r="N144" s="6">
        <f t="shared" si="27"/>
        <v>0</v>
      </c>
      <c r="O144" s="6">
        <f t="shared" si="28"/>
        <v>0</v>
      </c>
      <c r="P144" s="6" t="str">
        <f t="shared" si="29"/>
        <v>N</v>
      </c>
      <c r="Q144" s="6">
        <f t="shared" si="30"/>
        <v>16</v>
      </c>
      <c r="R144" s="6" t="str">
        <f t="shared" si="31"/>
        <v>2015</v>
      </c>
      <c r="S144" s="6" t="str">
        <f t="shared" si="32"/>
        <v>Sep</v>
      </c>
    </row>
    <row r="145" spans="1:19" x14ac:dyDescent="0.25">
      <c r="A145" s="6">
        <v>1144</v>
      </c>
      <c r="B145" s="6" t="str">
        <f t="shared" si="22"/>
        <v>NIKADM01144</v>
      </c>
      <c r="C145" s="7" t="s">
        <v>1242</v>
      </c>
      <c r="D145" s="7" t="s">
        <v>1128</v>
      </c>
      <c r="E145" s="7" t="str">
        <f t="shared" si="23"/>
        <v>SOMA MUKHERJEE</v>
      </c>
      <c r="F145" s="7" t="s">
        <v>9</v>
      </c>
      <c r="G145" s="22">
        <v>43698</v>
      </c>
      <c r="H145" s="8">
        <v>47050</v>
      </c>
      <c r="I145" s="7" t="str">
        <f t="shared" si="24"/>
        <v>soma.mukherjee@ad.mue.ba</v>
      </c>
      <c r="J145" s="6" t="s">
        <v>1532</v>
      </c>
      <c r="K145" s="6">
        <v>44</v>
      </c>
      <c r="L145" s="7" t="str">
        <f t="shared" si="25"/>
        <v>ad.mue.ba</v>
      </c>
      <c r="M145" s="7" t="str">
        <f t="shared" si="26"/>
        <v>M.Soma</v>
      </c>
      <c r="N145" s="6">
        <f t="shared" si="27"/>
        <v>0</v>
      </c>
      <c r="O145" s="6">
        <f t="shared" si="28"/>
        <v>5</v>
      </c>
      <c r="P145" s="6" t="str">
        <f t="shared" si="29"/>
        <v>N</v>
      </c>
      <c r="Q145" s="6">
        <f t="shared" si="30"/>
        <v>13</v>
      </c>
      <c r="R145" s="6" t="str">
        <f t="shared" si="31"/>
        <v>2019</v>
      </c>
      <c r="S145" s="6" t="str">
        <f t="shared" si="32"/>
        <v>Aug</v>
      </c>
    </row>
    <row r="146" spans="1:19" x14ac:dyDescent="0.25">
      <c r="A146" s="6">
        <v>1145</v>
      </c>
      <c r="B146" s="6" t="str">
        <f t="shared" si="22"/>
        <v>NIKADM01145</v>
      </c>
      <c r="C146" s="7" t="s">
        <v>1243</v>
      </c>
      <c r="D146" s="7" t="s">
        <v>1244</v>
      </c>
      <c r="E146" s="7" t="str">
        <f t="shared" si="23"/>
        <v>BHIMRAJ MANGAL</v>
      </c>
      <c r="F146" s="7" t="s">
        <v>9</v>
      </c>
      <c r="G146" s="22">
        <v>44544</v>
      </c>
      <c r="H146" s="8">
        <v>98346</v>
      </c>
      <c r="I146" s="7" t="str">
        <f t="shared" si="24"/>
        <v>bhimraj.mangal@ad.mal.ba</v>
      </c>
      <c r="J146" s="6" t="s">
        <v>1548</v>
      </c>
      <c r="K146" s="6">
        <v>44</v>
      </c>
      <c r="L146" s="7" t="str">
        <f t="shared" si="25"/>
        <v>ad.mal.ba</v>
      </c>
      <c r="M146" s="7" t="str">
        <f t="shared" si="26"/>
        <v>M.Bhimraj</v>
      </c>
      <c r="N146" s="6">
        <f t="shared" si="27"/>
        <v>0</v>
      </c>
      <c r="O146" s="6">
        <f t="shared" si="28"/>
        <v>0</v>
      </c>
      <c r="P146" s="6" t="str">
        <f t="shared" si="29"/>
        <v>N</v>
      </c>
      <c r="Q146" s="6">
        <f t="shared" si="30"/>
        <v>13</v>
      </c>
      <c r="R146" s="6" t="str">
        <f t="shared" si="31"/>
        <v>2021</v>
      </c>
      <c r="S146" s="6" t="str">
        <f t="shared" si="32"/>
        <v>Dec</v>
      </c>
    </row>
    <row r="147" spans="1:19" x14ac:dyDescent="0.25">
      <c r="A147" s="6">
        <v>1147</v>
      </c>
      <c r="B147" s="6" t="str">
        <f t="shared" si="22"/>
        <v>NIKADM01147</v>
      </c>
      <c r="C147" s="7" t="s">
        <v>1246</v>
      </c>
      <c r="D147" s="7" t="s">
        <v>466</v>
      </c>
      <c r="E147" s="7" t="str">
        <f t="shared" si="23"/>
        <v>PRANAV B</v>
      </c>
      <c r="F147" s="7" t="s">
        <v>9</v>
      </c>
      <c r="G147" s="22">
        <v>42870</v>
      </c>
      <c r="H147" s="8">
        <v>54960</v>
      </c>
      <c r="I147" s="7" t="str">
        <f t="shared" si="24"/>
        <v>pranav.b@ad.bb.ba</v>
      </c>
      <c r="J147" s="6" t="s">
        <v>1538</v>
      </c>
      <c r="K147" s="6">
        <v>70</v>
      </c>
      <c r="L147" s="7" t="str">
        <f t="shared" si="25"/>
        <v>ad.bb.ba</v>
      </c>
      <c r="M147" s="7" t="str">
        <f t="shared" si="26"/>
        <v>B.Pranav</v>
      </c>
      <c r="N147" s="6">
        <f t="shared" si="27"/>
        <v>0</v>
      </c>
      <c r="O147" s="6">
        <f t="shared" si="28"/>
        <v>0</v>
      </c>
      <c r="P147" s="6" t="str">
        <f t="shared" si="29"/>
        <v>N</v>
      </c>
      <c r="Q147" s="6">
        <f t="shared" si="30"/>
        <v>7</v>
      </c>
      <c r="R147" s="6" t="str">
        <f t="shared" si="31"/>
        <v>2017</v>
      </c>
      <c r="S147" s="6" t="str">
        <f t="shared" si="32"/>
        <v>May</v>
      </c>
    </row>
    <row r="148" spans="1:19" x14ac:dyDescent="0.25">
      <c r="A148" s="6">
        <v>1154</v>
      </c>
      <c r="B148" s="6" t="str">
        <f t="shared" si="22"/>
        <v>NIKADM01154</v>
      </c>
      <c r="C148" s="7" t="s">
        <v>259</v>
      </c>
      <c r="D148" s="7" t="s">
        <v>205</v>
      </c>
      <c r="E148" s="7" t="str">
        <f t="shared" si="23"/>
        <v>ASHISH VERMA</v>
      </c>
      <c r="F148" s="7" t="s">
        <v>9</v>
      </c>
      <c r="G148" s="22">
        <v>39692</v>
      </c>
      <c r="H148" s="8">
        <v>66416</v>
      </c>
      <c r="I148" s="7" t="str">
        <f t="shared" si="24"/>
        <v>ashish.verma@ad.vea.ba</v>
      </c>
      <c r="J148" s="6" t="s">
        <v>1540</v>
      </c>
      <c r="K148" s="6">
        <v>83</v>
      </c>
      <c r="L148" s="7" t="str">
        <f t="shared" si="25"/>
        <v>ad.vea.ba</v>
      </c>
      <c r="M148" s="7" t="str">
        <f t="shared" si="26"/>
        <v>V.Ashish</v>
      </c>
      <c r="N148" s="6">
        <f t="shared" si="27"/>
        <v>0</v>
      </c>
      <c r="O148" s="6">
        <f t="shared" si="28"/>
        <v>2</v>
      </c>
      <c r="P148" s="6" t="str">
        <f t="shared" si="29"/>
        <v>N</v>
      </c>
      <c r="Q148" s="6">
        <f t="shared" si="30"/>
        <v>11</v>
      </c>
      <c r="R148" s="6" t="str">
        <f t="shared" si="31"/>
        <v>2008</v>
      </c>
      <c r="S148" s="6" t="str">
        <f t="shared" si="32"/>
        <v>Sep</v>
      </c>
    </row>
    <row r="149" spans="1:19" x14ac:dyDescent="0.25">
      <c r="A149" s="6">
        <v>1174</v>
      </c>
      <c r="B149" s="6" t="str">
        <f t="shared" si="22"/>
        <v>NIKADM01174</v>
      </c>
      <c r="C149" s="7" t="s">
        <v>893</v>
      </c>
      <c r="D149" s="7" t="s">
        <v>84</v>
      </c>
      <c r="E149" s="7" t="str">
        <f t="shared" si="23"/>
        <v>CHETAN PRAKASH</v>
      </c>
      <c r="F149" s="7" t="s">
        <v>9</v>
      </c>
      <c r="G149" s="22">
        <v>44622</v>
      </c>
      <c r="H149" s="8">
        <v>76364</v>
      </c>
      <c r="I149" s="7" t="str">
        <f t="shared" si="24"/>
        <v>chetan.prakash@ad.prh.ba</v>
      </c>
      <c r="J149" s="6" t="s">
        <v>1546</v>
      </c>
      <c r="K149" s="6">
        <v>59</v>
      </c>
      <c r="L149" s="7" t="str">
        <f t="shared" si="25"/>
        <v>ad.prh.ba</v>
      </c>
      <c r="M149" s="7" t="str">
        <f t="shared" si="26"/>
        <v>P.Chetan</v>
      </c>
      <c r="N149" s="6">
        <f t="shared" si="27"/>
        <v>3</v>
      </c>
      <c r="O149" s="6">
        <f t="shared" si="28"/>
        <v>0</v>
      </c>
      <c r="P149" s="6" t="str">
        <f t="shared" si="29"/>
        <v>N</v>
      </c>
      <c r="Q149" s="6">
        <f t="shared" si="30"/>
        <v>13</v>
      </c>
      <c r="R149" s="6" t="str">
        <f t="shared" si="31"/>
        <v>2022</v>
      </c>
      <c r="S149" s="6" t="str">
        <f t="shared" si="32"/>
        <v>Mar</v>
      </c>
    </row>
    <row r="150" spans="1:19" x14ac:dyDescent="0.25">
      <c r="A150" s="6">
        <v>1179</v>
      </c>
      <c r="B150" s="6" t="str">
        <f t="shared" si="22"/>
        <v>NIKADM01179</v>
      </c>
      <c r="C150" s="7" t="s">
        <v>48</v>
      </c>
      <c r="D150" s="7" t="s">
        <v>339</v>
      </c>
      <c r="E150" s="7" t="str">
        <f t="shared" si="23"/>
        <v>SANJAY SEN</v>
      </c>
      <c r="F150" s="7" t="s">
        <v>9</v>
      </c>
      <c r="G150" s="22">
        <v>43691</v>
      </c>
      <c r="H150" s="8">
        <v>97422</v>
      </c>
      <c r="I150" s="7" t="str">
        <f t="shared" si="24"/>
        <v>sanjay.sen@ad.sen.ba</v>
      </c>
      <c r="J150" s="6" t="s">
        <v>1533</v>
      </c>
      <c r="K150" s="6">
        <v>73</v>
      </c>
      <c r="L150" s="7" t="str">
        <f t="shared" si="25"/>
        <v>ad.sen.ba</v>
      </c>
      <c r="M150" s="7" t="str">
        <f t="shared" si="26"/>
        <v>S.Sanjay</v>
      </c>
      <c r="N150" s="6">
        <f t="shared" si="27"/>
        <v>0</v>
      </c>
      <c r="O150" s="6">
        <f t="shared" si="28"/>
        <v>2</v>
      </c>
      <c r="P150" s="6" t="str">
        <f t="shared" si="29"/>
        <v>N</v>
      </c>
      <c r="Q150" s="6">
        <f t="shared" si="30"/>
        <v>9</v>
      </c>
      <c r="R150" s="6" t="str">
        <f t="shared" si="31"/>
        <v>2019</v>
      </c>
      <c r="S150" s="6" t="str">
        <f t="shared" si="32"/>
        <v>Aug</v>
      </c>
    </row>
    <row r="151" spans="1:19" x14ac:dyDescent="0.25">
      <c r="A151" s="6">
        <v>1186</v>
      </c>
      <c r="B151" s="6" t="str">
        <f t="shared" si="22"/>
        <v>NIKADM01186</v>
      </c>
      <c r="C151" s="7" t="s">
        <v>1264</v>
      </c>
      <c r="D151" s="7" t="s">
        <v>465</v>
      </c>
      <c r="E151" s="7" t="str">
        <f t="shared" si="23"/>
        <v>HARSHDA SURESH</v>
      </c>
      <c r="F151" s="7" t="s">
        <v>9</v>
      </c>
      <c r="G151" s="22">
        <v>43383</v>
      </c>
      <c r="H151" s="8">
        <v>54472</v>
      </c>
      <c r="I151" s="7" t="str">
        <f t="shared" si="24"/>
        <v>harshda.suresh@ad.suh.ba</v>
      </c>
      <c r="J151" s="6" t="s">
        <v>1538</v>
      </c>
      <c r="K151" s="6">
        <v>57</v>
      </c>
      <c r="L151" s="7" t="str">
        <f t="shared" si="25"/>
        <v>ad.suh.ba</v>
      </c>
      <c r="M151" s="7" t="str">
        <f t="shared" si="26"/>
        <v>S.Harshda</v>
      </c>
      <c r="N151" s="6">
        <f t="shared" si="27"/>
        <v>0</v>
      </c>
      <c r="O151" s="6">
        <f t="shared" si="28"/>
        <v>4</v>
      </c>
      <c r="P151" s="6" t="str">
        <f t="shared" si="29"/>
        <v>N</v>
      </c>
      <c r="Q151" s="6">
        <f t="shared" si="30"/>
        <v>13</v>
      </c>
      <c r="R151" s="6" t="str">
        <f t="shared" si="31"/>
        <v>2018</v>
      </c>
      <c r="S151" s="6" t="str">
        <f t="shared" si="32"/>
        <v>Oct</v>
      </c>
    </row>
    <row r="152" spans="1:19" x14ac:dyDescent="0.25">
      <c r="A152" s="6">
        <v>1188</v>
      </c>
      <c r="B152" s="6" t="str">
        <f t="shared" si="22"/>
        <v>NIKADM01188</v>
      </c>
      <c r="C152" s="7" t="s">
        <v>86</v>
      </c>
      <c r="D152" s="7" t="s">
        <v>540</v>
      </c>
      <c r="E152" s="7" t="str">
        <f t="shared" si="23"/>
        <v>MANISH RAJPUT</v>
      </c>
      <c r="F152" s="7" t="s">
        <v>9</v>
      </c>
      <c r="G152" s="22">
        <v>44515</v>
      </c>
      <c r="H152" s="8">
        <v>99846</v>
      </c>
      <c r="I152" s="7" t="str">
        <f t="shared" si="24"/>
        <v>manish.rajput@ad.rat.ba</v>
      </c>
      <c r="J152" s="6" t="s">
        <v>1547</v>
      </c>
      <c r="K152" s="6">
        <v>80</v>
      </c>
      <c r="L152" s="7" t="str">
        <f t="shared" si="25"/>
        <v>ad.rat.ba</v>
      </c>
      <c r="M152" s="7" t="str">
        <f t="shared" si="26"/>
        <v>R.Manish</v>
      </c>
      <c r="N152" s="6">
        <f t="shared" si="27"/>
        <v>0</v>
      </c>
      <c r="O152" s="6">
        <f t="shared" si="28"/>
        <v>0</v>
      </c>
      <c r="P152" s="6" t="str">
        <f t="shared" si="29"/>
        <v>N</v>
      </c>
      <c r="Q152" s="6">
        <f t="shared" si="30"/>
        <v>12</v>
      </c>
      <c r="R152" s="6" t="str">
        <f t="shared" si="31"/>
        <v>2021</v>
      </c>
      <c r="S152" s="6" t="str">
        <f t="shared" si="32"/>
        <v>Nov</v>
      </c>
    </row>
    <row r="153" spans="1:19" x14ac:dyDescent="0.25">
      <c r="A153" s="6">
        <v>1195</v>
      </c>
      <c r="B153" s="6" t="str">
        <f t="shared" si="22"/>
        <v>NIKADM01195</v>
      </c>
      <c r="C153" s="7" t="s">
        <v>1272</v>
      </c>
      <c r="D153" s="7" t="s">
        <v>206</v>
      </c>
      <c r="E153" s="7" t="str">
        <f t="shared" si="23"/>
        <v>SANTANU SONI</v>
      </c>
      <c r="F153" s="7" t="s">
        <v>9</v>
      </c>
      <c r="G153" s="22">
        <v>43556</v>
      </c>
      <c r="H153" s="8">
        <v>72208</v>
      </c>
      <c r="I153" s="7" t="str">
        <f t="shared" si="24"/>
        <v>santanu.soni@ad.soi.ba</v>
      </c>
      <c r="J153" s="6" t="s">
        <v>1532</v>
      </c>
      <c r="K153" s="6">
        <v>42</v>
      </c>
      <c r="L153" s="7" t="str">
        <f t="shared" si="25"/>
        <v>ad.soi.ba</v>
      </c>
      <c r="M153" s="7" t="str">
        <f t="shared" si="26"/>
        <v>S.Santanu</v>
      </c>
      <c r="N153" s="6">
        <f t="shared" si="27"/>
        <v>0</v>
      </c>
      <c r="O153" s="6">
        <f t="shared" si="28"/>
        <v>0</v>
      </c>
      <c r="P153" s="6" t="str">
        <f t="shared" si="29"/>
        <v>N</v>
      </c>
      <c r="Q153" s="6">
        <f t="shared" si="30"/>
        <v>11</v>
      </c>
      <c r="R153" s="6" t="str">
        <f t="shared" si="31"/>
        <v>2019</v>
      </c>
      <c r="S153" s="6" t="str">
        <f t="shared" si="32"/>
        <v>Apr</v>
      </c>
    </row>
    <row r="154" spans="1:19" x14ac:dyDescent="0.25">
      <c r="A154" s="6">
        <v>1200</v>
      </c>
      <c r="B154" s="6" t="str">
        <f t="shared" si="22"/>
        <v>NIKADM01200</v>
      </c>
      <c r="C154" s="7" t="s">
        <v>392</v>
      </c>
      <c r="D154" s="7" t="s">
        <v>62</v>
      </c>
      <c r="E154" s="7" t="str">
        <f t="shared" si="23"/>
        <v>AKSHAY JAIN</v>
      </c>
      <c r="F154" s="7" t="s">
        <v>9</v>
      </c>
      <c r="G154" s="22">
        <v>44748</v>
      </c>
      <c r="H154" s="8">
        <v>88423</v>
      </c>
      <c r="I154" s="7" t="str">
        <f t="shared" si="24"/>
        <v>akshay.jain@ad.jan.ba</v>
      </c>
      <c r="J154" s="6" t="s">
        <v>1545</v>
      </c>
      <c r="K154" s="6">
        <v>60</v>
      </c>
      <c r="L154" s="7" t="str">
        <f t="shared" si="25"/>
        <v>ad.jan.ba</v>
      </c>
      <c r="M154" s="7" t="str">
        <f t="shared" si="26"/>
        <v>J.Akshay</v>
      </c>
      <c r="N154" s="6">
        <f t="shared" si="27"/>
        <v>0</v>
      </c>
      <c r="O154" s="6">
        <f t="shared" si="28"/>
        <v>0</v>
      </c>
      <c r="P154" s="6" t="str">
        <f t="shared" si="29"/>
        <v>N</v>
      </c>
      <c r="Q154" s="6">
        <f t="shared" si="30"/>
        <v>10</v>
      </c>
      <c r="R154" s="6" t="str">
        <f t="shared" si="31"/>
        <v>2022</v>
      </c>
      <c r="S154" s="6" t="str">
        <f t="shared" si="32"/>
        <v>Jul</v>
      </c>
    </row>
    <row r="155" spans="1:19" x14ac:dyDescent="0.25">
      <c r="A155" s="6">
        <v>1202</v>
      </c>
      <c r="B155" s="6" t="str">
        <f t="shared" si="22"/>
        <v>NIKADM01202</v>
      </c>
      <c r="C155" s="7" t="s">
        <v>1276</v>
      </c>
      <c r="D155" s="7" t="s">
        <v>740</v>
      </c>
      <c r="E155" s="7" t="str">
        <f t="shared" si="23"/>
        <v>JAIKISHAN GOPAL</v>
      </c>
      <c r="F155" s="7" t="s">
        <v>9</v>
      </c>
      <c r="G155" s="22">
        <v>44655</v>
      </c>
      <c r="H155" s="8">
        <v>39084</v>
      </c>
      <c r="I155" s="7" t="str">
        <f t="shared" si="24"/>
        <v>jaikishan.gopal@ad.gol.ba</v>
      </c>
      <c r="J155" s="6" t="s">
        <v>1550</v>
      </c>
      <c r="K155" s="6">
        <v>59</v>
      </c>
      <c r="L155" s="7" t="str">
        <f t="shared" si="25"/>
        <v>ad.gol.ba</v>
      </c>
      <c r="M155" s="7" t="str">
        <f t="shared" si="26"/>
        <v>G.Jaikishan</v>
      </c>
      <c r="N155" s="6">
        <f t="shared" si="27"/>
        <v>0</v>
      </c>
      <c r="O155" s="6">
        <f t="shared" si="28"/>
        <v>0</v>
      </c>
      <c r="P155" s="6" t="str">
        <f t="shared" si="29"/>
        <v>N</v>
      </c>
      <c r="Q155" s="6">
        <f t="shared" si="30"/>
        <v>14</v>
      </c>
      <c r="R155" s="6" t="str">
        <f t="shared" si="31"/>
        <v>2022</v>
      </c>
      <c r="S155" s="6" t="str">
        <f t="shared" si="32"/>
        <v>Apr</v>
      </c>
    </row>
    <row r="156" spans="1:19" x14ac:dyDescent="0.25">
      <c r="A156" s="6">
        <v>1208</v>
      </c>
      <c r="B156" s="6" t="str">
        <f t="shared" si="22"/>
        <v>NIKADM01208</v>
      </c>
      <c r="C156" s="7" t="s">
        <v>309</v>
      </c>
      <c r="D156" s="7" t="s">
        <v>970</v>
      </c>
      <c r="E156" s="7" t="str">
        <f t="shared" si="23"/>
        <v>SUMIT GOYAL</v>
      </c>
      <c r="F156" s="7" t="s">
        <v>9</v>
      </c>
      <c r="G156" s="22">
        <v>44635</v>
      </c>
      <c r="H156" s="8">
        <v>100630</v>
      </c>
      <c r="I156" s="7" t="str">
        <f t="shared" si="24"/>
        <v>sumit.goyal@ad.gol.ba</v>
      </c>
      <c r="J156" s="6" t="s">
        <v>1545</v>
      </c>
      <c r="K156" s="6">
        <v>75</v>
      </c>
      <c r="L156" s="7" t="str">
        <f t="shared" si="25"/>
        <v>ad.gol.ba</v>
      </c>
      <c r="M156" s="7" t="str">
        <f t="shared" si="26"/>
        <v>G.Sumit</v>
      </c>
      <c r="N156" s="6">
        <f t="shared" si="27"/>
        <v>0</v>
      </c>
      <c r="O156" s="6">
        <f t="shared" si="28"/>
        <v>0</v>
      </c>
      <c r="P156" s="6" t="str">
        <f t="shared" si="29"/>
        <v>N</v>
      </c>
      <c r="Q156" s="6">
        <f t="shared" si="30"/>
        <v>10</v>
      </c>
      <c r="R156" s="6" t="str">
        <f t="shared" si="31"/>
        <v>2022</v>
      </c>
      <c r="S156" s="6" t="str">
        <f t="shared" si="32"/>
        <v>Mar</v>
      </c>
    </row>
    <row r="157" spans="1:19" x14ac:dyDescent="0.25">
      <c r="A157" s="6">
        <v>1211</v>
      </c>
      <c r="B157" s="6" t="str">
        <f t="shared" si="22"/>
        <v>NIKADM01211</v>
      </c>
      <c r="C157" s="7" t="s">
        <v>513</v>
      </c>
      <c r="D157" s="7" t="s">
        <v>514</v>
      </c>
      <c r="E157" s="7" t="str">
        <f t="shared" si="23"/>
        <v>MEDHAVIK DAVE</v>
      </c>
      <c r="F157" s="7" t="s">
        <v>9</v>
      </c>
      <c r="G157" s="22">
        <v>44578</v>
      </c>
      <c r="H157" s="8">
        <v>108527</v>
      </c>
      <c r="I157" s="7" t="str">
        <f t="shared" si="24"/>
        <v>medhavik.dave@ad.dae.ba</v>
      </c>
      <c r="J157" s="6" t="s">
        <v>1536</v>
      </c>
      <c r="K157" s="6">
        <v>63</v>
      </c>
      <c r="L157" s="7" t="str">
        <f t="shared" si="25"/>
        <v>ad.dae.ba</v>
      </c>
      <c r="M157" s="7" t="str">
        <f t="shared" si="26"/>
        <v>D.Medhavik</v>
      </c>
      <c r="N157" s="6">
        <f t="shared" si="27"/>
        <v>2</v>
      </c>
      <c r="O157" s="6">
        <f t="shared" si="28"/>
        <v>4</v>
      </c>
      <c r="P157" s="6" t="str">
        <f t="shared" si="29"/>
        <v>Y</v>
      </c>
      <c r="Q157" s="6">
        <f t="shared" si="30"/>
        <v>12</v>
      </c>
      <c r="R157" s="6" t="str">
        <f t="shared" si="31"/>
        <v>2022</v>
      </c>
      <c r="S157" s="6" t="str">
        <f t="shared" si="32"/>
        <v>Jan</v>
      </c>
    </row>
    <row r="158" spans="1:19" x14ac:dyDescent="0.25">
      <c r="A158" s="6">
        <v>1231</v>
      </c>
      <c r="B158" s="6" t="str">
        <f t="shared" si="22"/>
        <v>NIKADM01231</v>
      </c>
      <c r="C158" s="7" t="s">
        <v>1303</v>
      </c>
      <c r="D158" s="7" t="s">
        <v>731</v>
      </c>
      <c r="E158" s="7" t="str">
        <f t="shared" si="23"/>
        <v>DEBARATI GHOSH</v>
      </c>
      <c r="F158" s="7" t="s">
        <v>9</v>
      </c>
      <c r="G158" s="22">
        <v>44622</v>
      </c>
      <c r="H158" s="8">
        <v>78238</v>
      </c>
      <c r="I158" s="7" t="str">
        <f t="shared" si="24"/>
        <v>debarati.ghosh@ad.ghh.ba</v>
      </c>
      <c r="J158" s="6" t="s">
        <v>1547</v>
      </c>
      <c r="K158" s="6">
        <v>40</v>
      </c>
      <c r="L158" s="7" t="str">
        <f t="shared" si="25"/>
        <v>ad.ghh.ba</v>
      </c>
      <c r="M158" s="7" t="str">
        <f t="shared" si="26"/>
        <v>G.Debarati</v>
      </c>
      <c r="N158" s="6">
        <f t="shared" si="27"/>
        <v>2</v>
      </c>
      <c r="O158" s="6">
        <f t="shared" si="28"/>
        <v>0</v>
      </c>
      <c r="P158" s="6" t="str">
        <f t="shared" si="29"/>
        <v>N</v>
      </c>
      <c r="Q158" s="6">
        <f t="shared" si="30"/>
        <v>13</v>
      </c>
      <c r="R158" s="6" t="str">
        <f t="shared" si="31"/>
        <v>2022</v>
      </c>
      <c r="S158" s="6" t="str">
        <f t="shared" si="32"/>
        <v>Mar</v>
      </c>
    </row>
    <row r="159" spans="1:19" x14ac:dyDescent="0.25">
      <c r="A159" s="6">
        <v>1236</v>
      </c>
      <c r="B159" s="6" t="str">
        <f t="shared" si="22"/>
        <v>NIKADM01236</v>
      </c>
      <c r="C159" s="7" t="s">
        <v>683</v>
      </c>
      <c r="D159" s="7" t="s">
        <v>205</v>
      </c>
      <c r="E159" s="7" t="str">
        <f t="shared" si="23"/>
        <v>PRATEEK VERMA</v>
      </c>
      <c r="F159" s="7" t="s">
        <v>9</v>
      </c>
      <c r="G159" s="22">
        <v>44243</v>
      </c>
      <c r="H159" s="8">
        <v>49801</v>
      </c>
      <c r="I159" s="7" t="str">
        <f t="shared" si="24"/>
        <v>prateek.verma@ad.vea.ba</v>
      </c>
      <c r="J159" s="6" t="s">
        <v>1545</v>
      </c>
      <c r="K159" s="6">
        <v>41</v>
      </c>
      <c r="L159" s="7" t="str">
        <f t="shared" si="25"/>
        <v>ad.vea.ba</v>
      </c>
      <c r="M159" s="7" t="str">
        <f t="shared" si="26"/>
        <v>V.Prateek</v>
      </c>
      <c r="N159" s="6">
        <f t="shared" si="27"/>
        <v>5</v>
      </c>
      <c r="O159" s="6">
        <f t="shared" si="28"/>
        <v>2</v>
      </c>
      <c r="P159" s="6" t="str">
        <f t="shared" si="29"/>
        <v>Y</v>
      </c>
      <c r="Q159" s="6">
        <f t="shared" si="30"/>
        <v>12</v>
      </c>
      <c r="R159" s="6" t="str">
        <f t="shared" si="31"/>
        <v>2021</v>
      </c>
      <c r="S159" s="6" t="str">
        <f t="shared" si="32"/>
        <v>Feb</v>
      </c>
    </row>
    <row r="160" spans="1:19" x14ac:dyDescent="0.25">
      <c r="A160" s="6">
        <v>1246</v>
      </c>
      <c r="B160" s="6" t="str">
        <f t="shared" si="22"/>
        <v>NIKADM01246</v>
      </c>
      <c r="C160" s="7" t="s">
        <v>1314</v>
      </c>
      <c r="D160" s="7" t="s">
        <v>1315</v>
      </c>
      <c r="E160" s="7" t="str">
        <f t="shared" si="23"/>
        <v>SAYALEE PRADIPRAO</v>
      </c>
      <c r="F160" s="7" t="s">
        <v>9</v>
      </c>
      <c r="G160" s="22">
        <v>44875</v>
      </c>
      <c r="H160" s="8">
        <v>26266</v>
      </c>
      <c r="I160" s="7" t="str">
        <f t="shared" si="24"/>
        <v>sayalee.pradiprao@ad.pro.ba</v>
      </c>
      <c r="J160" s="6" t="s">
        <v>1545</v>
      </c>
      <c r="K160" s="6">
        <v>50</v>
      </c>
      <c r="L160" s="7" t="str">
        <f t="shared" si="25"/>
        <v>ad.pro.ba</v>
      </c>
      <c r="M160" s="7" t="str">
        <f t="shared" si="26"/>
        <v>P.Sayalee</v>
      </c>
      <c r="N160" s="6">
        <f t="shared" si="27"/>
        <v>6</v>
      </c>
      <c r="O160" s="6">
        <f t="shared" si="28"/>
        <v>0</v>
      </c>
      <c r="P160" s="6" t="str">
        <f t="shared" si="29"/>
        <v>N</v>
      </c>
      <c r="Q160" s="6">
        <f t="shared" si="30"/>
        <v>16</v>
      </c>
      <c r="R160" s="6" t="str">
        <f t="shared" si="31"/>
        <v>2022</v>
      </c>
      <c r="S160" s="6" t="str">
        <f t="shared" si="32"/>
        <v>Nov</v>
      </c>
    </row>
    <row r="161" spans="1:19" x14ac:dyDescent="0.25">
      <c r="A161" s="6">
        <v>1259</v>
      </c>
      <c r="B161" s="6" t="str">
        <f t="shared" si="22"/>
        <v>NIKADM01259</v>
      </c>
      <c r="C161" s="7" t="s">
        <v>1324</v>
      </c>
      <c r="D161" s="7" t="s">
        <v>781</v>
      </c>
      <c r="E161" s="7" t="str">
        <f t="shared" si="23"/>
        <v>OM PAL</v>
      </c>
      <c r="F161" s="7" t="s">
        <v>9</v>
      </c>
      <c r="G161" s="22">
        <v>44440</v>
      </c>
      <c r="H161" s="8">
        <v>63480</v>
      </c>
      <c r="I161" s="7" t="str">
        <f t="shared" si="24"/>
        <v>om.pal@ad.pal.ba</v>
      </c>
      <c r="J161" s="6" t="s">
        <v>1535</v>
      </c>
      <c r="K161" s="6">
        <v>56</v>
      </c>
      <c r="L161" s="7" t="str">
        <f t="shared" si="25"/>
        <v>ad.pal.ba</v>
      </c>
      <c r="M161" s="7" t="str">
        <f t="shared" si="26"/>
        <v>P.Om</v>
      </c>
      <c r="N161" s="6">
        <f t="shared" si="27"/>
        <v>0</v>
      </c>
      <c r="O161" s="6">
        <f t="shared" si="28"/>
        <v>0</v>
      </c>
      <c r="P161" s="6" t="str">
        <f t="shared" si="29"/>
        <v>N</v>
      </c>
      <c r="Q161" s="6">
        <f t="shared" si="30"/>
        <v>5</v>
      </c>
      <c r="R161" s="6" t="str">
        <f t="shared" si="31"/>
        <v>2021</v>
      </c>
      <c r="S161" s="6" t="str">
        <f t="shared" si="32"/>
        <v>Sep</v>
      </c>
    </row>
    <row r="162" spans="1:19" x14ac:dyDescent="0.25">
      <c r="A162" s="6">
        <v>1265</v>
      </c>
      <c r="B162" s="6" t="str">
        <f t="shared" si="22"/>
        <v>NIKADM01265</v>
      </c>
      <c r="C162" s="7" t="s">
        <v>669</v>
      </c>
      <c r="D162" s="7" t="s">
        <v>1331</v>
      </c>
      <c r="E162" s="7" t="str">
        <f t="shared" si="23"/>
        <v>ANUPAM ROYCHOWDHURY</v>
      </c>
      <c r="F162" s="7" t="s">
        <v>9</v>
      </c>
      <c r="G162" s="22">
        <v>44817</v>
      </c>
      <c r="H162" s="8">
        <v>47524</v>
      </c>
      <c r="I162" s="7" t="str">
        <f t="shared" si="24"/>
        <v>anupam.roychowdhury@ad.roy.ba</v>
      </c>
      <c r="J162" s="6" t="s">
        <v>1551</v>
      </c>
      <c r="K162" s="6">
        <v>57</v>
      </c>
      <c r="L162" s="7" t="str">
        <f t="shared" si="25"/>
        <v>ad.roy.ba</v>
      </c>
      <c r="M162" s="7" t="str">
        <f t="shared" si="26"/>
        <v>R.Anupam</v>
      </c>
      <c r="N162" s="6">
        <f t="shared" si="27"/>
        <v>0</v>
      </c>
      <c r="O162" s="6">
        <f t="shared" si="28"/>
        <v>0</v>
      </c>
      <c r="P162" s="6" t="str">
        <f t="shared" si="29"/>
        <v>N</v>
      </c>
      <c r="Q162" s="6">
        <f t="shared" si="30"/>
        <v>18</v>
      </c>
      <c r="R162" s="6" t="str">
        <f t="shared" si="31"/>
        <v>2022</v>
      </c>
      <c r="S162" s="6" t="str">
        <f t="shared" si="32"/>
        <v>Sep</v>
      </c>
    </row>
    <row r="163" spans="1:19" x14ac:dyDescent="0.25">
      <c r="A163" s="6">
        <v>1271</v>
      </c>
      <c r="B163" s="6" t="str">
        <f t="shared" si="22"/>
        <v>NIKADM01271</v>
      </c>
      <c r="C163" s="7" t="s">
        <v>1336</v>
      </c>
      <c r="D163" s="7" t="s">
        <v>1337</v>
      </c>
      <c r="E163" s="7" t="str">
        <f t="shared" si="23"/>
        <v>DHANJA DIXIT</v>
      </c>
      <c r="F163" s="7" t="s">
        <v>9</v>
      </c>
      <c r="G163" s="22">
        <v>44624</v>
      </c>
      <c r="H163" s="8">
        <v>46163</v>
      </c>
      <c r="I163" s="7" t="str">
        <f t="shared" si="24"/>
        <v>dhanja.dixit@ad.dit.ba</v>
      </c>
      <c r="J163" s="6" t="s">
        <v>1536</v>
      </c>
      <c r="K163" s="6">
        <v>38</v>
      </c>
      <c r="L163" s="7" t="str">
        <f t="shared" si="25"/>
        <v>ad.dit.ba</v>
      </c>
      <c r="M163" s="7" t="str">
        <f t="shared" si="26"/>
        <v>D.Dhanja</v>
      </c>
      <c r="N163" s="6">
        <f t="shared" si="27"/>
        <v>0</v>
      </c>
      <c r="O163" s="6">
        <f t="shared" si="28"/>
        <v>0</v>
      </c>
      <c r="P163" s="6" t="str">
        <f t="shared" si="29"/>
        <v>N</v>
      </c>
      <c r="Q163" s="6">
        <f t="shared" si="30"/>
        <v>11</v>
      </c>
      <c r="R163" s="6" t="str">
        <f t="shared" si="31"/>
        <v>2022</v>
      </c>
      <c r="S163" s="6" t="str">
        <f t="shared" si="32"/>
        <v>Mar</v>
      </c>
    </row>
    <row r="164" spans="1:19" x14ac:dyDescent="0.25">
      <c r="A164" s="6">
        <v>1275</v>
      </c>
      <c r="B164" s="6" t="str">
        <f t="shared" si="22"/>
        <v>NIKADM01275</v>
      </c>
      <c r="C164" s="7" t="s">
        <v>259</v>
      </c>
      <c r="D164" s="7" t="s">
        <v>68</v>
      </c>
      <c r="E164" s="7" t="str">
        <f t="shared" si="23"/>
        <v>ASHISH KUMAR</v>
      </c>
      <c r="F164" s="7" t="s">
        <v>9</v>
      </c>
      <c r="G164" s="22">
        <v>43357</v>
      </c>
      <c r="H164" s="8">
        <v>78281</v>
      </c>
      <c r="I164" s="7" t="str">
        <f t="shared" si="24"/>
        <v>ashish.kumar@ad.kur.ba</v>
      </c>
      <c r="J164" s="6" t="s">
        <v>1543</v>
      </c>
      <c r="K164" s="6">
        <v>86</v>
      </c>
      <c r="L164" s="7" t="str">
        <f t="shared" si="25"/>
        <v>ad.kur.ba</v>
      </c>
      <c r="M164" s="7" t="str">
        <f t="shared" si="26"/>
        <v>K.Ashish</v>
      </c>
      <c r="N164" s="6">
        <f t="shared" si="27"/>
        <v>0</v>
      </c>
      <c r="O164" s="6">
        <f t="shared" si="28"/>
        <v>0</v>
      </c>
      <c r="P164" s="6" t="str">
        <f t="shared" si="29"/>
        <v>N</v>
      </c>
      <c r="Q164" s="6">
        <f t="shared" si="30"/>
        <v>11</v>
      </c>
      <c r="R164" s="6" t="str">
        <f t="shared" si="31"/>
        <v>2018</v>
      </c>
      <c r="S164" s="6" t="str">
        <f t="shared" si="32"/>
        <v>Sep</v>
      </c>
    </row>
    <row r="165" spans="1:19" x14ac:dyDescent="0.25">
      <c r="A165" s="6">
        <v>1293</v>
      </c>
      <c r="B165" s="6" t="str">
        <f t="shared" si="22"/>
        <v>NIKADM01293</v>
      </c>
      <c r="C165" s="7" t="s">
        <v>329</v>
      </c>
      <c r="D165" s="7" t="s">
        <v>1352</v>
      </c>
      <c r="E165" s="7" t="str">
        <f t="shared" si="23"/>
        <v>VIMAL ARVINDBHAI</v>
      </c>
      <c r="F165" s="7" t="s">
        <v>9</v>
      </c>
      <c r="G165" s="22">
        <v>44974</v>
      </c>
      <c r="H165" s="8">
        <v>103219</v>
      </c>
      <c r="I165" s="7" t="str">
        <f t="shared" si="24"/>
        <v>vimal.arvindbhai@ad.ari.ba</v>
      </c>
      <c r="J165" s="6" t="s">
        <v>1546</v>
      </c>
      <c r="K165" s="6">
        <v>59</v>
      </c>
      <c r="L165" s="7" t="str">
        <f t="shared" si="25"/>
        <v>ad.ari.ba</v>
      </c>
      <c r="M165" s="7" t="str">
        <f t="shared" si="26"/>
        <v>A.Vimal</v>
      </c>
      <c r="N165" s="6">
        <f t="shared" si="27"/>
        <v>0</v>
      </c>
      <c r="O165" s="6">
        <f t="shared" si="28"/>
        <v>0</v>
      </c>
      <c r="P165" s="6" t="str">
        <f t="shared" si="29"/>
        <v>N</v>
      </c>
      <c r="Q165" s="6">
        <f t="shared" si="30"/>
        <v>15</v>
      </c>
      <c r="R165" s="6" t="str">
        <f t="shared" si="31"/>
        <v>2023</v>
      </c>
      <c r="S165" s="6" t="str">
        <f t="shared" si="32"/>
        <v>Feb</v>
      </c>
    </row>
    <row r="166" spans="1:19" x14ac:dyDescent="0.25">
      <c r="A166" s="6">
        <v>1295</v>
      </c>
      <c r="B166" s="6" t="str">
        <f t="shared" si="22"/>
        <v>NIKADM01295</v>
      </c>
      <c r="C166" s="7" t="s">
        <v>182</v>
      </c>
      <c r="D166" s="7" t="s">
        <v>1353</v>
      </c>
      <c r="E166" s="7" t="str">
        <f t="shared" si="23"/>
        <v>MANOJ NANAKRAM</v>
      </c>
      <c r="F166" s="7" t="s">
        <v>9</v>
      </c>
      <c r="G166" s="22">
        <v>44909</v>
      </c>
      <c r="H166" s="8">
        <v>60631</v>
      </c>
      <c r="I166" s="7" t="str">
        <f t="shared" si="24"/>
        <v>manoj.nanakram@ad.nam.ba</v>
      </c>
      <c r="J166" s="6" t="s">
        <v>1540</v>
      </c>
      <c r="K166" s="6">
        <v>81</v>
      </c>
      <c r="L166" s="7" t="str">
        <f t="shared" si="25"/>
        <v>ad.nam.ba</v>
      </c>
      <c r="M166" s="7" t="str">
        <f t="shared" si="26"/>
        <v>N.Manoj</v>
      </c>
      <c r="N166" s="6">
        <f t="shared" si="27"/>
        <v>0</v>
      </c>
      <c r="O166" s="6">
        <f t="shared" si="28"/>
        <v>0</v>
      </c>
      <c r="P166" s="6" t="str">
        <f t="shared" si="29"/>
        <v>N</v>
      </c>
      <c r="Q166" s="6">
        <f t="shared" si="30"/>
        <v>13</v>
      </c>
      <c r="R166" s="6" t="str">
        <f t="shared" si="31"/>
        <v>2022</v>
      </c>
      <c r="S166" s="6" t="str">
        <f t="shared" si="32"/>
        <v>Dec</v>
      </c>
    </row>
    <row r="167" spans="1:19" x14ac:dyDescent="0.25">
      <c r="A167" s="6">
        <v>1299</v>
      </c>
      <c r="B167" s="6" t="str">
        <f t="shared" si="22"/>
        <v>NIKADM01299</v>
      </c>
      <c r="C167" s="7" t="s">
        <v>44</v>
      </c>
      <c r="D167" s="7"/>
      <c r="E167" s="7" t="str">
        <f t="shared" si="23"/>
        <v>SHALINI</v>
      </c>
      <c r="F167" s="7" t="s">
        <v>9</v>
      </c>
      <c r="G167" s="22">
        <v>44410</v>
      </c>
      <c r="H167" s="8">
        <v>39916</v>
      </c>
      <c r="I167" s="7" t="str">
        <f t="shared" si="24"/>
        <v>shalini.@ad..ba</v>
      </c>
      <c r="J167" s="6" t="s">
        <v>1543</v>
      </c>
      <c r="K167" s="6">
        <v>45</v>
      </c>
      <c r="L167" s="7" t="str">
        <f t="shared" si="25"/>
        <v>ad..ba</v>
      </c>
      <c r="M167" s="7" t="str">
        <f t="shared" si="26"/>
        <v>.Shalini</v>
      </c>
      <c r="N167" s="6">
        <f t="shared" si="27"/>
        <v>0</v>
      </c>
      <c r="O167" s="6">
        <f t="shared" si="28"/>
        <v>0</v>
      </c>
      <c r="P167" s="6" t="str">
        <f t="shared" si="29"/>
        <v>N</v>
      </c>
      <c r="Q167" s="6">
        <f t="shared" si="30"/>
        <v>7</v>
      </c>
      <c r="R167" s="6" t="str">
        <f t="shared" si="31"/>
        <v>2021</v>
      </c>
      <c r="S167" s="6" t="str">
        <f t="shared" si="32"/>
        <v>Aug</v>
      </c>
    </row>
    <row r="168" spans="1:19" x14ac:dyDescent="0.25">
      <c r="A168" s="6">
        <v>1308</v>
      </c>
      <c r="B168" s="6" t="str">
        <f t="shared" si="22"/>
        <v>NIKADM01308</v>
      </c>
      <c r="C168" s="7" t="s">
        <v>790</v>
      </c>
      <c r="D168" s="7" t="s">
        <v>70</v>
      </c>
      <c r="E168" s="7" t="str">
        <f t="shared" si="23"/>
        <v>NAVJOT SINGH</v>
      </c>
      <c r="F168" s="7" t="s">
        <v>9</v>
      </c>
      <c r="G168" s="22">
        <v>44749</v>
      </c>
      <c r="H168" s="8">
        <v>60528</v>
      </c>
      <c r="I168" s="7" t="str">
        <f t="shared" si="24"/>
        <v>navjot.singh@ad.sih.ba</v>
      </c>
      <c r="J168" s="6" t="s">
        <v>1546</v>
      </c>
      <c r="K168" s="6">
        <v>72</v>
      </c>
      <c r="L168" s="7" t="str">
        <f t="shared" si="25"/>
        <v>ad.sih.ba</v>
      </c>
      <c r="M168" s="7" t="str">
        <f t="shared" si="26"/>
        <v>S.Navjot</v>
      </c>
      <c r="N168" s="6">
        <f t="shared" si="27"/>
        <v>0</v>
      </c>
      <c r="O168" s="6">
        <f t="shared" si="28"/>
        <v>0</v>
      </c>
      <c r="P168" s="6" t="str">
        <f t="shared" si="29"/>
        <v>N</v>
      </c>
      <c r="Q168" s="6">
        <f t="shared" si="30"/>
        <v>11</v>
      </c>
      <c r="R168" s="6" t="str">
        <f t="shared" si="31"/>
        <v>2022</v>
      </c>
      <c r="S168" s="6" t="str">
        <f t="shared" si="32"/>
        <v>Jul</v>
      </c>
    </row>
    <row r="169" spans="1:19" x14ac:dyDescent="0.25">
      <c r="A169" s="6">
        <v>1316</v>
      </c>
      <c r="B169" s="6" t="str">
        <f t="shared" si="22"/>
        <v>NIKADM01316</v>
      </c>
      <c r="C169" s="7" t="s">
        <v>778</v>
      </c>
      <c r="D169" s="7" t="s">
        <v>1363</v>
      </c>
      <c r="E169" s="7" t="str">
        <f t="shared" si="23"/>
        <v>NALINI ANKUR</v>
      </c>
      <c r="F169" s="7" t="s">
        <v>9</v>
      </c>
      <c r="G169" s="22">
        <v>44931</v>
      </c>
      <c r="H169" s="8">
        <v>87816</v>
      </c>
      <c r="I169" s="7" t="str">
        <f t="shared" si="24"/>
        <v>nalini.ankur@ad.anr.ba</v>
      </c>
      <c r="J169" s="6" t="s">
        <v>1550</v>
      </c>
      <c r="K169" s="6">
        <v>42</v>
      </c>
      <c r="L169" s="7" t="str">
        <f t="shared" si="25"/>
        <v>ad.anr.ba</v>
      </c>
      <c r="M169" s="7" t="str">
        <f t="shared" si="26"/>
        <v>A.Nalini</v>
      </c>
      <c r="N169" s="6">
        <f t="shared" si="27"/>
        <v>0</v>
      </c>
      <c r="O169" s="6">
        <f t="shared" si="28"/>
        <v>0</v>
      </c>
      <c r="P169" s="6" t="str">
        <f t="shared" si="29"/>
        <v>N</v>
      </c>
      <c r="Q169" s="6">
        <f t="shared" si="30"/>
        <v>11</v>
      </c>
      <c r="R169" s="6" t="str">
        <f t="shared" si="31"/>
        <v>2023</v>
      </c>
      <c r="S169" s="6" t="str">
        <f t="shared" si="32"/>
        <v>Jan</v>
      </c>
    </row>
    <row r="170" spans="1:19" x14ac:dyDescent="0.25">
      <c r="A170" s="6">
        <v>1334</v>
      </c>
      <c r="B170" s="6" t="str">
        <f t="shared" si="22"/>
        <v>NIKADM01334</v>
      </c>
      <c r="C170" s="7" t="s">
        <v>1377</v>
      </c>
      <c r="D170" s="7" t="s">
        <v>1378</v>
      </c>
      <c r="E170" s="7" t="str">
        <f t="shared" si="23"/>
        <v>VRUSHABH DIWAKAR</v>
      </c>
      <c r="F170" s="7" t="s">
        <v>9</v>
      </c>
      <c r="G170" s="22">
        <v>44942</v>
      </c>
      <c r="H170" s="8">
        <v>81239</v>
      </c>
      <c r="I170" s="7" t="str">
        <f t="shared" si="24"/>
        <v>vrushabh.diwakar@ad.dir.ba</v>
      </c>
      <c r="J170" s="6" t="s">
        <v>1548</v>
      </c>
      <c r="K170" s="6">
        <v>56</v>
      </c>
      <c r="L170" s="7" t="str">
        <f t="shared" si="25"/>
        <v>ad.dir.ba</v>
      </c>
      <c r="M170" s="7" t="str">
        <f t="shared" si="26"/>
        <v>D.Vrushabh</v>
      </c>
      <c r="N170" s="6">
        <f t="shared" si="27"/>
        <v>0</v>
      </c>
      <c r="O170" s="6">
        <f t="shared" si="28"/>
        <v>0</v>
      </c>
      <c r="P170" s="6" t="str">
        <f t="shared" si="29"/>
        <v>N</v>
      </c>
      <c r="Q170" s="6">
        <f t="shared" si="30"/>
        <v>15</v>
      </c>
      <c r="R170" s="6" t="str">
        <f t="shared" si="31"/>
        <v>2023</v>
      </c>
      <c r="S170" s="6" t="str">
        <f t="shared" si="32"/>
        <v>Jan</v>
      </c>
    </row>
    <row r="171" spans="1:19" x14ac:dyDescent="0.25">
      <c r="A171" s="6">
        <v>1342</v>
      </c>
      <c r="B171" s="6" t="str">
        <f t="shared" si="22"/>
        <v>NIKADM01342</v>
      </c>
      <c r="C171" s="7" t="s">
        <v>1385</v>
      </c>
      <c r="D171" s="7" t="s">
        <v>211</v>
      </c>
      <c r="E171" s="7" t="str">
        <f t="shared" si="23"/>
        <v>KOONAL ASHOK</v>
      </c>
      <c r="F171" s="7" t="s">
        <v>9</v>
      </c>
      <c r="G171" s="22">
        <v>44774</v>
      </c>
      <c r="H171" s="8">
        <v>42158</v>
      </c>
      <c r="I171" s="7" t="str">
        <f t="shared" si="24"/>
        <v>koonal.ashok@ad.ask.ba</v>
      </c>
      <c r="J171" s="6" t="s">
        <v>1545</v>
      </c>
      <c r="K171" s="6">
        <v>74</v>
      </c>
      <c r="L171" s="7" t="str">
        <f t="shared" si="25"/>
        <v>ad.ask.ba</v>
      </c>
      <c r="M171" s="7" t="str">
        <f t="shared" si="26"/>
        <v>A.Koonal</v>
      </c>
      <c r="N171" s="6">
        <f t="shared" si="27"/>
        <v>0</v>
      </c>
      <c r="O171" s="6">
        <f t="shared" si="28"/>
        <v>0</v>
      </c>
      <c r="P171" s="6" t="str">
        <f t="shared" si="29"/>
        <v>N</v>
      </c>
      <c r="Q171" s="6">
        <f t="shared" si="30"/>
        <v>11</v>
      </c>
      <c r="R171" s="6" t="str">
        <f t="shared" si="31"/>
        <v>2022</v>
      </c>
      <c r="S171" s="6" t="str">
        <f t="shared" si="32"/>
        <v>Aug</v>
      </c>
    </row>
    <row r="172" spans="1:19" x14ac:dyDescent="0.25">
      <c r="A172" s="6">
        <v>1356</v>
      </c>
      <c r="B172" s="6" t="str">
        <f t="shared" si="22"/>
        <v>NIKADM01356</v>
      </c>
      <c r="C172" s="7" t="s">
        <v>685</v>
      </c>
      <c r="D172" s="7" t="s">
        <v>68</v>
      </c>
      <c r="E172" s="7" t="str">
        <f t="shared" si="23"/>
        <v>DEVENDRA KUMAR</v>
      </c>
      <c r="F172" s="7" t="s">
        <v>9</v>
      </c>
      <c r="G172" s="22">
        <v>45047</v>
      </c>
      <c r="H172" s="8">
        <v>76873</v>
      </c>
      <c r="I172" s="7" t="str">
        <f t="shared" si="24"/>
        <v>devendra.kumar@ad.kur.ba</v>
      </c>
      <c r="J172" s="6" t="s">
        <v>1537</v>
      </c>
      <c r="K172" s="6">
        <v>76</v>
      </c>
      <c r="L172" s="7" t="str">
        <f t="shared" si="25"/>
        <v>ad.kur.ba</v>
      </c>
      <c r="M172" s="7" t="str">
        <f t="shared" si="26"/>
        <v>K.Devendra</v>
      </c>
      <c r="N172" s="6">
        <f t="shared" si="27"/>
        <v>2</v>
      </c>
      <c r="O172" s="6">
        <f t="shared" si="28"/>
        <v>0</v>
      </c>
      <c r="P172" s="6" t="str">
        <f t="shared" si="29"/>
        <v>N</v>
      </c>
      <c r="Q172" s="6">
        <f t="shared" si="30"/>
        <v>13</v>
      </c>
      <c r="R172" s="6" t="str">
        <f t="shared" si="31"/>
        <v>2023</v>
      </c>
      <c r="S172" s="6" t="str">
        <f t="shared" si="32"/>
        <v>May</v>
      </c>
    </row>
    <row r="173" spans="1:19" x14ac:dyDescent="0.25">
      <c r="A173" s="6">
        <v>1357</v>
      </c>
      <c r="B173" s="6" t="str">
        <f t="shared" si="22"/>
        <v>NIKADM01357</v>
      </c>
      <c r="C173" s="7" t="s">
        <v>1398</v>
      </c>
      <c r="D173" s="7" t="s">
        <v>1399</v>
      </c>
      <c r="E173" s="7" t="str">
        <f t="shared" si="23"/>
        <v>APURV PADAMAKAR</v>
      </c>
      <c r="F173" s="7" t="s">
        <v>9</v>
      </c>
      <c r="G173" s="22">
        <v>44655</v>
      </c>
      <c r="H173" s="8">
        <v>61081</v>
      </c>
      <c r="I173" s="7" t="str">
        <f t="shared" si="24"/>
        <v>apurv.padamakar@ad.par.ba</v>
      </c>
      <c r="J173" s="6" t="s">
        <v>1545</v>
      </c>
      <c r="K173" s="6">
        <v>88</v>
      </c>
      <c r="L173" s="7" t="str">
        <f t="shared" si="25"/>
        <v>ad.par.ba</v>
      </c>
      <c r="M173" s="7" t="str">
        <f t="shared" si="26"/>
        <v>P.Apurv</v>
      </c>
      <c r="N173" s="6">
        <f t="shared" si="27"/>
        <v>0</v>
      </c>
      <c r="O173" s="6">
        <f t="shared" si="28"/>
        <v>0</v>
      </c>
      <c r="P173" s="6" t="str">
        <f t="shared" si="29"/>
        <v>N</v>
      </c>
      <c r="Q173" s="6">
        <f t="shared" si="30"/>
        <v>14</v>
      </c>
      <c r="R173" s="6" t="str">
        <f t="shared" si="31"/>
        <v>2022</v>
      </c>
      <c r="S173" s="6" t="str">
        <f t="shared" si="32"/>
        <v>Apr</v>
      </c>
    </row>
    <row r="174" spans="1:19" x14ac:dyDescent="0.25">
      <c r="A174" s="6">
        <v>1376</v>
      </c>
      <c r="B174" s="6" t="str">
        <f t="shared" si="22"/>
        <v>NIKADM01376</v>
      </c>
      <c r="C174" s="7" t="s">
        <v>209</v>
      </c>
      <c r="D174" s="7" t="s">
        <v>1416</v>
      </c>
      <c r="E174" s="7" t="str">
        <f t="shared" si="23"/>
        <v>GAURAV MAINI</v>
      </c>
      <c r="F174" s="7" t="s">
        <v>9</v>
      </c>
      <c r="G174" s="22">
        <v>42628</v>
      </c>
      <c r="H174" s="8">
        <v>103473</v>
      </c>
      <c r="I174" s="7" t="str">
        <f t="shared" si="24"/>
        <v>gaurav.maini@ad.mai.ba</v>
      </c>
      <c r="J174" s="6" t="s">
        <v>1546</v>
      </c>
      <c r="K174" s="6">
        <v>74</v>
      </c>
      <c r="L174" s="7" t="str">
        <f t="shared" si="25"/>
        <v>ad.mai.ba</v>
      </c>
      <c r="M174" s="7" t="str">
        <f t="shared" si="26"/>
        <v>M.Gaurav</v>
      </c>
      <c r="N174" s="6">
        <f t="shared" si="27"/>
        <v>0</v>
      </c>
      <c r="O174" s="6">
        <f t="shared" si="28"/>
        <v>0</v>
      </c>
      <c r="P174" s="6" t="str">
        <f t="shared" si="29"/>
        <v>N</v>
      </c>
      <c r="Q174" s="6">
        <f t="shared" si="30"/>
        <v>11</v>
      </c>
      <c r="R174" s="6" t="str">
        <f t="shared" si="31"/>
        <v>2016</v>
      </c>
      <c r="S174" s="6" t="str">
        <f t="shared" si="32"/>
        <v>Sep</v>
      </c>
    </row>
    <row r="175" spans="1:19" x14ac:dyDescent="0.25">
      <c r="A175" s="6">
        <v>1382</v>
      </c>
      <c r="B175" s="6" t="str">
        <f t="shared" si="22"/>
        <v>NIKADM01382</v>
      </c>
      <c r="C175" s="7" t="s">
        <v>1421</v>
      </c>
      <c r="D175" s="7" t="s">
        <v>498</v>
      </c>
      <c r="E175" s="7" t="str">
        <f t="shared" si="23"/>
        <v>DILPREET KAUR</v>
      </c>
      <c r="F175" s="7" t="s">
        <v>9</v>
      </c>
      <c r="G175" s="22">
        <v>44866</v>
      </c>
      <c r="H175" s="8">
        <v>32578</v>
      </c>
      <c r="I175" s="7" t="str">
        <f t="shared" si="24"/>
        <v>dilpreet.kaur@ad.kar.ba</v>
      </c>
      <c r="J175" s="6" t="s">
        <v>1538</v>
      </c>
      <c r="K175" s="6">
        <v>50</v>
      </c>
      <c r="L175" s="7" t="str">
        <f t="shared" si="25"/>
        <v>ad.kar.ba</v>
      </c>
      <c r="M175" s="7" t="str">
        <f t="shared" si="26"/>
        <v>K.Dilpreet</v>
      </c>
      <c r="N175" s="6">
        <f t="shared" si="27"/>
        <v>6</v>
      </c>
      <c r="O175" s="6">
        <f t="shared" si="28"/>
        <v>0</v>
      </c>
      <c r="P175" s="6" t="str">
        <f t="shared" si="29"/>
        <v>N</v>
      </c>
      <c r="Q175" s="6">
        <f t="shared" si="30"/>
        <v>12</v>
      </c>
      <c r="R175" s="6" t="str">
        <f t="shared" si="31"/>
        <v>2022</v>
      </c>
      <c r="S175" s="6" t="str">
        <f t="shared" si="32"/>
        <v>Nov</v>
      </c>
    </row>
    <row r="176" spans="1:19" x14ac:dyDescent="0.25">
      <c r="A176" s="6">
        <v>1383</v>
      </c>
      <c r="B176" s="6" t="str">
        <f t="shared" si="22"/>
        <v>NIKADM01383</v>
      </c>
      <c r="C176" s="7" t="s">
        <v>251</v>
      </c>
      <c r="D176" s="7" t="s">
        <v>388</v>
      </c>
      <c r="E176" s="7" t="str">
        <f t="shared" si="23"/>
        <v>HIMANSHU CHOUHAN</v>
      </c>
      <c r="F176" s="7" t="s">
        <v>9</v>
      </c>
      <c r="G176" s="22">
        <v>45047</v>
      </c>
      <c r="H176" s="8">
        <v>50083</v>
      </c>
      <c r="I176" s="7" t="str">
        <f t="shared" si="24"/>
        <v>himanshu.chouhan@ad.chn.ba</v>
      </c>
      <c r="J176" s="6" t="s">
        <v>1532</v>
      </c>
      <c r="K176" s="6">
        <v>46</v>
      </c>
      <c r="L176" s="7" t="str">
        <f t="shared" si="25"/>
        <v>ad.chn.ba</v>
      </c>
      <c r="M176" s="7" t="str">
        <f t="shared" si="26"/>
        <v>C.Himanshu</v>
      </c>
      <c r="N176" s="6">
        <f t="shared" si="27"/>
        <v>0</v>
      </c>
      <c r="O176" s="6">
        <f t="shared" si="28"/>
        <v>0</v>
      </c>
      <c r="P176" s="6" t="str">
        <f t="shared" si="29"/>
        <v>N</v>
      </c>
      <c r="Q176" s="6">
        <f t="shared" si="30"/>
        <v>15</v>
      </c>
      <c r="R176" s="6" t="str">
        <f t="shared" si="31"/>
        <v>2023</v>
      </c>
      <c r="S176" s="6" t="str">
        <f t="shared" si="32"/>
        <v>May</v>
      </c>
    </row>
    <row r="177" spans="1:19" x14ac:dyDescent="0.25">
      <c r="A177" s="6">
        <v>1394</v>
      </c>
      <c r="B177" s="6" t="str">
        <f t="shared" si="22"/>
        <v>NIKADM01394</v>
      </c>
      <c r="C177" s="7" t="s">
        <v>46</v>
      </c>
      <c r="D177" s="7"/>
      <c r="E177" s="7" t="str">
        <f t="shared" si="23"/>
        <v>DINESH</v>
      </c>
      <c r="F177" s="7" t="s">
        <v>9</v>
      </c>
      <c r="G177" s="22">
        <v>45307</v>
      </c>
      <c r="H177" s="8">
        <v>71767</v>
      </c>
      <c r="I177" s="7" t="str">
        <f t="shared" si="24"/>
        <v>dinesh.@ad..ba</v>
      </c>
      <c r="J177" s="6" t="s">
        <v>1548</v>
      </c>
      <c r="K177" s="6">
        <v>38</v>
      </c>
      <c r="L177" s="7" t="str">
        <f t="shared" si="25"/>
        <v>ad..ba</v>
      </c>
      <c r="M177" s="7" t="str">
        <f t="shared" si="26"/>
        <v>.Dinesh</v>
      </c>
      <c r="N177" s="6">
        <f t="shared" si="27"/>
        <v>4</v>
      </c>
      <c r="O177" s="6">
        <f t="shared" si="28"/>
        <v>0</v>
      </c>
      <c r="P177" s="6" t="str">
        <f t="shared" si="29"/>
        <v>N</v>
      </c>
      <c r="Q177" s="6">
        <f t="shared" si="30"/>
        <v>6</v>
      </c>
      <c r="R177" s="6" t="str">
        <f t="shared" si="31"/>
        <v>2024</v>
      </c>
      <c r="S177" s="6" t="str">
        <f t="shared" si="32"/>
        <v>Jan</v>
      </c>
    </row>
    <row r="178" spans="1:19" x14ac:dyDescent="0.25">
      <c r="A178" s="6">
        <v>1395</v>
      </c>
      <c r="B178" s="6" t="str">
        <f t="shared" si="22"/>
        <v>NIKADM01395</v>
      </c>
      <c r="C178" s="7" t="s">
        <v>799</v>
      </c>
      <c r="D178" s="7" t="s">
        <v>800</v>
      </c>
      <c r="E178" s="7" t="str">
        <f t="shared" si="23"/>
        <v>NIMISHA THAPLIYAL</v>
      </c>
      <c r="F178" s="7" t="s">
        <v>9</v>
      </c>
      <c r="G178" s="22">
        <v>45017</v>
      </c>
      <c r="H178" s="8">
        <v>60825</v>
      </c>
      <c r="I178" s="7" t="str">
        <f t="shared" si="24"/>
        <v>nimisha.thapliyal@ad.thl.ba</v>
      </c>
      <c r="J178" s="6" t="s">
        <v>1533</v>
      </c>
      <c r="K178" s="6">
        <v>49</v>
      </c>
      <c r="L178" s="7" t="str">
        <f t="shared" si="25"/>
        <v>ad.thl.ba</v>
      </c>
      <c r="M178" s="7" t="str">
        <f t="shared" si="26"/>
        <v>T.Nimisha</v>
      </c>
      <c r="N178" s="6">
        <f t="shared" si="27"/>
        <v>0</v>
      </c>
      <c r="O178" s="6">
        <f t="shared" si="28"/>
        <v>0</v>
      </c>
      <c r="P178" s="6" t="str">
        <f t="shared" si="29"/>
        <v>N</v>
      </c>
      <c r="Q178" s="6">
        <f t="shared" si="30"/>
        <v>16</v>
      </c>
      <c r="R178" s="6" t="str">
        <f t="shared" si="31"/>
        <v>2023</v>
      </c>
      <c r="S178" s="6" t="str">
        <f t="shared" si="32"/>
        <v>Apr</v>
      </c>
    </row>
    <row r="179" spans="1:19" x14ac:dyDescent="0.25">
      <c r="A179" s="6">
        <v>1402</v>
      </c>
      <c r="B179" s="6" t="str">
        <f t="shared" si="22"/>
        <v>NIKADM01402</v>
      </c>
      <c r="C179" s="7" t="s">
        <v>1438</v>
      </c>
      <c r="D179" s="7" t="s">
        <v>1439</v>
      </c>
      <c r="E179" s="7" t="str">
        <f t="shared" si="23"/>
        <v>VRUNDA NARENDRAKUMAR</v>
      </c>
      <c r="F179" s="7" t="s">
        <v>9</v>
      </c>
      <c r="G179" s="22">
        <v>45293</v>
      </c>
      <c r="H179" s="8">
        <v>91199</v>
      </c>
      <c r="I179" s="7" t="str">
        <f t="shared" si="24"/>
        <v>vrunda.narendrakumar@ad.nar.ba</v>
      </c>
      <c r="J179" s="6" t="s">
        <v>1544</v>
      </c>
      <c r="K179" s="6">
        <v>47</v>
      </c>
      <c r="L179" s="7" t="str">
        <f t="shared" si="25"/>
        <v>ad.nar.ba</v>
      </c>
      <c r="M179" s="7" t="str">
        <f t="shared" si="26"/>
        <v>N.Vrunda</v>
      </c>
      <c r="N179" s="6">
        <f t="shared" si="27"/>
        <v>0</v>
      </c>
      <c r="O179" s="6">
        <f t="shared" si="28"/>
        <v>4</v>
      </c>
      <c r="P179" s="6" t="str">
        <f t="shared" si="29"/>
        <v>N</v>
      </c>
      <c r="Q179" s="6">
        <f t="shared" si="30"/>
        <v>19</v>
      </c>
      <c r="R179" s="6" t="str">
        <f t="shared" si="31"/>
        <v>2024</v>
      </c>
      <c r="S179" s="6" t="str">
        <f t="shared" si="32"/>
        <v>Jan</v>
      </c>
    </row>
    <row r="180" spans="1:19" x14ac:dyDescent="0.25">
      <c r="A180" s="6">
        <v>1416</v>
      </c>
      <c r="B180" s="6" t="str">
        <f t="shared" si="22"/>
        <v>NIKADM01416</v>
      </c>
      <c r="C180" s="7" t="s">
        <v>560</v>
      </c>
      <c r="D180" s="7" t="s">
        <v>205</v>
      </c>
      <c r="E180" s="7" t="str">
        <f t="shared" si="23"/>
        <v>SAKSHI VERMA</v>
      </c>
      <c r="F180" s="7" t="s">
        <v>9</v>
      </c>
      <c r="G180" s="22">
        <v>40607</v>
      </c>
      <c r="H180" s="8">
        <v>80365</v>
      </c>
      <c r="I180" s="7" t="str">
        <f t="shared" si="24"/>
        <v>sakshi.verma@ad.vea.ba</v>
      </c>
      <c r="J180" s="6" t="s">
        <v>1547</v>
      </c>
      <c r="K180" s="6">
        <v>81</v>
      </c>
      <c r="L180" s="7" t="str">
        <f t="shared" si="25"/>
        <v>ad.vea.ba</v>
      </c>
      <c r="M180" s="7" t="str">
        <f t="shared" si="26"/>
        <v>V.Sakshi</v>
      </c>
      <c r="N180" s="6">
        <f t="shared" si="27"/>
        <v>0</v>
      </c>
      <c r="O180" s="6">
        <f t="shared" si="28"/>
        <v>2</v>
      </c>
      <c r="P180" s="6" t="str">
        <f t="shared" si="29"/>
        <v>N</v>
      </c>
      <c r="Q180" s="6">
        <f t="shared" si="30"/>
        <v>11</v>
      </c>
      <c r="R180" s="6" t="str">
        <f t="shared" si="31"/>
        <v>2011</v>
      </c>
      <c r="S180" s="6" t="str">
        <f t="shared" si="32"/>
        <v>Mar</v>
      </c>
    </row>
    <row r="181" spans="1:19" x14ac:dyDescent="0.25">
      <c r="A181" s="6">
        <v>1423</v>
      </c>
      <c r="B181" s="6" t="str">
        <f t="shared" si="22"/>
        <v>NIKADM01423</v>
      </c>
      <c r="C181" s="7" t="s">
        <v>191</v>
      </c>
      <c r="D181" s="7" t="s">
        <v>68</v>
      </c>
      <c r="E181" s="7" t="str">
        <f t="shared" si="23"/>
        <v>ANIL KUMAR</v>
      </c>
      <c r="F181" s="7" t="s">
        <v>9</v>
      </c>
      <c r="G181" s="22">
        <v>44510</v>
      </c>
      <c r="H181" s="8">
        <v>73390</v>
      </c>
      <c r="I181" s="7" t="str">
        <f t="shared" si="24"/>
        <v>anil.kumar@ad.kur.ba</v>
      </c>
      <c r="J181" s="6" t="s">
        <v>1548</v>
      </c>
      <c r="K181" s="6">
        <v>73</v>
      </c>
      <c r="L181" s="7" t="str">
        <f t="shared" si="25"/>
        <v>ad.kur.ba</v>
      </c>
      <c r="M181" s="7" t="str">
        <f t="shared" si="26"/>
        <v>K.Anil</v>
      </c>
      <c r="N181" s="6">
        <f t="shared" si="27"/>
        <v>0</v>
      </c>
      <c r="O181" s="6">
        <f t="shared" si="28"/>
        <v>0</v>
      </c>
      <c r="P181" s="6" t="str">
        <f t="shared" si="29"/>
        <v>N</v>
      </c>
      <c r="Q181" s="6">
        <f t="shared" si="30"/>
        <v>9</v>
      </c>
      <c r="R181" s="6" t="str">
        <f t="shared" si="31"/>
        <v>2021</v>
      </c>
      <c r="S181" s="6" t="str">
        <f t="shared" si="32"/>
        <v>Nov</v>
      </c>
    </row>
    <row r="182" spans="1:19" x14ac:dyDescent="0.25">
      <c r="A182" s="6">
        <v>1426</v>
      </c>
      <c r="B182" s="6" t="str">
        <f t="shared" si="22"/>
        <v>NIKADM01426</v>
      </c>
      <c r="C182" s="7" t="s">
        <v>1458</v>
      </c>
      <c r="D182" s="7" t="s">
        <v>557</v>
      </c>
      <c r="E182" s="7" t="str">
        <f t="shared" si="23"/>
        <v>NAVNEET DUBEY</v>
      </c>
      <c r="F182" s="7" t="s">
        <v>9</v>
      </c>
      <c r="G182" s="22">
        <v>40960</v>
      </c>
      <c r="H182" s="8">
        <v>83088</v>
      </c>
      <c r="I182" s="7" t="str">
        <f t="shared" si="24"/>
        <v>navneet.dubey@ad.duy.ba</v>
      </c>
      <c r="J182" s="6" t="s">
        <v>1535</v>
      </c>
      <c r="K182" s="6">
        <v>71</v>
      </c>
      <c r="L182" s="7" t="str">
        <f t="shared" si="25"/>
        <v>ad.duy.ba</v>
      </c>
      <c r="M182" s="7" t="str">
        <f t="shared" si="26"/>
        <v>D.Navneet</v>
      </c>
      <c r="N182" s="6">
        <f t="shared" si="27"/>
        <v>5</v>
      </c>
      <c r="O182" s="6">
        <f t="shared" si="28"/>
        <v>4</v>
      </c>
      <c r="P182" s="6" t="str">
        <f t="shared" si="29"/>
        <v>Y</v>
      </c>
      <c r="Q182" s="6">
        <f t="shared" si="30"/>
        <v>12</v>
      </c>
      <c r="R182" s="6" t="str">
        <f t="shared" si="31"/>
        <v>2012</v>
      </c>
      <c r="S182" s="6" t="str">
        <f t="shared" si="32"/>
        <v>Feb</v>
      </c>
    </row>
    <row r="183" spans="1:19" x14ac:dyDescent="0.25">
      <c r="A183" s="6">
        <v>1431</v>
      </c>
      <c r="B183" s="6" t="str">
        <f t="shared" si="22"/>
        <v>NIKADM01431</v>
      </c>
      <c r="C183" s="7" t="s">
        <v>1463</v>
      </c>
      <c r="D183" s="7" t="s">
        <v>1464</v>
      </c>
      <c r="E183" s="7" t="str">
        <f t="shared" si="23"/>
        <v>VIRAJ BHARTBHAI</v>
      </c>
      <c r="F183" s="7" t="s">
        <v>9</v>
      </c>
      <c r="G183" s="22">
        <v>45398</v>
      </c>
      <c r="H183" s="8">
        <v>75708</v>
      </c>
      <c r="I183" s="7" t="str">
        <f t="shared" si="24"/>
        <v>viraj.bhartbhai@ad.bhi.ba</v>
      </c>
      <c r="J183" s="6" t="s">
        <v>1542</v>
      </c>
      <c r="K183" s="6">
        <v>54</v>
      </c>
      <c r="L183" s="7" t="str">
        <f t="shared" si="25"/>
        <v>ad.bhi.ba</v>
      </c>
      <c r="M183" s="7" t="str">
        <f t="shared" si="26"/>
        <v>B.Viraj</v>
      </c>
      <c r="N183" s="6">
        <f t="shared" si="27"/>
        <v>0</v>
      </c>
      <c r="O183" s="6">
        <f t="shared" si="28"/>
        <v>0</v>
      </c>
      <c r="P183" s="6" t="str">
        <f t="shared" si="29"/>
        <v>N</v>
      </c>
      <c r="Q183" s="6">
        <f t="shared" si="30"/>
        <v>14</v>
      </c>
      <c r="R183" s="6" t="str">
        <f t="shared" si="31"/>
        <v>2024</v>
      </c>
      <c r="S183" s="6" t="str">
        <f t="shared" si="32"/>
        <v>Apr</v>
      </c>
    </row>
    <row r="184" spans="1:19" x14ac:dyDescent="0.25">
      <c r="A184" s="6">
        <v>1434</v>
      </c>
      <c r="B184" s="6" t="str">
        <f t="shared" si="22"/>
        <v>NIKADM01434</v>
      </c>
      <c r="C184" s="7" t="s">
        <v>1466</v>
      </c>
      <c r="D184" s="7" t="s">
        <v>1240</v>
      </c>
      <c r="E184" s="7" t="str">
        <f t="shared" si="23"/>
        <v>Vijay Sharma</v>
      </c>
      <c r="F184" s="7" t="s">
        <v>9</v>
      </c>
      <c r="G184" s="22">
        <v>44622</v>
      </c>
      <c r="H184" s="8">
        <v>82961</v>
      </c>
      <c r="I184" s="7" t="str">
        <f t="shared" si="24"/>
        <v>vijay.sharma@ad.sha.ba</v>
      </c>
      <c r="J184" s="6" t="s">
        <v>1534</v>
      </c>
      <c r="K184" s="6">
        <v>65</v>
      </c>
      <c r="L184" s="7" t="str">
        <f t="shared" si="25"/>
        <v>ad.sha.ba</v>
      </c>
      <c r="M184" s="7" t="str">
        <f t="shared" si="26"/>
        <v>S.Vijay</v>
      </c>
      <c r="N184" s="6">
        <f t="shared" si="27"/>
        <v>0</v>
      </c>
      <c r="O184" s="6">
        <f t="shared" si="28"/>
        <v>0</v>
      </c>
      <c r="P184" s="6" t="str">
        <f t="shared" si="29"/>
        <v>N</v>
      </c>
      <c r="Q184" s="6">
        <f t="shared" si="30"/>
        <v>11</v>
      </c>
      <c r="R184" s="6" t="str">
        <f t="shared" si="31"/>
        <v>2022</v>
      </c>
      <c r="S184" s="6" t="str">
        <f t="shared" si="32"/>
        <v>Mar</v>
      </c>
    </row>
    <row r="185" spans="1:19" x14ac:dyDescent="0.25">
      <c r="A185" s="6">
        <v>1444</v>
      </c>
      <c r="B185" s="6" t="str">
        <f t="shared" si="22"/>
        <v>NIKADM01444</v>
      </c>
      <c r="C185" s="7" t="s">
        <v>1481</v>
      </c>
      <c r="D185" s="7" t="s">
        <v>1482</v>
      </c>
      <c r="E185" s="7" t="str">
        <f t="shared" si="23"/>
        <v>Pratish Sinha</v>
      </c>
      <c r="F185" s="7" t="s">
        <v>9</v>
      </c>
      <c r="G185" s="22">
        <v>42751</v>
      </c>
      <c r="H185" s="8">
        <v>28888</v>
      </c>
      <c r="I185" s="7" t="str">
        <f t="shared" si="24"/>
        <v>pratish.sinha@ad.sia.ba</v>
      </c>
      <c r="J185" s="6" t="s">
        <v>1534</v>
      </c>
      <c r="K185" s="6">
        <v>60</v>
      </c>
      <c r="L185" s="7" t="str">
        <f t="shared" si="25"/>
        <v>ad.sia.ba</v>
      </c>
      <c r="M185" s="7" t="str">
        <f t="shared" si="26"/>
        <v>S.Pratish</v>
      </c>
      <c r="N185" s="6">
        <f t="shared" si="27"/>
        <v>0</v>
      </c>
      <c r="O185" s="6">
        <f t="shared" si="28"/>
        <v>0</v>
      </c>
      <c r="P185" s="6" t="str">
        <f t="shared" si="29"/>
        <v>N</v>
      </c>
      <c r="Q185" s="6">
        <f t="shared" si="30"/>
        <v>12</v>
      </c>
      <c r="R185" s="6" t="str">
        <f t="shared" si="31"/>
        <v>2017</v>
      </c>
      <c r="S185" s="6" t="str">
        <f t="shared" si="32"/>
        <v>Jan</v>
      </c>
    </row>
    <row r="186" spans="1:19" x14ac:dyDescent="0.25">
      <c r="A186" s="6">
        <v>1452</v>
      </c>
      <c r="B186" s="6" t="str">
        <f t="shared" si="22"/>
        <v>NIKADM01452</v>
      </c>
      <c r="C186" s="7" t="s">
        <v>420</v>
      </c>
      <c r="D186" s="7" t="s">
        <v>55</v>
      </c>
      <c r="E186" s="7" t="str">
        <f t="shared" si="23"/>
        <v>RISHABH SHARMA</v>
      </c>
      <c r="F186" s="7" t="s">
        <v>9</v>
      </c>
      <c r="G186" s="22">
        <v>45093</v>
      </c>
      <c r="H186" s="8">
        <v>63838</v>
      </c>
      <c r="I186" s="7" t="str">
        <f t="shared" si="24"/>
        <v>rishabh.sharma@ad.sha.ba</v>
      </c>
      <c r="J186" s="6" t="s">
        <v>1543</v>
      </c>
      <c r="K186" s="6">
        <v>54</v>
      </c>
      <c r="L186" s="7" t="str">
        <f t="shared" si="25"/>
        <v>ad.sha.ba</v>
      </c>
      <c r="M186" s="7" t="str">
        <f t="shared" si="26"/>
        <v>S.Rishabh</v>
      </c>
      <c r="N186" s="6">
        <f t="shared" si="27"/>
        <v>0</v>
      </c>
      <c r="O186" s="6">
        <f t="shared" si="28"/>
        <v>0</v>
      </c>
      <c r="P186" s="6" t="str">
        <f t="shared" si="29"/>
        <v>N</v>
      </c>
      <c r="Q186" s="6">
        <f t="shared" si="30"/>
        <v>13</v>
      </c>
      <c r="R186" s="6" t="str">
        <f t="shared" si="31"/>
        <v>2023</v>
      </c>
      <c r="S186" s="6" t="str">
        <f t="shared" si="32"/>
        <v>Jun</v>
      </c>
    </row>
    <row r="187" spans="1:19" x14ac:dyDescent="0.25">
      <c r="A187" s="6">
        <v>1456</v>
      </c>
      <c r="B187" s="6" t="str">
        <f t="shared" si="22"/>
        <v>NIKADM01456</v>
      </c>
      <c r="C187" s="7" t="s">
        <v>1496</v>
      </c>
      <c r="D187" s="7" t="s">
        <v>1497</v>
      </c>
      <c r="E187" s="7" t="str">
        <f t="shared" si="23"/>
        <v>ROLISON RAJEL</v>
      </c>
      <c r="F187" s="7" t="s">
        <v>9</v>
      </c>
      <c r="G187" s="22">
        <v>44718</v>
      </c>
      <c r="H187" s="8">
        <v>69715</v>
      </c>
      <c r="I187" s="7" t="str">
        <f t="shared" si="24"/>
        <v>rolison.rajel@ad.ral.ba</v>
      </c>
      <c r="J187" s="6" t="s">
        <v>1548</v>
      </c>
      <c r="K187" s="6">
        <v>85</v>
      </c>
      <c r="L187" s="7" t="str">
        <f t="shared" si="25"/>
        <v>ad.ral.ba</v>
      </c>
      <c r="M187" s="7" t="str">
        <f t="shared" si="26"/>
        <v>R.Rolison</v>
      </c>
      <c r="N187" s="6">
        <f t="shared" si="27"/>
        <v>0</v>
      </c>
      <c r="O187" s="6">
        <f t="shared" si="28"/>
        <v>4</v>
      </c>
      <c r="P187" s="6" t="str">
        <f t="shared" si="29"/>
        <v>N</v>
      </c>
      <c r="Q187" s="6">
        <f t="shared" si="30"/>
        <v>12</v>
      </c>
      <c r="R187" s="6" t="str">
        <f t="shared" si="31"/>
        <v>2022</v>
      </c>
      <c r="S187" s="6" t="str">
        <f t="shared" si="32"/>
        <v>Jun</v>
      </c>
    </row>
    <row r="188" spans="1:19" x14ac:dyDescent="0.25">
      <c r="A188" s="6">
        <v>1458</v>
      </c>
      <c r="B188" s="6" t="str">
        <f t="shared" si="22"/>
        <v>NIKADM01458</v>
      </c>
      <c r="C188" s="7" t="s">
        <v>1500</v>
      </c>
      <c r="D188" s="7" t="s">
        <v>1240</v>
      </c>
      <c r="E188" s="7" t="str">
        <f t="shared" si="23"/>
        <v>Puneet Sharma</v>
      </c>
      <c r="F188" s="7" t="s">
        <v>9</v>
      </c>
      <c r="G188" s="22">
        <v>43147</v>
      </c>
      <c r="H188" s="8">
        <v>87697</v>
      </c>
      <c r="I188" s="7" t="str">
        <f t="shared" si="24"/>
        <v>puneet.sharma@ad.sha.ba</v>
      </c>
      <c r="J188" s="6" t="s">
        <v>1535</v>
      </c>
      <c r="K188" s="6">
        <v>52</v>
      </c>
      <c r="L188" s="7" t="str">
        <f t="shared" si="25"/>
        <v>ad.sha.ba</v>
      </c>
      <c r="M188" s="7" t="str">
        <f t="shared" si="26"/>
        <v>S.Puneet</v>
      </c>
      <c r="N188" s="6">
        <f t="shared" si="27"/>
        <v>4</v>
      </c>
      <c r="O188" s="6">
        <f t="shared" si="28"/>
        <v>0</v>
      </c>
      <c r="P188" s="6" t="str">
        <f t="shared" si="29"/>
        <v>N</v>
      </c>
      <c r="Q188" s="6">
        <f t="shared" si="30"/>
        <v>12</v>
      </c>
      <c r="R188" s="6" t="str">
        <f t="shared" si="31"/>
        <v>2018</v>
      </c>
      <c r="S188" s="6" t="str">
        <f t="shared" si="32"/>
        <v>Feb</v>
      </c>
    </row>
    <row r="189" spans="1:19" x14ac:dyDescent="0.25">
      <c r="A189" s="6">
        <v>1475</v>
      </c>
      <c r="B189" s="6" t="str">
        <f t="shared" si="22"/>
        <v>NIKADM01475</v>
      </c>
      <c r="C189" s="7" t="s">
        <v>1523</v>
      </c>
      <c r="D189" s="7" t="s">
        <v>1524</v>
      </c>
      <c r="E189" s="7" t="str">
        <f t="shared" si="23"/>
        <v>VIPLOVE GUPTE</v>
      </c>
      <c r="F189" s="7" t="s">
        <v>9</v>
      </c>
      <c r="G189" s="22">
        <v>41183</v>
      </c>
      <c r="H189" s="8">
        <v>104799</v>
      </c>
      <c r="I189" s="7" t="str">
        <f t="shared" si="24"/>
        <v>viplove.gupte@ad.gue.ba</v>
      </c>
      <c r="J189" s="6" t="s">
        <v>1532</v>
      </c>
      <c r="K189" s="6">
        <v>50</v>
      </c>
      <c r="L189" s="7" t="str">
        <f t="shared" si="25"/>
        <v>ad.gue.ba</v>
      </c>
      <c r="M189" s="7" t="str">
        <f t="shared" si="26"/>
        <v>G.Viplove</v>
      </c>
      <c r="N189" s="6">
        <f t="shared" si="27"/>
        <v>7</v>
      </c>
      <c r="O189" s="6">
        <f t="shared" si="28"/>
        <v>5</v>
      </c>
      <c r="P189" s="6" t="str">
        <f t="shared" si="29"/>
        <v>Y</v>
      </c>
      <c r="Q189" s="6">
        <f t="shared" si="30"/>
        <v>12</v>
      </c>
      <c r="R189" s="6" t="str">
        <f t="shared" si="31"/>
        <v>2012</v>
      </c>
      <c r="S189" s="6" t="str">
        <f t="shared" si="32"/>
        <v>Oct</v>
      </c>
    </row>
    <row r="190" spans="1:19" x14ac:dyDescent="0.25">
      <c r="A190" s="6">
        <v>1476</v>
      </c>
      <c r="B190" s="6" t="str">
        <f t="shared" si="22"/>
        <v>NIKADM01476</v>
      </c>
      <c r="C190" s="7" t="s">
        <v>415</v>
      </c>
      <c r="D190" s="7" t="s">
        <v>514</v>
      </c>
      <c r="E190" s="7" t="str">
        <f t="shared" si="23"/>
        <v>ABHILASH DAVE</v>
      </c>
      <c r="F190" s="7" t="s">
        <v>9</v>
      </c>
      <c r="G190" s="22">
        <v>39695</v>
      </c>
      <c r="H190" s="8">
        <v>31706</v>
      </c>
      <c r="I190" s="7" t="str">
        <f t="shared" si="24"/>
        <v>abhilash.dave@ad.dae.ba</v>
      </c>
      <c r="J190" s="6" t="s">
        <v>1537</v>
      </c>
      <c r="K190" s="6">
        <v>46</v>
      </c>
      <c r="L190" s="7" t="str">
        <f t="shared" si="25"/>
        <v>ad.dae.ba</v>
      </c>
      <c r="M190" s="7" t="str">
        <f t="shared" si="26"/>
        <v>D.Abhilash</v>
      </c>
      <c r="N190" s="6">
        <f t="shared" si="27"/>
        <v>0</v>
      </c>
      <c r="O190" s="6">
        <f t="shared" si="28"/>
        <v>4</v>
      </c>
      <c r="P190" s="6" t="str">
        <f t="shared" si="29"/>
        <v>N</v>
      </c>
      <c r="Q190" s="6">
        <f t="shared" si="30"/>
        <v>12</v>
      </c>
      <c r="R190" s="6" t="str">
        <f t="shared" si="31"/>
        <v>2008</v>
      </c>
      <c r="S190" s="6" t="str">
        <f t="shared" si="32"/>
        <v>Sep</v>
      </c>
    </row>
    <row r="191" spans="1:19" x14ac:dyDescent="0.25">
      <c r="A191" s="6">
        <v>1479</v>
      </c>
      <c r="B191" s="6" t="str">
        <f t="shared" si="22"/>
        <v>NIKADM01479</v>
      </c>
      <c r="C191" s="7" t="s">
        <v>1196</v>
      </c>
      <c r="D191" s="7" t="s">
        <v>1527</v>
      </c>
      <c r="E191" s="7" t="str">
        <f t="shared" si="23"/>
        <v>RAJNI KOHLI</v>
      </c>
      <c r="F191" s="7" t="s">
        <v>9</v>
      </c>
      <c r="G191" s="22">
        <v>39273</v>
      </c>
      <c r="H191" s="8">
        <v>97509</v>
      </c>
      <c r="I191" s="7" t="str">
        <f t="shared" si="24"/>
        <v>rajni.kohli@ad.koi.ba</v>
      </c>
      <c r="J191" s="6" t="s">
        <v>1544</v>
      </c>
      <c r="K191" s="6">
        <v>57</v>
      </c>
      <c r="L191" s="7" t="str">
        <f t="shared" si="25"/>
        <v>ad.koi.ba</v>
      </c>
      <c r="M191" s="7" t="str">
        <f t="shared" si="26"/>
        <v>K.Rajni</v>
      </c>
      <c r="N191" s="6">
        <f t="shared" si="27"/>
        <v>0</v>
      </c>
      <c r="O191" s="6">
        <f t="shared" si="28"/>
        <v>0</v>
      </c>
      <c r="P191" s="6" t="str">
        <f t="shared" si="29"/>
        <v>N</v>
      </c>
      <c r="Q191" s="6">
        <f t="shared" si="30"/>
        <v>10</v>
      </c>
      <c r="R191" s="6" t="str">
        <f t="shared" si="31"/>
        <v>2007</v>
      </c>
      <c r="S191" s="6" t="str">
        <f t="shared" si="32"/>
        <v>Jul</v>
      </c>
    </row>
    <row r="192" spans="1:19" x14ac:dyDescent="0.25">
      <c r="A192" s="6">
        <v>1484</v>
      </c>
      <c r="B192" s="6" t="str">
        <f t="shared" si="22"/>
        <v>NIKADM01484</v>
      </c>
      <c r="C192" s="7" t="s">
        <v>190</v>
      </c>
      <c r="D192" s="7" t="s">
        <v>334</v>
      </c>
      <c r="E192" s="7" t="str">
        <f t="shared" si="23"/>
        <v>ABHISHEK PUROHIT</v>
      </c>
      <c r="F192" s="7" t="s">
        <v>9</v>
      </c>
      <c r="G192" s="22">
        <v>42578</v>
      </c>
      <c r="H192" s="8">
        <v>63081</v>
      </c>
      <c r="I192" s="7" t="str">
        <f t="shared" si="24"/>
        <v>abhishek.purohit@ad.put.ba</v>
      </c>
      <c r="J192" s="6" t="s">
        <v>1544</v>
      </c>
      <c r="K192" s="6">
        <v>71</v>
      </c>
      <c r="L192" s="7" t="str">
        <f t="shared" si="25"/>
        <v>ad.put.ba</v>
      </c>
      <c r="M192" s="7" t="str">
        <f t="shared" si="26"/>
        <v>P.Abhishek</v>
      </c>
      <c r="N192" s="6">
        <f t="shared" si="27"/>
        <v>7</v>
      </c>
      <c r="O192" s="6">
        <f t="shared" si="28"/>
        <v>0</v>
      </c>
      <c r="P192" s="6" t="str">
        <f t="shared" si="29"/>
        <v>N</v>
      </c>
      <c r="Q192" s="6">
        <f t="shared" si="30"/>
        <v>15</v>
      </c>
      <c r="R192" s="6" t="str">
        <f t="shared" si="31"/>
        <v>2016</v>
      </c>
      <c r="S192" s="6" t="str">
        <f t="shared" si="32"/>
        <v>Jul</v>
      </c>
    </row>
    <row r="193" spans="1:19" x14ac:dyDescent="0.25">
      <c r="A193" s="6">
        <v>5</v>
      </c>
      <c r="B193" s="6" t="str">
        <f t="shared" si="22"/>
        <v>NIKBRA00005</v>
      </c>
      <c r="C193" s="7" t="s">
        <v>46</v>
      </c>
      <c r="D193" s="7" t="s">
        <v>56</v>
      </c>
      <c r="E193" s="7" t="str">
        <f t="shared" si="23"/>
        <v>DINESH GEETEY</v>
      </c>
      <c r="F193" s="7" t="s">
        <v>10</v>
      </c>
      <c r="G193" s="22">
        <v>38828</v>
      </c>
      <c r="H193" s="8">
        <v>73618</v>
      </c>
      <c r="I193" s="7" t="str">
        <f t="shared" si="24"/>
        <v>dinesh.geetey@br.gey.ba</v>
      </c>
      <c r="J193" s="6" t="s">
        <v>1550</v>
      </c>
      <c r="K193" s="6">
        <v>68</v>
      </c>
      <c r="L193" s="7" t="str">
        <f t="shared" si="25"/>
        <v>br.gey.ba</v>
      </c>
      <c r="M193" s="7" t="str">
        <f t="shared" si="26"/>
        <v>G.Dinesh</v>
      </c>
      <c r="N193" s="6">
        <f t="shared" si="27"/>
        <v>4</v>
      </c>
      <c r="O193" s="6">
        <f t="shared" si="28"/>
        <v>2</v>
      </c>
      <c r="P193" s="6" t="str">
        <f t="shared" si="29"/>
        <v>Y</v>
      </c>
      <c r="Q193" s="6">
        <f t="shared" si="30"/>
        <v>12</v>
      </c>
      <c r="R193" s="6" t="str">
        <f t="shared" si="31"/>
        <v>2006</v>
      </c>
      <c r="S193" s="6" t="str">
        <f t="shared" si="32"/>
        <v>Apr</v>
      </c>
    </row>
    <row r="194" spans="1:19" x14ac:dyDescent="0.25">
      <c r="A194" s="6">
        <v>7</v>
      </c>
      <c r="B194" s="6" t="str">
        <f t="shared" ref="B194:B257" si="33">_xlfn.TEXTJOIN("",TRUE,"NIK",UPPER(LEFT(SUBSTITUTE(SUBSTITUTE(F194," ",""),"&amp;",""),3)),TEXT(A194,"00000"))</f>
        <v>NIKBRA00007</v>
      </c>
      <c r="C194" s="7" t="s">
        <v>19</v>
      </c>
      <c r="D194" s="7" t="s">
        <v>59</v>
      </c>
      <c r="E194" s="7" t="str">
        <f t="shared" ref="E194:E257" si="34">_xlfn.TEXTJOIN(" ",TRUE,C194,D194)</f>
        <v>AMIT ARNOLD</v>
      </c>
      <c r="F194" s="7" t="s">
        <v>10</v>
      </c>
      <c r="G194" s="22">
        <v>39007</v>
      </c>
      <c r="H194" s="8">
        <v>46636</v>
      </c>
      <c r="I194" s="7" t="str">
        <f t="shared" ref="I194:I257" si="35">LOWER(C194&amp;"."&amp;D194&amp;"@"&amp;LEFT(SUBSTITUTE(F194," ",""),2))&amp;LOWER("."&amp;LEFT(D194,2))&amp;LOWER(RIGHT(D194,1))&amp;".ba"</f>
        <v>amit.arnold@br.ard.ba</v>
      </c>
      <c r="J194" s="6" t="s">
        <v>1543</v>
      </c>
      <c r="K194" s="6">
        <v>44</v>
      </c>
      <c r="L194" s="7" t="str">
        <f t="shared" ref="L194:L257" si="36">RIGHT(I194,LEN(I194)-FIND("@",I194))</f>
        <v>br.ard.ba</v>
      </c>
      <c r="M194" s="7" t="str">
        <f t="shared" ref="M194:M257" si="37">UPPER(LEFT(D194,1))&amp;"."&amp;PROPER(C194)</f>
        <v>A.Amit</v>
      </c>
      <c r="N194" s="6">
        <f t="shared" ref="N194:N257" si="38">IFERROR(SEARCH("e",C194),0)</f>
        <v>0</v>
      </c>
      <c r="O194" s="6">
        <f t="shared" ref="O194:O257" si="39">IFERROR(SEARCH("e",D194),0)</f>
        <v>0</v>
      </c>
      <c r="P194" s="6" t="str">
        <f t="shared" ref="P194:P257" si="40">IF(AND(N194&gt;=1,O194&gt;=1),"Y","N")</f>
        <v>N</v>
      </c>
      <c r="Q194" s="6">
        <f t="shared" ref="Q194:Q257" si="41">LEN(SUBSTITUTE(E194, " ", ""))</f>
        <v>10</v>
      </c>
      <c r="R194" s="6" t="str">
        <f t="shared" ref="R194:R257" si="42">TEXT(G194,"YYYY")</f>
        <v>2006</v>
      </c>
      <c r="S194" s="6" t="str">
        <f t="shared" ref="S194:S257" si="43">TEXT(G194,"MMM")</f>
        <v>Oct</v>
      </c>
    </row>
    <row r="195" spans="1:19" x14ac:dyDescent="0.25">
      <c r="A195" s="6">
        <v>13</v>
      </c>
      <c r="B195" s="6" t="str">
        <f t="shared" si="33"/>
        <v>NIKBRA00013</v>
      </c>
      <c r="C195" s="7" t="s">
        <v>69</v>
      </c>
      <c r="D195" s="7" t="s">
        <v>70</v>
      </c>
      <c r="E195" s="7" t="str">
        <f t="shared" si="34"/>
        <v>SHISHUPAL SINGH</v>
      </c>
      <c r="F195" s="7" t="s">
        <v>10</v>
      </c>
      <c r="G195" s="22">
        <v>39193</v>
      </c>
      <c r="H195" s="8">
        <v>58692</v>
      </c>
      <c r="I195" s="7" t="str">
        <f t="shared" si="35"/>
        <v>shishupal.singh@br.sih.ba</v>
      </c>
      <c r="J195" s="6" t="s">
        <v>1543</v>
      </c>
      <c r="K195" s="6">
        <v>41</v>
      </c>
      <c r="L195" s="7" t="str">
        <f t="shared" si="36"/>
        <v>br.sih.ba</v>
      </c>
      <c r="M195" s="7" t="str">
        <f t="shared" si="37"/>
        <v>S.Shishupal</v>
      </c>
      <c r="N195" s="6">
        <f t="shared" si="38"/>
        <v>0</v>
      </c>
      <c r="O195" s="6">
        <f t="shared" si="39"/>
        <v>0</v>
      </c>
      <c r="P195" s="6" t="str">
        <f t="shared" si="40"/>
        <v>N</v>
      </c>
      <c r="Q195" s="6">
        <f t="shared" si="41"/>
        <v>14</v>
      </c>
      <c r="R195" s="6" t="str">
        <f t="shared" si="42"/>
        <v>2007</v>
      </c>
      <c r="S195" s="6" t="str">
        <f t="shared" si="43"/>
        <v>Apr</v>
      </c>
    </row>
    <row r="196" spans="1:19" x14ac:dyDescent="0.25">
      <c r="A196" s="6">
        <v>42</v>
      </c>
      <c r="B196" s="6" t="str">
        <f t="shared" si="33"/>
        <v>NIKBRA00042</v>
      </c>
      <c r="C196" s="7" t="s">
        <v>114</v>
      </c>
      <c r="D196" s="7" t="s">
        <v>70</v>
      </c>
      <c r="E196" s="7" t="str">
        <f t="shared" si="34"/>
        <v>SUNIL SINGH</v>
      </c>
      <c r="F196" s="7" t="s">
        <v>10</v>
      </c>
      <c r="G196" s="22">
        <v>40362</v>
      </c>
      <c r="H196" s="8">
        <v>100143</v>
      </c>
      <c r="I196" s="7" t="str">
        <f t="shared" si="35"/>
        <v>sunil.singh@br.sih.ba</v>
      </c>
      <c r="J196" s="6" t="s">
        <v>1551</v>
      </c>
      <c r="K196" s="6">
        <v>47</v>
      </c>
      <c r="L196" s="7" t="str">
        <f t="shared" si="36"/>
        <v>br.sih.ba</v>
      </c>
      <c r="M196" s="7" t="str">
        <f t="shared" si="37"/>
        <v>S.Sunil</v>
      </c>
      <c r="N196" s="6">
        <f t="shared" si="38"/>
        <v>0</v>
      </c>
      <c r="O196" s="6">
        <f t="shared" si="39"/>
        <v>0</v>
      </c>
      <c r="P196" s="6" t="str">
        <f t="shared" si="40"/>
        <v>N</v>
      </c>
      <c r="Q196" s="6">
        <f t="shared" si="41"/>
        <v>10</v>
      </c>
      <c r="R196" s="6" t="str">
        <f t="shared" si="42"/>
        <v>2010</v>
      </c>
      <c r="S196" s="6" t="str">
        <f t="shared" si="43"/>
        <v>Jul</v>
      </c>
    </row>
    <row r="197" spans="1:19" x14ac:dyDescent="0.25">
      <c r="A197" s="6">
        <v>76</v>
      </c>
      <c r="B197" s="6" t="str">
        <f t="shared" si="33"/>
        <v>NIKBRA00076</v>
      </c>
      <c r="C197" s="7" t="s">
        <v>159</v>
      </c>
      <c r="D197" s="7" t="s">
        <v>100</v>
      </c>
      <c r="E197" s="7" t="str">
        <f t="shared" si="34"/>
        <v>PANKAJ THAKUR</v>
      </c>
      <c r="F197" s="7" t="s">
        <v>10</v>
      </c>
      <c r="G197" s="22">
        <v>41780</v>
      </c>
      <c r="H197" s="8">
        <v>109421</v>
      </c>
      <c r="I197" s="7" t="str">
        <f t="shared" si="35"/>
        <v>pankaj.thakur@br.thr.ba</v>
      </c>
      <c r="J197" s="6" t="s">
        <v>1532</v>
      </c>
      <c r="K197" s="6">
        <v>81</v>
      </c>
      <c r="L197" s="7" t="str">
        <f t="shared" si="36"/>
        <v>br.thr.ba</v>
      </c>
      <c r="M197" s="7" t="str">
        <f t="shared" si="37"/>
        <v>T.Pankaj</v>
      </c>
      <c r="N197" s="6">
        <f t="shared" si="38"/>
        <v>0</v>
      </c>
      <c r="O197" s="6">
        <f t="shared" si="39"/>
        <v>0</v>
      </c>
      <c r="P197" s="6" t="str">
        <f t="shared" si="40"/>
        <v>N</v>
      </c>
      <c r="Q197" s="6">
        <f t="shared" si="41"/>
        <v>12</v>
      </c>
      <c r="R197" s="6" t="str">
        <f t="shared" si="42"/>
        <v>2014</v>
      </c>
      <c r="S197" s="6" t="str">
        <f t="shared" si="43"/>
        <v>May</v>
      </c>
    </row>
    <row r="198" spans="1:19" x14ac:dyDescent="0.25">
      <c r="A198" s="6">
        <v>82</v>
      </c>
      <c r="B198" s="6" t="str">
        <f t="shared" si="33"/>
        <v>NIKBRA00082</v>
      </c>
      <c r="C198" s="7" t="s">
        <v>125</v>
      </c>
      <c r="D198" s="7" t="s">
        <v>168</v>
      </c>
      <c r="E198" s="7" t="str">
        <f t="shared" si="34"/>
        <v>VIKAS TIWARI</v>
      </c>
      <c r="F198" s="7" t="s">
        <v>10</v>
      </c>
      <c r="G198" s="22">
        <v>41955</v>
      </c>
      <c r="H198" s="8">
        <v>105973</v>
      </c>
      <c r="I198" s="7" t="str">
        <f t="shared" si="35"/>
        <v>vikas.tiwari@br.tii.ba</v>
      </c>
      <c r="J198" s="6" t="s">
        <v>1548</v>
      </c>
      <c r="K198" s="6">
        <v>70</v>
      </c>
      <c r="L198" s="7" t="str">
        <f t="shared" si="36"/>
        <v>br.tii.ba</v>
      </c>
      <c r="M198" s="7" t="str">
        <f t="shared" si="37"/>
        <v>T.Vikas</v>
      </c>
      <c r="N198" s="6">
        <f t="shared" si="38"/>
        <v>0</v>
      </c>
      <c r="O198" s="6">
        <f t="shared" si="39"/>
        <v>0</v>
      </c>
      <c r="P198" s="6" t="str">
        <f t="shared" si="40"/>
        <v>N</v>
      </c>
      <c r="Q198" s="6">
        <f t="shared" si="41"/>
        <v>11</v>
      </c>
      <c r="R198" s="6" t="str">
        <f t="shared" si="42"/>
        <v>2014</v>
      </c>
      <c r="S198" s="6" t="str">
        <f t="shared" si="43"/>
        <v>Nov</v>
      </c>
    </row>
    <row r="199" spans="1:19" x14ac:dyDescent="0.25">
      <c r="A199" s="6">
        <v>90</v>
      </c>
      <c r="B199" s="6" t="str">
        <f t="shared" si="33"/>
        <v>NIKBRA00090</v>
      </c>
      <c r="C199" s="7" t="s">
        <v>161</v>
      </c>
      <c r="D199" s="7" t="s">
        <v>55</v>
      </c>
      <c r="E199" s="7" t="str">
        <f t="shared" si="34"/>
        <v>ADARSH SHARMA</v>
      </c>
      <c r="F199" s="7" t="s">
        <v>10</v>
      </c>
      <c r="G199" s="22">
        <v>42243</v>
      </c>
      <c r="H199" s="8">
        <v>96641</v>
      </c>
      <c r="I199" s="7" t="str">
        <f t="shared" si="35"/>
        <v>adarsh.sharma@br.sha.ba</v>
      </c>
      <c r="J199" s="6" t="s">
        <v>1539</v>
      </c>
      <c r="K199" s="6">
        <v>80</v>
      </c>
      <c r="L199" s="7" t="str">
        <f t="shared" si="36"/>
        <v>br.sha.ba</v>
      </c>
      <c r="M199" s="7" t="str">
        <f t="shared" si="37"/>
        <v>S.Adarsh</v>
      </c>
      <c r="N199" s="6">
        <f t="shared" si="38"/>
        <v>0</v>
      </c>
      <c r="O199" s="6">
        <f t="shared" si="39"/>
        <v>0</v>
      </c>
      <c r="P199" s="6" t="str">
        <f t="shared" si="40"/>
        <v>N</v>
      </c>
      <c r="Q199" s="6">
        <f t="shared" si="41"/>
        <v>12</v>
      </c>
      <c r="R199" s="6" t="str">
        <f t="shared" si="42"/>
        <v>2015</v>
      </c>
      <c r="S199" s="6" t="str">
        <f t="shared" si="43"/>
        <v>Aug</v>
      </c>
    </row>
    <row r="200" spans="1:19" x14ac:dyDescent="0.25">
      <c r="A200" s="6">
        <v>93</v>
      </c>
      <c r="B200" s="6" t="str">
        <f t="shared" si="33"/>
        <v>NIKBRA00093</v>
      </c>
      <c r="C200" s="7" t="s">
        <v>181</v>
      </c>
      <c r="D200" s="7" t="s">
        <v>71</v>
      </c>
      <c r="E200" s="7" t="str">
        <f t="shared" si="34"/>
        <v>ABHIJEET ARUN</v>
      </c>
      <c r="F200" s="7" t="s">
        <v>10</v>
      </c>
      <c r="G200" s="22">
        <v>42296</v>
      </c>
      <c r="H200" s="8">
        <v>36365</v>
      </c>
      <c r="I200" s="7" t="str">
        <f t="shared" si="35"/>
        <v>abhijeet.arun@br.arn.ba</v>
      </c>
      <c r="J200" s="6" t="s">
        <v>1548</v>
      </c>
      <c r="K200" s="6">
        <v>67</v>
      </c>
      <c r="L200" s="7" t="str">
        <f t="shared" si="36"/>
        <v>br.arn.ba</v>
      </c>
      <c r="M200" s="7" t="str">
        <f t="shared" si="37"/>
        <v>A.Abhijeet</v>
      </c>
      <c r="N200" s="6">
        <f t="shared" si="38"/>
        <v>6</v>
      </c>
      <c r="O200" s="6">
        <f t="shared" si="39"/>
        <v>0</v>
      </c>
      <c r="P200" s="6" t="str">
        <f t="shared" si="40"/>
        <v>N</v>
      </c>
      <c r="Q200" s="6">
        <f t="shared" si="41"/>
        <v>12</v>
      </c>
      <c r="R200" s="6" t="str">
        <f t="shared" si="42"/>
        <v>2015</v>
      </c>
      <c r="S200" s="6" t="str">
        <f t="shared" si="43"/>
        <v>Oct</v>
      </c>
    </row>
    <row r="201" spans="1:19" x14ac:dyDescent="0.25">
      <c r="A201" s="6">
        <v>100</v>
      </c>
      <c r="B201" s="6" t="str">
        <f t="shared" si="33"/>
        <v>NIKBRA00100</v>
      </c>
      <c r="C201" s="7" t="s">
        <v>191</v>
      </c>
      <c r="D201" s="7" t="s">
        <v>192</v>
      </c>
      <c r="E201" s="7" t="str">
        <f t="shared" si="34"/>
        <v>ANIL SHANKARLAL</v>
      </c>
      <c r="F201" s="7" t="s">
        <v>10</v>
      </c>
      <c r="G201" s="22">
        <v>42350</v>
      </c>
      <c r="H201" s="8">
        <v>39089</v>
      </c>
      <c r="I201" s="7" t="str">
        <f t="shared" si="35"/>
        <v>anil.shankarlal@br.shl.ba</v>
      </c>
      <c r="J201" s="6" t="s">
        <v>1544</v>
      </c>
      <c r="K201" s="6">
        <v>63</v>
      </c>
      <c r="L201" s="7" t="str">
        <f t="shared" si="36"/>
        <v>br.shl.ba</v>
      </c>
      <c r="M201" s="7" t="str">
        <f t="shared" si="37"/>
        <v>S.Anil</v>
      </c>
      <c r="N201" s="6">
        <f t="shared" si="38"/>
        <v>0</v>
      </c>
      <c r="O201" s="6">
        <f t="shared" si="39"/>
        <v>0</v>
      </c>
      <c r="P201" s="6" t="str">
        <f t="shared" si="40"/>
        <v>N</v>
      </c>
      <c r="Q201" s="6">
        <f t="shared" si="41"/>
        <v>14</v>
      </c>
      <c r="R201" s="6" t="str">
        <f t="shared" si="42"/>
        <v>2015</v>
      </c>
      <c r="S201" s="6" t="str">
        <f t="shared" si="43"/>
        <v>Dec</v>
      </c>
    </row>
    <row r="202" spans="1:19" x14ac:dyDescent="0.25">
      <c r="A202" s="6">
        <v>104</v>
      </c>
      <c r="B202" s="6" t="str">
        <f t="shared" si="33"/>
        <v>NIKBRA00104</v>
      </c>
      <c r="C202" s="7" t="s">
        <v>197</v>
      </c>
      <c r="D202" s="7" t="s">
        <v>198</v>
      </c>
      <c r="E202" s="7" t="str">
        <f t="shared" si="34"/>
        <v>KAMAL SAINI</v>
      </c>
      <c r="F202" s="7" t="s">
        <v>10</v>
      </c>
      <c r="G202" s="22">
        <v>42431</v>
      </c>
      <c r="H202" s="8">
        <v>80444</v>
      </c>
      <c r="I202" s="7" t="str">
        <f t="shared" si="35"/>
        <v>kamal.saini@br.sai.ba</v>
      </c>
      <c r="J202" s="6" t="s">
        <v>1536</v>
      </c>
      <c r="K202" s="6">
        <v>38</v>
      </c>
      <c r="L202" s="7" t="str">
        <f t="shared" si="36"/>
        <v>br.sai.ba</v>
      </c>
      <c r="M202" s="7" t="str">
        <f t="shared" si="37"/>
        <v>S.Kamal</v>
      </c>
      <c r="N202" s="6">
        <f t="shared" si="38"/>
        <v>0</v>
      </c>
      <c r="O202" s="6">
        <f t="shared" si="39"/>
        <v>0</v>
      </c>
      <c r="P202" s="6" t="str">
        <f t="shared" si="40"/>
        <v>N</v>
      </c>
      <c r="Q202" s="6">
        <f t="shared" si="41"/>
        <v>10</v>
      </c>
      <c r="R202" s="6" t="str">
        <f t="shared" si="42"/>
        <v>2016</v>
      </c>
      <c r="S202" s="6" t="str">
        <f t="shared" si="43"/>
        <v>Mar</v>
      </c>
    </row>
    <row r="203" spans="1:19" x14ac:dyDescent="0.25">
      <c r="A203" s="6">
        <v>107</v>
      </c>
      <c r="B203" s="6" t="str">
        <f t="shared" si="33"/>
        <v>NIKBRA00107</v>
      </c>
      <c r="C203" s="7" t="s">
        <v>200</v>
      </c>
      <c r="D203" s="7" t="s">
        <v>201</v>
      </c>
      <c r="E203" s="7" t="str">
        <f t="shared" si="34"/>
        <v>PRATIKSHA PUNITBHAI</v>
      </c>
      <c r="F203" s="7" t="s">
        <v>10</v>
      </c>
      <c r="G203" s="22">
        <v>42461</v>
      </c>
      <c r="H203" s="8">
        <v>88719</v>
      </c>
      <c r="I203" s="7" t="str">
        <f t="shared" si="35"/>
        <v>pratiksha.punitbhai@br.pui.ba</v>
      </c>
      <c r="J203" s="6" t="s">
        <v>1537</v>
      </c>
      <c r="K203" s="6">
        <v>67</v>
      </c>
      <c r="L203" s="7" t="str">
        <f t="shared" si="36"/>
        <v>br.pui.ba</v>
      </c>
      <c r="M203" s="7" t="str">
        <f t="shared" si="37"/>
        <v>P.Pratiksha</v>
      </c>
      <c r="N203" s="6">
        <f t="shared" si="38"/>
        <v>0</v>
      </c>
      <c r="O203" s="6">
        <f t="shared" si="39"/>
        <v>0</v>
      </c>
      <c r="P203" s="6" t="str">
        <f t="shared" si="40"/>
        <v>N</v>
      </c>
      <c r="Q203" s="6">
        <f t="shared" si="41"/>
        <v>18</v>
      </c>
      <c r="R203" s="6" t="str">
        <f t="shared" si="42"/>
        <v>2016</v>
      </c>
      <c r="S203" s="6" t="str">
        <f t="shared" si="43"/>
        <v>Apr</v>
      </c>
    </row>
    <row r="204" spans="1:19" x14ac:dyDescent="0.25">
      <c r="A204" s="6">
        <v>109</v>
      </c>
      <c r="B204" s="6" t="str">
        <f t="shared" si="33"/>
        <v>NIKBRA00109</v>
      </c>
      <c r="C204" s="7" t="s">
        <v>19</v>
      </c>
      <c r="D204" s="7"/>
      <c r="E204" s="7" t="str">
        <f t="shared" si="34"/>
        <v>AMIT</v>
      </c>
      <c r="F204" s="7" t="s">
        <v>10</v>
      </c>
      <c r="G204" s="22">
        <v>42473</v>
      </c>
      <c r="H204" s="8">
        <v>71592</v>
      </c>
      <c r="I204" s="7" t="str">
        <f t="shared" si="35"/>
        <v>amit.@br..ba</v>
      </c>
      <c r="J204" s="6" t="s">
        <v>1546</v>
      </c>
      <c r="K204" s="6">
        <v>36</v>
      </c>
      <c r="L204" s="7" t="str">
        <f t="shared" si="36"/>
        <v>br..ba</v>
      </c>
      <c r="M204" s="7" t="str">
        <f t="shared" si="37"/>
        <v>.Amit</v>
      </c>
      <c r="N204" s="6">
        <f t="shared" si="38"/>
        <v>0</v>
      </c>
      <c r="O204" s="6">
        <f t="shared" si="39"/>
        <v>0</v>
      </c>
      <c r="P204" s="6" t="str">
        <f t="shared" si="40"/>
        <v>N</v>
      </c>
      <c r="Q204" s="6">
        <f t="shared" si="41"/>
        <v>4</v>
      </c>
      <c r="R204" s="6" t="str">
        <f t="shared" si="42"/>
        <v>2016</v>
      </c>
      <c r="S204" s="6" t="str">
        <f t="shared" si="43"/>
        <v>Apr</v>
      </c>
    </row>
    <row r="205" spans="1:19" x14ac:dyDescent="0.25">
      <c r="A205" s="6">
        <v>113</v>
      </c>
      <c r="B205" s="6" t="str">
        <f t="shared" si="33"/>
        <v>NIKBRA00113</v>
      </c>
      <c r="C205" s="7" t="s">
        <v>209</v>
      </c>
      <c r="D205" s="7" t="s">
        <v>162</v>
      </c>
      <c r="E205" s="7" t="str">
        <f t="shared" si="34"/>
        <v>GAURAV PATHAK</v>
      </c>
      <c r="F205" s="7" t="s">
        <v>10</v>
      </c>
      <c r="G205" s="22">
        <v>42515</v>
      </c>
      <c r="H205" s="8">
        <v>56206</v>
      </c>
      <c r="I205" s="7" t="str">
        <f t="shared" si="35"/>
        <v>gaurav.pathak@br.pak.ba</v>
      </c>
      <c r="J205" s="6" t="s">
        <v>1542</v>
      </c>
      <c r="K205" s="6">
        <v>65</v>
      </c>
      <c r="L205" s="7" t="str">
        <f t="shared" si="36"/>
        <v>br.pak.ba</v>
      </c>
      <c r="M205" s="7" t="str">
        <f t="shared" si="37"/>
        <v>P.Gaurav</v>
      </c>
      <c r="N205" s="6">
        <f t="shared" si="38"/>
        <v>0</v>
      </c>
      <c r="O205" s="6">
        <f t="shared" si="39"/>
        <v>0</v>
      </c>
      <c r="P205" s="6" t="str">
        <f t="shared" si="40"/>
        <v>N</v>
      </c>
      <c r="Q205" s="6">
        <f t="shared" si="41"/>
        <v>12</v>
      </c>
      <c r="R205" s="6" t="str">
        <f t="shared" si="42"/>
        <v>2016</v>
      </c>
      <c r="S205" s="6" t="str">
        <f t="shared" si="43"/>
        <v>May</v>
      </c>
    </row>
    <row r="206" spans="1:19" x14ac:dyDescent="0.25">
      <c r="A206" s="6">
        <v>114</v>
      </c>
      <c r="B206" s="6" t="str">
        <f t="shared" si="33"/>
        <v>NIKBRA00114</v>
      </c>
      <c r="C206" s="7" t="s">
        <v>19</v>
      </c>
      <c r="D206" s="7" t="s">
        <v>126</v>
      </c>
      <c r="E206" s="7" t="str">
        <f t="shared" si="34"/>
        <v>AMIT MEHROTRA</v>
      </c>
      <c r="F206" s="7" t="s">
        <v>10</v>
      </c>
      <c r="G206" s="22">
        <v>42520</v>
      </c>
      <c r="H206" s="8">
        <v>65727</v>
      </c>
      <c r="I206" s="7" t="str">
        <f t="shared" si="35"/>
        <v>amit.mehrotra@br.mea.ba</v>
      </c>
      <c r="J206" s="6" t="s">
        <v>1547</v>
      </c>
      <c r="K206" s="6">
        <v>76</v>
      </c>
      <c r="L206" s="7" t="str">
        <f t="shared" si="36"/>
        <v>br.mea.ba</v>
      </c>
      <c r="M206" s="7" t="str">
        <f t="shared" si="37"/>
        <v>M.Amit</v>
      </c>
      <c r="N206" s="6">
        <f t="shared" si="38"/>
        <v>0</v>
      </c>
      <c r="O206" s="6">
        <f t="shared" si="39"/>
        <v>2</v>
      </c>
      <c r="P206" s="6" t="str">
        <f t="shared" si="40"/>
        <v>N</v>
      </c>
      <c r="Q206" s="6">
        <f t="shared" si="41"/>
        <v>12</v>
      </c>
      <c r="R206" s="6" t="str">
        <f t="shared" si="42"/>
        <v>2016</v>
      </c>
      <c r="S206" s="6" t="str">
        <f t="shared" si="43"/>
        <v>May</v>
      </c>
    </row>
    <row r="207" spans="1:19" x14ac:dyDescent="0.25">
      <c r="A207" s="6">
        <v>133</v>
      </c>
      <c r="B207" s="6" t="str">
        <f t="shared" si="33"/>
        <v>NIKBRA00133</v>
      </c>
      <c r="C207" s="7" t="s">
        <v>238</v>
      </c>
      <c r="D207" s="7" t="s">
        <v>239</v>
      </c>
      <c r="E207" s="7" t="str">
        <f t="shared" si="34"/>
        <v>SHANKY RAJKUMAR</v>
      </c>
      <c r="F207" s="7" t="s">
        <v>10</v>
      </c>
      <c r="G207" s="22">
        <v>42677</v>
      </c>
      <c r="H207" s="8">
        <v>100960</v>
      </c>
      <c r="I207" s="7" t="str">
        <f t="shared" si="35"/>
        <v>shanky.rajkumar@br.rar.ba</v>
      </c>
      <c r="J207" s="6" t="s">
        <v>1549</v>
      </c>
      <c r="K207" s="6">
        <v>81</v>
      </c>
      <c r="L207" s="7" t="str">
        <f t="shared" si="36"/>
        <v>br.rar.ba</v>
      </c>
      <c r="M207" s="7" t="str">
        <f t="shared" si="37"/>
        <v>R.Shanky</v>
      </c>
      <c r="N207" s="6">
        <f t="shared" si="38"/>
        <v>0</v>
      </c>
      <c r="O207" s="6">
        <f t="shared" si="39"/>
        <v>0</v>
      </c>
      <c r="P207" s="6" t="str">
        <f t="shared" si="40"/>
        <v>N</v>
      </c>
      <c r="Q207" s="6">
        <f t="shared" si="41"/>
        <v>14</v>
      </c>
      <c r="R207" s="6" t="str">
        <f t="shared" si="42"/>
        <v>2016</v>
      </c>
      <c r="S207" s="6" t="str">
        <f t="shared" si="43"/>
        <v>Nov</v>
      </c>
    </row>
    <row r="208" spans="1:19" x14ac:dyDescent="0.25">
      <c r="A208" s="6">
        <v>136</v>
      </c>
      <c r="B208" s="6" t="str">
        <f t="shared" si="33"/>
        <v>NIKBRA00136</v>
      </c>
      <c r="C208" s="7" t="s">
        <v>33</v>
      </c>
      <c r="D208" s="7" t="s">
        <v>210</v>
      </c>
      <c r="E208" s="7" t="str">
        <f t="shared" si="34"/>
        <v>KIRAN YUVRAJ</v>
      </c>
      <c r="F208" s="7" t="s">
        <v>10</v>
      </c>
      <c r="G208" s="22">
        <v>42692</v>
      </c>
      <c r="H208" s="8">
        <v>45617</v>
      </c>
      <c r="I208" s="7" t="str">
        <f t="shared" si="35"/>
        <v>kiran.yuvraj@br.yuj.ba</v>
      </c>
      <c r="J208" s="6" t="s">
        <v>1546</v>
      </c>
      <c r="K208" s="6">
        <v>81</v>
      </c>
      <c r="L208" s="7" t="str">
        <f t="shared" si="36"/>
        <v>br.yuj.ba</v>
      </c>
      <c r="M208" s="7" t="str">
        <f t="shared" si="37"/>
        <v>Y.Kiran</v>
      </c>
      <c r="N208" s="6">
        <f t="shared" si="38"/>
        <v>0</v>
      </c>
      <c r="O208" s="6">
        <f t="shared" si="39"/>
        <v>0</v>
      </c>
      <c r="P208" s="6" t="str">
        <f t="shared" si="40"/>
        <v>N</v>
      </c>
      <c r="Q208" s="6">
        <f t="shared" si="41"/>
        <v>11</v>
      </c>
      <c r="R208" s="6" t="str">
        <f t="shared" si="42"/>
        <v>2016</v>
      </c>
      <c r="S208" s="6" t="str">
        <f t="shared" si="43"/>
        <v>Nov</v>
      </c>
    </row>
    <row r="209" spans="1:19" x14ac:dyDescent="0.25">
      <c r="A209" s="6">
        <v>148</v>
      </c>
      <c r="B209" s="6" t="str">
        <f t="shared" si="33"/>
        <v>NIKBRA00148</v>
      </c>
      <c r="C209" s="7" t="s">
        <v>256</v>
      </c>
      <c r="D209" s="7" t="s">
        <v>257</v>
      </c>
      <c r="E209" s="7" t="str">
        <f t="shared" si="34"/>
        <v>BHAVIK KAMLESHBHAI</v>
      </c>
      <c r="F209" s="7" t="s">
        <v>10</v>
      </c>
      <c r="G209" s="22">
        <v>42901</v>
      </c>
      <c r="H209" s="8">
        <v>82823</v>
      </c>
      <c r="I209" s="7" t="str">
        <f t="shared" si="35"/>
        <v>bhavik.kamleshbhai@br.kai.ba</v>
      </c>
      <c r="J209" s="6" t="s">
        <v>1532</v>
      </c>
      <c r="K209" s="6">
        <v>56</v>
      </c>
      <c r="L209" s="7" t="str">
        <f t="shared" si="36"/>
        <v>br.kai.ba</v>
      </c>
      <c r="M209" s="7" t="str">
        <f t="shared" si="37"/>
        <v>K.Bhavik</v>
      </c>
      <c r="N209" s="6">
        <f t="shared" si="38"/>
        <v>0</v>
      </c>
      <c r="O209" s="6">
        <f t="shared" si="39"/>
        <v>5</v>
      </c>
      <c r="P209" s="6" t="str">
        <f t="shared" si="40"/>
        <v>N</v>
      </c>
      <c r="Q209" s="6">
        <f t="shared" si="41"/>
        <v>17</v>
      </c>
      <c r="R209" s="6" t="str">
        <f t="shared" si="42"/>
        <v>2017</v>
      </c>
      <c r="S209" s="6" t="str">
        <f t="shared" si="43"/>
        <v>Jun</v>
      </c>
    </row>
    <row r="210" spans="1:19" x14ac:dyDescent="0.25">
      <c r="A210" s="6">
        <v>153</v>
      </c>
      <c r="B210" s="6" t="str">
        <f t="shared" si="33"/>
        <v>NIKBRA00153</v>
      </c>
      <c r="C210" s="7" t="s">
        <v>120</v>
      </c>
      <c r="D210" s="7" t="s">
        <v>70</v>
      </c>
      <c r="E210" s="7" t="str">
        <f t="shared" si="34"/>
        <v>MAHENDRA SINGH</v>
      </c>
      <c r="F210" s="7" t="s">
        <v>10</v>
      </c>
      <c r="G210" s="22">
        <v>42982</v>
      </c>
      <c r="H210" s="8">
        <v>101713</v>
      </c>
      <c r="I210" s="7" t="str">
        <f t="shared" si="35"/>
        <v>mahendra.singh@br.sih.ba</v>
      </c>
      <c r="J210" s="6" t="s">
        <v>1548</v>
      </c>
      <c r="K210" s="6">
        <v>40</v>
      </c>
      <c r="L210" s="7" t="str">
        <f t="shared" si="36"/>
        <v>br.sih.ba</v>
      </c>
      <c r="M210" s="7" t="str">
        <f t="shared" si="37"/>
        <v>S.Mahendra</v>
      </c>
      <c r="N210" s="6">
        <f t="shared" si="38"/>
        <v>4</v>
      </c>
      <c r="O210" s="6">
        <f t="shared" si="39"/>
        <v>0</v>
      </c>
      <c r="P210" s="6" t="str">
        <f t="shared" si="40"/>
        <v>N</v>
      </c>
      <c r="Q210" s="6">
        <f t="shared" si="41"/>
        <v>13</v>
      </c>
      <c r="R210" s="6" t="str">
        <f t="shared" si="42"/>
        <v>2017</v>
      </c>
      <c r="S210" s="6" t="str">
        <f t="shared" si="43"/>
        <v>Sep</v>
      </c>
    </row>
    <row r="211" spans="1:19" x14ac:dyDescent="0.25">
      <c r="A211" s="6">
        <v>181</v>
      </c>
      <c r="B211" s="6" t="str">
        <f t="shared" si="33"/>
        <v>NIKBRA00181</v>
      </c>
      <c r="C211" s="7" t="s">
        <v>86</v>
      </c>
      <c r="D211" s="7" t="s">
        <v>68</v>
      </c>
      <c r="E211" s="7" t="str">
        <f t="shared" si="34"/>
        <v>MANISH KUMAR</v>
      </c>
      <c r="F211" s="7" t="s">
        <v>10</v>
      </c>
      <c r="G211" s="22">
        <v>43448</v>
      </c>
      <c r="H211" s="8">
        <v>53432</v>
      </c>
      <c r="I211" s="7" t="str">
        <f t="shared" si="35"/>
        <v>manish.kumar@br.kur.ba</v>
      </c>
      <c r="J211" s="6" t="s">
        <v>1544</v>
      </c>
      <c r="K211" s="6">
        <v>87</v>
      </c>
      <c r="L211" s="7" t="str">
        <f t="shared" si="36"/>
        <v>br.kur.ba</v>
      </c>
      <c r="M211" s="7" t="str">
        <f t="shared" si="37"/>
        <v>K.Manish</v>
      </c>
      <c r="N211" s="6">
        <f t="shared" si="38"/>
        <v>0</v>
      </c>
      <c r="O211" s="6">
        <f t="shared" si="39"/>
        <v>0</v>
      </c>
      <c r="P211" s="6" t="str">
        <f t="shared" si="40"/>
        <v>N</v>
      </c>
      <c r="Q211" s="6">
        <f t="shared" si="41"/>
        <v>11</v>
      </c>
      <c r="R211" s="6" t="str">
        <f t="shared" si="42"/>
        <v>2018</v>
      </c>
      <c r="S211" s="6" t="str">
        <f t="shared" si="43"/>
        <v>Dec</v>
      </c>
    </row>
    <row r="212" spans="1:19" x14ac:dyDescent="0.25">
      <c r="A212" s="6">
        <v>192</v>
      </c>
      <c r="B212" s="6" t="str">
        <f t="shared" si="33"/>
        <v>NIKBRA00192</v>
      </c>
      <c r="C212" s="7" t="s">
        <v>306</v>
      </c>
      <c r="D212" s="7" t="s">
        <v>243</v>
      </c>
      <c r="E212" s="7" t="str">
        <f t="shared" si="34"/>
        <v>SIDDHARTH AGARWAL</v>
      </c>
      <c r="F212" s="7" t="s">
        <v>10</v>
      </c>
      <c r="G212" s="22">
        <v>43848</v>
      </c>
      <c r="H212" s="8">
        <v>41724</v>
      </c>
      <c r="I212" s="7" t="str">
        <f t="shared" si="35"/>
        <v>siddharth.agarwal@br.agl.ba</v>
      </c>
      <c r="J212" s="6" t="s">
        <v>1540</v>
      </c>
      <c r="K212" s="6">
        <v>80</v>
      </c>
      <c r="L212" s="7" t="str">
        <f t="shared" si="36"/>
        <v>br.agl.ba</v>
      </c>
      <c r="M212" s="7" t="str">
        <f t="shared" si="37"/>
        <v>A.Siddharth</v>
      </c>
      <c r="N212" s="6">
        <f t="shared" si="38"/>
        <v>0</v>
      </c>
      <c r="O212" s="6">
        <f t="shared" si="39"/>
        <v>0</v>
      </c>
      <c r="P212" s="6" t="str">
        <f t="shared" si="40"/>
        <v>N</v>
      </c>
      <c r="Q212" s="6">
        <f t="shared" si="41"/>
        <v>16</v>
      </c>
      <c r="R212" s="6" t="str">
        <f t="shared" si="42"/>
        <v>2020</v>
      </c>
      <c r="S212" s="6" t="str">
        <f t="shared" si="43"/>
        <v>Jan</v>
      </c>
    </row>
    <row r="213" spans="1:19" x14ac:dyDescent="0.25">
      <c r="A213" s="6">
        <v>193</v>
      </c>
      <c r="B213" s="6" t="str">
        <f t="shared" si="33"/>
        <v>NIKBRA00193</v>
      </c>
      <c r="C213" s="7" t="s">
        <v>307</v>
      </c>
      <c r="D213" s="7" t="s">
        <v>308</v>
      </c>
      <c r="E213" s="7" t="str">
        <f t="shared" si="34"/>
        <v>HEMANT VINAYAK</v>
      </c>
      <c r="F213" s="7" t="s">
        <v>10</v>
      </c>
      <c r="G213" s="22">
        <v>43862</v>
      </c>
      <c r="H213" s="8">
        <v>42811</v>
      </c>
      <c r="I213" s="7" t="str">
        <f t="shared" si="35"/>
        <v>hemant.vinayak@br.vik.ba</v>
      </c>
      <c r="J213" s="6" t="s">
        <v>1532</v>
      </c>
      <c r="K213" s="6">
        <v>67</v>
      </c>
      <c r="L213" s="7" t="str">
        <f t="shared" si="36"/>
        <v>br.vik.ba</v>
      </c>
      <c r="M213" s="7" t="str">
        <f t="shared" si="37"/>
        <v>V.Hemant</v>
      </c>
      <c r="N213" s="6">
        <f t="shared" si="38"/>
        <v>2</v>
      </c>
      <c r="O213" s="6">
        <f t="shared" si="39"/>
        <v>0</v>
      </c>
      <c r="P213" s="6" t="str">
        <f t="shared" si="40"/>
        <v>N</v>
      </c>
      <c r="Q213" s="6">
        <f t="shared" si="41"/>
        <v>13</v>
      </c>
      <c r="R213" s="6" t="str">
        <f t="shared" si="42"/>
        <v>2020</v>
      </c>
      <c r="S213" s="6" t="str">
        <f t="shared" si="43"/>
        <v>Feb</v>
      </c>
    </row>
    <row r="214" spans="1:19" x14ac:dyDescent="0.25">
      <c r="A214" s="6">
        <v>197</v>
      </c>
      <c r="B214" s="6" t="str">
        <f t="shared" si="33"/>
        <v>NIKBRA00197</v>
      </c>
      <c r="C214" s="7" t="s">
        <v>314</v>
      </c>
      <c r="D214" s="7" t="s">
        <v>125</v>
      </c>
      <c r="E214" s="7" t="str">
        <f t="shared" si="34"/>
        <v>SOLANKI VIKAS</v>
      </c>
      <c r="F214" s="7" t="s">
        <v>10</v>
      </c>
      <c r="G214" s="22">
        <v>44123</v>
      </c>
      <c r="H214" s="8">
        <v>86006</v>
      </c>
      <c r="I214" s="7" t="str">
        <f t="shared" si="35"/>
        <v>solanki.vikas@br.vis.ba</v>
      </c>
      <c r="J214" s="6" t="s">
        <v>1542</v>
      </c>
      <c r="K214" s="6">
        <v>88</v>
      </c>
      <c r="L214" s="7" t="str">
        <f t="shared" si="36"/>
        <v>br.vis.ba</v>
      </c>
      <c r="M214" s="7" t="str">
        <f t="shared" si="37"/>
        <v>V.Solanki</v>
      </c>
      <c r="N214" s="6">
        <f t="shared" si="38"/>
        <v>0</v>
      </c>
      <c r="O214" s="6">
        <f t="shared" si="39"/>
        <v>0</v>
      </c>
      <c r="P214" s="6" t="str">
        <f t="shared" si="40"/>
        <v>N</v>
      </c>
      <c r="Q214" s="6">
        <f t="shared" si="41"/>
        <v>12</v>
      </c>
      <c r="R214" s="6" t="str">
        <f t="shared" si="42"/>
        <v>2020</v>
      </c>
      <c r="S214" s="6" t="str">
        <f t="shared" si="43"/>
        <v>Oct</v>
      </c>
    </row>
    <row r="215" spans="1:19" x14ac:dyDescent="0.25">
      <c r="A215" s="6">
        <v>200</v>
      </c>
      <c r="B215" s="6" t="str">
        <f t="shared" si="33"/>
        <v>NIKBRA00200</v>
      </c>
      <c r="C215" s="7" t="s">
        <v>224</v>
      </c>
      <c r="D215" s="7" t="s">
        <v>318</v>
      </c>
      <c r="E215" s="7" t="str">
        <f t="shared" si="34"/>
        <v>JITENDRA MADHUSUDAN</v>
      </c>
      <c r="F215" s="7" t="s">
        <v>10</v>
      </c>
      <c r="G215" s="22">
        <v>44179</v>
      </c>
      <c r="H215" s="8">
        <v>27418</v>
      </c>
      <c r="I215" s="7" t="str">
        <f t="shared" si="35"/>
        <v>jitendra.madhusudan@br.man.ba</v>
      </c>
      <c r="J215" s="6" t="s">
        <v>1538</v>
      </c>
      <c r="K215" s="6">
        <v>87</v>
      </c>
      <c r="L215" s="7" t="str">
        <f t="shared" si="36"/>
        <v>br.man.ba</v>
      </c>
      <c r="M215" s="7" t="str">
        <f t="shared" si="37"/>
        <v>M.Jitendra</v>
      </c>
      <c r="N215" s="6">
        <f t="shared" si="38"/>
        <v>4</v>
      </c>
      <c r="O215" s="6">
        <f t="shared" si="39"/>
        <v>0</v>
      </c>
      <c r="P215" s="6" t="str">
        <f t="shared" si="40"/>
        <v>N</v>
      </c>
      <c r="Q215" s="6">
        <f t="shared" si="41"/>
        <v>18</v>
      </c>
      <c r="R215" s="6" t="str">
        <f t="shared" si="42"/>
        <v>2020</v>
      </c>
      <c r="S215" s="6" t="str">
        <f t="shared" si="43"/>
        <v>Dec</v>
      </c>
    </row>
    <row r="216" spans="1:19" x14ac:dyDescent="0.25">
      <c r="A216" s="6">
        <v>205</v>
      </c>
      <c r="B216" s="6" t="str">
        <f t="shared" si="33"/>
        <v>NIKBRA00205</v>
      </c>
      <c r="C216" s="7" t="s">
        <v>324</v>
      </c>
      <c r="D216" s="7" t="s">
        <v>325</v>
      </c>
      <c r="E216" s="7" t="str">
        <f t="shared" si="34"/>
        <v>SHUBHANGI RAVINDRA</v>
      </c>
      <c r="F216" s="7" t="s">
        <v>10</v>
      </c>
      <c r="G216" s="22">
        <v>44287</v>
      </c>
      <c r="H216" s="8">
        <v>87167</v>
      </c>
      <c r="I216" s="7" t="str">
        <f t="shared" si="35"/>
        <v>shubhangi.ravindra@br.raa.ba</v>
      </c>
      <c r="J216" s="6" t="s">
        <v>1543</v>
      </c>
      <c r="K216" s="6">
        <v>48</v>
      </c>
      <c r="L216" s="7" t="str">
        <f t="shared" si="36"/>
        <v>br.raa.ba</v>
      </c>
      <c r="M216" s="7" t="str">
        <f t="shared" si="37"/>
        <v>R.Shubhangi</v>
      </c>
      <c r="N216" s="6">
        <f t="shared" si="38"/>
        <v>0</v>
      </c>
      <c r="O216" s="6">
        <f t="shared" si="39"/>
        <v>0</v>
      </c>
      <c r="P216" s="6" t="str">
        <f t="shared" si="40"/>
        <v>N</v>
      </c>
      <c r="Q216" s="6">
        <f t="shared" si="41"/>
        <v>17</v>
      </c>
      <c r="R216" s="6" t="str">
        <f t="shared" si="42"/>
        <v>2021</v>
      </c>
      <c r="S216" s="6" t="str">
        <f t="shared" si="43"/>
        <v>Apr</v>
      </c>
    </row>
    <row r="217" spans="1:19" x14ac:dyDescent="0.25">
      <c r="A217" s="6">
        <v>206</v>
      </c>
      <c r="B217" s="6" t="str">
        <f t="shared" si="33"/>
        <v>NIKBRA00206</v>
      </c>
      <c r="C217" s="7" t="s">
        <v>326</v>
      </c>
      <c r="D217" s="7" t="s">
        <v>327</v>
      </c>
      <c r="E217" s="7" t="str">
        <f t="shared" si="34"/>
        <v>RATHOD PAYAL</v>
      </c>
      <c r="F217" s="7" t="s">
        <v>10</v>
      </c>
      <c r="G217" s="22">
        <v>44295</v>
      </c>
      <c r="H217" s="8">
        <v>105561</v>
      </c>
      <c r="I217" s="7" t="str">
        <f t="shared" si="35"/>
        <v>rathod.payal@br.pal.ba</v>
      </c>
      <c r="J217" s="6" t="s">
        <v>1540</v>
      </c>
      <c r="K217" s="6">
        <v>63</v>
      </c>
      <c r="L217" s="7" t="str">
        <f t="shared" si="36"/>
        <v>br.pal.ba</v>
      </c>
      <c r="M217" s="7" t="str">
        <f t="shared" si="37"/>
        <v>P.Rathod</v>
      </c>
      <c r="N217" s="6">
        <f t="shared" si="38"/>
        <v>0</v>
      </c>
      <c r="O217" s="6">
        <f t="shared" si="39"/>
        <v>0</v>
      </c>
      <c r="P217" s="6" t="str">
        <f t="shared" si="40"/>
        <v>N</v>
      </c>
      <c r="Q217" s="6">
        <f t="shared" si="41"/>
        <v>11</v>
      </c>
      <c r="R217" s="6" t="str">
        <f t="shared" si="42"/>
        <v>2021</v>
      </c>
      <c r="S217" s="6" t="str">
        <f t="shared" si="43"/>
        <v>Apr</v>
      </c>
    </row>
    <row r="218" spans="1:19" x14ac:dyDescent="0.25">
      <c r="A218" s="6">
        <v>209</v>
      </c>
      <c r="B218" s="6" t="str">
        <f t="shared" si="33"/>
        <v>NIKBRA00209</v>
      </c>
      <c r="C218" s="7" t="s">
        <v>329</v>
      </c>
      <c r="D218" s="7" t="s">
        <v>314</v>
      </c>
      <c r="E218" s="7" t="str">
        <f t="shared" si="34"/>
        <v>VIMAL SOLANKI</v>
      </c>
      <c r="F218" s="7" t="s">
        <v>10</v>
      </c>
      <c r="G218" s="22">
        <v>44317</v>
      </c>
      <c r="H218" s="8">
        <v>84308</v>
      </c>
      <c r="I218" s="7" t="str">
        <f t="shared" si="35"/>
        <v>vimal.solanki@br.soi.ba</v>
      </c>
      <c r="J218" s="6" t="s">
        <v>1550</v>
      </c>
      <c r="K218" s="6">
        <v>48</v>
      </c>
      <c r="L218" s="7" t="str">
        <f t="shared" si="36"/>
        <v>br.soi.ba</v>
      </c>
      <c r="M218" s="7" t="str">
        <f t="shared" si="37"/>
        <v>S.Vimal</v>
      </c>
      <c r="N218" s="6">
        <f t="shared" si="38"/>
        <v>0</v>
      </c>
      <c r="O218" s="6">
        <f t="shared" si="39"/>
        <v>0</v>
      </c>
      <c r="P218" s="6" t="str">
        <f t="shared" si="40"/>
        <v>N</v>
      </c>
      <c r="Q218" s="6">
        <f t="shared" si="41"/>
        <v>12</v>
      </c>
      <c r="R218" s="6" t="str">
        <f t="shared" si="42"/>
        <v>2021</v>
      </c>
      <c r="S218" s="6" t="str">
        <f t="shared" si="43"/>
        <v>May</v>
      </c>
    </row>
    <row r="219" spans="1:19" x14ac:dyDescent="0.25">
      <c r="A219" s="6">
        <v>211</v>
      </c>
      <c r="B219" s="6" t="str">
        <f t="shared" si="33"/>
        <v>NIKBRA00211</v>
      </c>
      <c r="C219" s="7" t="s">
        <v>54</v>
      </c>
      <c r="D219" s="7" t="s">
        <v>332</v>
      </c>
      <c r="E219" s="7" t="str">
        <f t="shared" si="34"/>
        <v>GANESH RAM</v>
      </c>
      <c r="F219" s="7" t="s">
        <v>10</v>
      </c>
      <c r="G219" s="22">
        <v>44364</v>
      </c>
      <c r="H219" s="8">
        <v>51758</v>
      </c>
      <c r="I219" s="7" t="str">
        <f t="shared" si="35"/>
        <v>ganesh.ram@br.ram.ba</v>
      </c>
      <c r="J219" s="6" t="s">
        <v>1534</v>
      </c>
      <c r="K219" s="6">
        <v>76</v>
      </c>
      <c r="L219" s="7" t="str">
        <f t="shared" si="36"/>
        <v>br.ram.ba</v>
      </c>
      <c r="M219" s="7" t="str">
        <f t="shared" si="37"/>
        <v>R.Ganesh</v>
      </c>
      <c r="N219" s="6">
        <f t="shared" si="38"/>
        <v>4</v>
      </c>
      <c r="O219" s="6">
        <f t="shared" si="39"/>
        <v>0</v>
      </c>
      <c r="P219" s="6" t="str">
        <f t="shared" si="40"/>
        <v>N</v>
      </c>
      <c r="Q219" s="6">
        <f t="shared" si="41"/>
        <v>9</v>
      </c>
      <c r="R219" s="6" t="str">
        <f t="shared" si="42"/>
        <v>2021</v>
      </c>
      <c r="S219" s="6" t="str">
        <f t="shared" si="43"/>
        <v>Jun</v>
      </c>
    </row>
    <row r="220" spans="1:19" x14ac:dyDescent="0.25">
      <c r="A220" s="6">
        <v>224</v>
      </c>
      <c r="B220" s="6" t="str">
        <f t="shared" si="33"/>
        <v>NIKBRA00224</v>
      </c>
      <c r="C220" s="7" t="s">
        <v>275</v>
      </c>
      <c r="D220" s="7" t="s">
        <v>346</v>
      </c>
      <c r="E220" s="7" t="str">
        <f t="shared" si="34"/>
        <v>KRISHNA PUNDLIK</v>
      </c>
      <c r="F220" s="7" t="s">
        <v>10</v>
      </c>
      <c r="G220" s="22">
        <v>44510</v>
      </c>
      <c r="H220" s="8">
        <v>68156</v>
      </c>
      <c r="I220" s="7" t="str">
        <f t="shared" si="35"/>
        <v>krishna.pundlik@br.puk.ba</v>
      </c>
      <c r="J220" s="6" t="s">
        <v>1543</v>
      </c>
      <c r="K220" s="6">
        <v>55</v>
      </c>
      <c r="L220" s="7" t="str">
        <f t="shared" si="36"/>
        <v>br.puk.ba</v>
      </c>
      <c r="M220" s="7" t="str">
        <f t="shared" si="37"/>
        <v>P.Krishna</v>
      </c>
      <c r="N220" s="6">
        <f t="shared" si="38"/>
        <v>0</v>
      </c>
      <c r="O220" s="6">
        <f t="shared" si="39"/>
        <v>0</v>
      </c>
      <c r="P220" s="6" t="str">
        <f t="shared" si="40"/>
        <v>N</v>
      </c>
      <c r="Q220" s="6">
        <f t="shared" si="41"/>
        <v>14</v>
      </c>
      <c r="R220" s="6" t="str">
        <f t="shared" si="42"/>
        <v>2021</v>
      </c>
      <c r="S220" s="6" t="str">
        <f t="shared" si="43"/>
        <v>Nov</v>
      </c>
    </row>
    <row r="221" spans="1:19" x14ac:dyDescent="0.25">
      <c r="A221" s="6">
        <v>232</v>
      </c>
      <c r="B221" s="6" t="str">
        <f t="shared" si="33"/>
        <v>NIKBRA00232</v>
      </c>
      <c r="C221" s="7" t="s">
        <v>187</v>
      </c>
      <c r="D221" s="7" t="s">
        <v>357</v>
      </c>
      <c r="E221" s="7" t="str">
        <f t="shared" si="34"/>
        <v>ANAND KANU</v>
      </c>
      <c r="F221" s="7" t="s">
        <v>10</v>
      </c>
      <c r="G221" s="22">
        <v>44543</v>
      </c>
      <c r="H221" s="8">
        <v>108970</v>
      </c>
      <c r="I221" s="7" t="str">
        <f t="shared" si="35"/>
        <v>anand.kanu@br.kau.ba</v>
      </c>
      <c r="J221" s="6" t="s">
        <v>1538</v>
      </c>
      <c r="K221" s="6">
        <v>78</v>
      </c>
      <c r="L221" s="7" t="str">
        <f t="shared" si="36"/>
        <v>br.kau.ba</v>
      </c>
      <c r="M221" s="7" t="str">
        <f t="shared" si="37"/>
        <v>K.Anand</v>
      </c>
      <c r="N221" s="6">
        <f t="shared" si="38"/>
        <v>0</v>
      </c>
      <c r="O221" s="6">
        <f t="shared" si="39"/>
        <v>0</v>
      </c>
      <c r="P221" s="6" t="str">
        <f t="shared" si="40"/>
        <v>N</v>
      </c>
      <c r="Q221" s="6">
        <f t="shared" si="41"/>
        <v>9</v>
      </c>
      <c r="R221" s="6" t="str">
        <f t="shared" si="42"/>
        <v>2021</v>
      </c>
      <c r="S221" s="6" t="str">
        <f t="shared" si="43"/>
        <v>Dec</v>
      </c>
    </row>
    <row r="222" spans="1:19" x14ac:dyDescent="0.25">
      <c r="A222" s="6">
        <v>244</v>
      </c>
      <c r="B222" s="6" t="str">
        <f t="shared" si="33"/>
        <v>NIKBRA00244</v>
      </c>
      <c r="C222" s="7" t="s">
        <v>375</v>
      </c>
      <c r="D222" s="7" t="s">
        <v>376</v>
      </c>
      <c r="E222" s="7" t="str">
        <f t="shared" si="34"/>
        <v>REEMA KHANNA</v>
      </c>
      <c r="F222" s="7" t="s">
        <v>10</v>
      </c>
      <c r="G222" s="22">
        <v>44634</v>
      </c>
      <c r="H222" s="8">
        <v>55531</v>
      </c>
      <c r="I222" s="7" t="str">
        <f t="shared" si="35"/>
        <v>reema.khanna@br.kha.ba</v>
      </c>
      <c r="J222" s="6" t="s">
        <v>1550</v>
      </c>
      <c r="K222" s="6">
        <v>85</v>
      </c>
      <c r="L222" s="7" t="str">
        <f t="shared" si="36"/>
        <v>br.kha.ba</v>
      </c>
      <c r="M222" s="7" t="str">
        <f t="shared" si="37"/>
        <v>K.Reema</v>
      </c>
      <c r="N222" s="6">
        <f t="shared" si="38"/>
        <v>2</v>
      </c>
      <c r="O222" s="6">
        <f t="shared" si="39"/>
        <v>0</v>
      </c>
      <c r="P222" s="6" t="str">
        <f t="shared" si="40"/>
        <v>N</v>
      </c>
      <c r="Q222" s="6">
        <f t="shared" si="41"/>
        <v>11</v>
      </c>
      <c r="R222" s="6" t="str">
        <f t="shared" si="42"/>
        <v>2022</v>
      </c>
      <c r="S222" s="6" t="str">
        <f t="shared" si="43"/>
        <v>Mar</v>
      </c>
    </row>
    <row r="223" spans="1:19" x14ac:dyDescent="0.25">
      <c r="A223" s="6">
        <v>248</v>
      </c>
      <c r="B223" s="6" t="str">
        <f t="shared" si="33"/>
        <v>NIKBRA00248</v>
      </c>
      <c r="C223" s="7" t="s">
        <v>190</v>
      </c>
      <c r="D223" s="7" t="s">
        <v>205</v>
      </c>
      <c r="E223" s="7" t="str">
        <f t="shared" si="34"/>
        <v>ABHISHEK VERMA</v>
      </c>
      <c r="F223" s="7" t="s">
        <v>10</v>
      </c>
      <c r="G223" s="22">
        <v>44655</v>
      </c>
      <c r="H223" s="8">
        <v>106528</v>
      </c>
      <c r="I223" s="7" t="str">
        <f t="shared" si="35"/>
        <v>abhishek.verma@br.vea.ba</v>
      </c>
      <c r="J223" s="6" t="s">
        <v>1535</v>
      </c>
      <c r="K223" s="6">
        <v>57</v>
      </c>
      <c r="L223" s="7" t="str">
        <f t="shared" si="36"/>
        <v>br.vea.ba</v>
      </c>
      <c r="M223" s="7" t="str">
        <f t="shared" si="37"/>
        <v>V.Abhishek</v>
      </c>
      <c r="N223" s="6">
        <f t="shared" si="38"/>
        <v>7</v>
      </c>
      <c r="O223" s="6">
        <f t="shared" si="39"/>
        <v>2</v>
      </c>
      <c r="P223" s="6" t="str">
        <f t="shared" si="40"/>
        <v>Y</v>
      </c>
      <c r="Q223" s="6">
        <f t="shared" si="41"/>
        <v>13</v>
      </c>
      <c r="R223" s="6" t="str">
        <f t="shared" si="42"/>
        <v>2022</v>
      </c>
      <c r="S223" s="6" t="str">
        <f t="shared" si="43"/>
        <v>Apr</v>
      </c>
    </row>
    <row r="224" spans="1:19" x14ac:dyDescent="0.25">
      <c r="A224" s="6">
        <v>250</v>
      </c>
      <c r="B224" s="6" t="str">
        <f t="shared" si="33"/>
        <v>NIKBRA00250</v>
      </c>
      <c r="C224" s="7" t="s">
        <v>24</v>
      </c>
      <c r="D224" s="7" t="s">
        <v>383</v>
      </c>
      <c r="E224" s="7" t="str">
        <f t="shared" si="34"/>
        <v>RAVI ATULBHAI</v>
      </c>
      <c r="F224" s="7" t="s">
        <v>10</v>
      </c>
      <c r="G224" s="22">
        <v>44683</v>
      </c>
      <c r="H224" s="8">
        <v>102295</v>
      </c>
      <c r="I224" s="7" t="str">
        <f t="shared" si="35"/>
        <v>ravi.atulbhai@br.ati.ba</v>
      </c>
      <c r="J224" s="6" t="s">
        <v>1551</v>
      </c>
      <c r="K224" s="6">
        <v>71</v>
      </c>
      <c r="L224" s="7" t="str">
        <f t="shared" si="36"/>
        <v>br.ati.ba</v>
      </c>
      <c r="M224" s="7" t="str">
        <f t="shared" si="37"/>
        <v>A.Ravi</v>
      </c>
      <c r="N224" s="6">
        <f t="shared" si="38"/>
        <v>0</v>
      </c>
      <c r="O224" s="6">
        <f t="shared" si="39"/>
        <v>0</v>
      </c>
      <c r="P224" s="6" t="str">
        <f t="shared" si="40"/>
        <v>N</v>
      </c>
      <c r="Q224" s="6">
        <f t="shared" si="41"/>
        <v>12</v>
      </c>
      <c r="R224" s="6" t="str">
        <f t="shared" si="42"/>
        <v>2022</v>
      </c>
      <c r="S224" s="6" t="str">
        <f t="shared" si="43"/>
        <v>May</v>
      </c>
    </row>
    <row r="225" spans="1:19" x14ac:dyDescent="0.25">
      <c r="A225" s="6">
        <v>252</v>
      </c>
      <c r="B225" s="6" t="str">
        <f t="shared" si="33"/>
        <v>NIKBRA00252</v>
      </c>
      <c r="C225" s="7" t="s">
        <v>89</v>
      </c>
      <c r="D225" s="7" t="s">
        <v>68</v>
      </c>
      <c r="E225" s="7" t="str">
        <f t="shared" si="34"/>
        <v>VIJAY KUMAR</v>
      </c>
      <c r="F225" s="7" t="s">
        <v>10</v>
      </c>
      <c r="G225" s="22">
        <v>44683</v>
      </c>
      <c r="H225" s="8">
        <v>67335</v>
      </c>
      <c r="I225" s="7" t="str">
        <f t="shared" si="35"/>
        <v>vijay.kumar@br.kur.ba</v>
      </c>
      <c r="J225" s="6" t="s">
        <v>1532</v>
      </c>
      <c r="K225" s="6">
        <v>83</v>
      </c>
      <c r="L225" s="7" t="str">
        <f t="shared" si="36"/>
        <v>br.kur.ba</v>
      </c>
      <c r="M225" s="7" t="str">
        <f t="shared" si="37"/>
        <v>K.Vijay</v>
      </c>
      <c r="N225" s="6">
        <f t="shared" si="38"/>
        <v>0</v>
      </c>
      <c r="O225" s="6">
        <f t="shared" si="39"/>
        <v>0</v>
      </c>
      <c r="P225" s="6" t="str">
        <f t="shared" si="40"/>
        <v>N</v>
      </c>
      <c r="Q225" s="6">
        <f t="shared" si="41"/>
        <v>10</v>
      </c>
      <c r="R225" s="6" t="str">
        <f t="shared" si="42"/>
        <v>2022</v>
      </c>
      <c r="S225" s="6" t="str">
        <f t="shared" si="43"/>
        <v>May</v>
      </c>
    </row>
    <row r="226" spans="1:19" x14ac:dyDescent="0.25">
      <c r="A226" s="6">
        <v>255</v>
      </c>
      <c r="B226" s="6" t="str">
        <f t="shared" si="33"/>
        <v>NIKBRA00255</v>
      </c>
      <c r="C226" s="7" t="s">
        <v>387</v>
      </c>
      <c r="D226" s="7" t="s">
        <v>388</v>
      </c>
      <c r="E226" s="7" t="str">
        <f t="shared" si="34"/>
        <v>LAXIT CHOUHAN</v>
      </c>
      <c r="F226" s="7" t="s">
        <v>10</v>
      </c>
      <c r="G226" s="22">
        <v>44713</v>
      </c>
      <c r="H226" s="8">
        <v>84491</v>
      </c>
      <c r="I226" s="7" t="str">
        <f t="shared" si="35"/>
        <v>laxit.chouhan@br.chn.ba</v>
      </c>
      <c r="J226" s="6" t="s">
        <v>1540</v>
      </c>
      <c r="K226" s="6">
        <v>90</v>
      </c>
      <c r="L226" s="7" t="str">
        <f t="shared" si="36"/>
        <v>br.chn.ba</v>
      </c>
      <c r="M226" s="7" t="str">
        <f t="shared" si="37"/>
        <v>C.Laxit</v>
      </c>
      <c r="N226" s="6">
        <f t="shared" si="38"/>
        <v>0</v>
      </c>
      <c r="O226" s="6">
        <f t="shared" si="39"/>
        <v>0</v>
      </c>
      <c r="P226" s="6" t="str">
        <f t="shared" si="40"/>
        <v>N</v>
      </c>
      <c r="Q226" s="6">
        <f t="shared" si="41"/>
        <v>12</v>
      </c>
      <c r="R226" s="6" t="str">
        <f t="shared" si="42"/>
        <v>2022</v>
      </c>
      <c r="S226" s="6" t="str">
        <f t="shared" si="43"/>
        <v>Jun</v>
      </c>
    </row>
    <row r="227" spans="1:19" x14ac:dyDescent="0.25">
      <c r="A227" s="6">
        <v>258</v>
      </c>
      <c r="B227" s="6" t="str">
        <f t="shared" si="33"/>
        <v>NIKBRA00258</v>
      </c>
      <c r="C227" s="7" t="s">
        <v>392</v>
      </c>
      <c r="D227" s="7" t="s">
        <v>393</v>
      </c>
      <c r="E227" s="7" t="str">
        <f t="shared" si="34"/>
        <v>AKSHAY KAKASO</v>
      </c>
      <c r="F227" s="7" t="s">
        <v>10</v>
      </c>
      <c r="G227" s="22">
        <v>44730</v>
      </c>
      <c r="H227" s="8">
        <v>50837</v>
      </c>
      <c r="I227" s="7" t="str">
        <f t="shared" si="35"/>
        <v>akshay.kakaso@br.kao.ba</v>
      </c>
      <c r="J227" s="6" t="s">
        <v>1544</v>
      </c>
      <c r="K227" s="6">
        <v>58</v>
      </c>
      <c r="L227" s="7" t="str">
        <f t="shared" si="36"/>
        <v>br.kao.ba</v>
      </c>
      <c r="M227" s="7" t="str">
        <f t="shared" si="37"/>
        <v>K.Akshay</v>
      </c>
      <c r="N227" s="6">
        <f t="shared" si="38"/>
        <v>0</v>
      </c>
      <c r="O227" s="6">
        <f t="shared" si="39"/>
        <v>0</v>
      </c>
      <c r="P227" s="6" t="str">
        <f t="shared" si="40"/>
        <v>N</v>
      </c>
      <c r="Q227" s="6">
        <f t="shared" si="41"/>
        <v>12</v>
      </c>
      <c r="R227" s="6" t="str">
        <f t="shared" si="42"/>
        <v>2022</v>
      </c>
      <c r="S227" s="6" t="str">
        <f t="shared" si="43"/>
        <v>Jun</v>
      </c>
    </row>
    <row r="228" spans="1:19" x14ac:dyDescent="0.25">
      <c r="A228" s="6">
        <v>268</v>
      </c>
      <c r="B228" s="6" t="str">
        <f t="shared" si="33"/>
        <v>NIKBRA00268</v>
      </c>
      <c r="C228" s="7" t="s">
        <v>403</v>
      </c>
      <c r="D228" s="7" t="s">
        <v>404</v>
      </c>
      <c r="E228" s="7" t="str">
        <f t="shared" si="34"/>
        <v>BOBBY BHATNAGAR</v>
      </c>
      <c r="F228" s="7" t="s">
        <v>10</v>
      </c>
      <c r="G228" s="22">
        <v>44792</v>
      </c>
      <c r="H228" s="8">
        <v>84027</v>
      </c>
      <c r="I228" s="7" t="str">
        <f t="shared" si="35"/>
        <v>bobby.bhatnagar@br.bhr.ba</v>
      </c>
      <c r="J228" s="6" t="s">
        <v>1548</v>
      </c>
      <c r="K228" s="6">
        <v>51</v>
      </c>
      <c r="L228" s="7" t="str">
        <f t="shared" si="36"/>
        <v>br.bhr.ba</v>
      </c>
      <c r="M228" s="7" t="str">
        <f t="shared" si="37"/>
        <v>B.Bobby</v>
      </c>
      <c r="N228" s="6">
        <f t="shared" si="38"/>
        <v>0</v>
      </c>
      <c r="O228" s="6">
        <f t="shared" si="39"/>
        <v>0</v>
      </c>
      <c r="P228" s="6" t="str">
        <f t="shared" si="40"/>
        <v>N</v>
      </c>
      <c r="Q228" s="6">
        <f t="shared" si="41"/>
        <v>14</v>
      </c>
      <c r="R228" s="6" t="str">
        <f t="shared" si="42"/>
        <v>2022</v>
      </c>
      <c r="S228" s="6" t="str">
        <f t="shared" si="43"/>
        <v>Aug</v>
      </c>
    </row>
    <row r="229" spans="1:19" x14ac:dyDescent="0.25">
      <c r="A229" s="6">
        <v>269</v>
      </c>
      <c r="B229" s="6" t="str">
        <f t="shared" si="33"/>
        <v>NIKBRA00269</v>
      </c>
      <c r="C229" s="7" t="s">
        <v>405</v>
      </c>
      <c r="D229" s="7" t="s">
        <v>406</v>
      </c>
      <c r="E229" s="7" t="str">
        <f t="shared" si="34"/>
        <v>DEVASHISH YASHWANT</v>
      </c>
      <c r="F229" s="7" t="s">
        <v>10</v>
      </c>
      <c r="G229" s="22">
        <v>44792</v>
      </c>
      <c r="H229" s="8">
        <v>86743</v>
      </c>
      <c r="I229" s="7" t="str">
        <f t="shared" si="35"/>
        <v>devashish.yashwant@br.yat.ba</v>
      </c>
      <c r="J229" s="6" t="s">
        <v>1550</v>
      </c>
      <c r="K229" s="6">
        <v>56</v>
      </c>
      <c r="L229" s="7" t="str">
        <f t="shared" si="36"/>
        <v>br.yat.ba</v>
      </c>
      <c r="M229" s="7" t="str">
        <f t="shared" si="37"/>
        <v>Y.Devashish</v>
      </c>
      <c r="N229" s="6">
        <f t="shared" si="38"/>
        <v>2</v>
      </c>
      <c r="O229" s="6">
        <f t="shared" si="39"/>
        <v>0</v>
      </c>
      <c r="P229" s="6" t="str">
        <f t="shared" si="40"/>
        <v>N</v>
      </c>
      <c r="Q229" s="6">
        <f t="shared" si="41"/>
        <v>17</v>
      </c>
      <c r="R229" s="6" t="str">
        <f t="shared" si="42"/>
        <v>2022</v>
      </c>
      <c r="S229" s="6" t="str">
        <f t="shared" si="43"/>
        <v>Aug</v>
      </c>
    </row>
    <row r="230" spans="1:19" x14ac:dyDescent="0.25">
      <c r="A230" s="6">
        <v>271</v>
      </c>
      <c r="B230" s="6" t="str">
        <f t="shared" si="33"/>
        <v>NIKBRA00271</v>
      </c>
      <c r="C230" s="7" t="s">
        <v>409</v>
      </c>
      <c r="D230" s="7" t="s">
        <v>206</v>
      </c>
      <c r="E230" s="7" t="str">
        <f t="shared" si="34"/>
        <v>NISHCHAY SONI</v>
      </c>
      <c r="F230" s="7" t="s">
        <v>10</v>
      </c>
      <c r="G230" s="22">
        <v>44805</v>
      </c>
      <c r="H230" s="8">
        <v>83325</v>
      </c>
      <c r="I230" s="7" t="str">
        <f t="shared" si="35"/>
        <v>nishchay.soni@br.soi.ba</v>
      </c>
      <c r="J230" s="6" t="s">
        <v>1548</v>
      </c>
      <c r="K230" s="6">
        <v>48</v>
      </c>
      <c r="L230" s="7" t="str">
        <f t="shared" si="36"/>
        <v>br.soi.ba</v>
      </c>
      <c r="M230" s="7" t="str">
        <f t="shared" si="37"/>
        <v>S.Nishchay</v>
      </c>
      <c r="N230" s="6">
        <f t="shared" si="38"/>
        <v>0</v>
      </c>
      <c r="O230" s="6">
        <f t="shared" si="39"/>
        <v>0</v>
      </c>
      <c r="P230" s="6" t="str">
        <f t="shared" si="40"/>
        <v>N</v>
      </c>
      <c r="Q230" s="6">
        <f t="shared" si="41"/>
        <v>12</v>
      </c>
      <c r="R230" s="6" t="str">
        <f t="shared" si="42"/>
        <v>2022</v>
      </c>
      <c r="S230" s="6" t="str">
        <f t="shared" si="43"/>
        <v>Sep</v>
      </c>
    </row>
    <row r="231" spans="1:19" x14ac:dyDescent="0.25">
      <c r="A231" s="6">
        <v>288</v>
      </c>
      <c r="B231" s="6" t="str">
        <f t="shared" si="33"/>
        <v>NIKBRA00288</v>
      </c>
      <c r="C231" s="7" t="s">
        <v>429</v>
      </c>
      <c r="D231" s="7" t="s">
        <v>187</v>
      </c>
      <c r="E231" s="7" t="str">
        <f t="shared" si="34"/>
        <v>DARPAN ANAND</v>
      </c>
      <c r="F231" s="7" t="s">
        <v>10</v>
      </c>
      <c r="G231" s="22">
        <v>44910</v>
      </c>
      <c r="H231" s="8">
        <v>80834</v>
      </c>
      <c r="I231" s="7" t="str">
        <f t="shared" si="35"/>
        <v>darpan.anand@br.and.ba</v>
      </c>
      <c r="J231" s="6" t="s">
        <v>1532</v>
      </c>
      <c r="K231" s="6">
        <v>73</v>
      </c>
      <c r="L231" s="7" t="str">
        <f t="shared" si="36"/>
        <v>br.and.ba</v>
      </c>
      <c r="M231" s="7" t="str">
        <f t="shared" si="37"/>
        <v>A.Darpan</v>
      </c>
      <c r="N231" s="6">
        <f t="shared" si="38"/>
        <v>0</v>
      </c>
      <c r="O231" s="6">
        <f t="shared" si="39"/>
        <v>0</v>
      </c>
      <c r="P231" s="6" t="str">
        <f t="shared" si="40"/>
        <v>N</v>
      </c>
      <c r="Q231" s="6">
        <f t="shared" si="41"/>
        <v>11</v>
      </c>
      <c r="R231" s="6" t="str">
        <f t="shared" si="42"/>
        <v>2022</v>
      </c>
      <c r="S231" s="6" t="str">
        <f t="shared" si="43"/>
        <v>Dec</v>
      </c>
    </row>
    <row r="232" spans="1:19" x14ac:dyDescent="0.25">
      <c r="A232" s="6">
        <v>292</v>
      </c>
      <c r="B232" s="6" t="str">
        <f t="shared" si="33"/>
        <v>NIKBRA00292</v>
      </c>
      <c r="C232" s="7" t="s">
        <v>254</v>
      </c>
      <c r="D232" s="7" t="s">
        <v>48</v>
      </c>
      <c r="E232" s="7" t="str">
        <f t="shared" si="34"/>
        <v>SUHAS SANJAY</v>
      </c>
      <c r="F232" s="7" t="s">
        <v>10</v>
      </c>
      <c r="G232" s="22">
        <v>44928</v>
      </c>
      <c r="H232" s="8">
        <v>40976</v>
      </c>
      <c r="I232" s="7" t="str">
        <f t="shared" si="35"/>
        <v>suhas.sanjay@br.say.ba</v>
      </c>
      <c r="J232" s="6" t="s">
        <v>1535</v>
      </c>
      <c r="K232" s="6">
        <v>68</v>
      </c>
      <c r="L232" s="7" t="str">
        <f t="shared" si="36"/>
        <v>br.say.ba</v>
      </c>
      <c r="M232" s="7" t="str">
        <f t="shared" si="37"/>
        <v>S.Suhas</v>
      </c>
      <c r="N232" s="6">
        <f t="shared" si="38"/>
        <v>0</v>
      </c>
      <c r="O232" s="6">
        <f t="shared" si="39"/>
        <v>0</v>
      </c>
      <c r="P232" s="6" t="str">
        <f t="shared" si="40"/>
        <v>N</v>
      </c>
      <c r="Q232" s="6">
        <f t="shared" si="41"/>
        <v>11</v>
      </c>
      <c r="R232" s="6" t="str">
        <f t="shared" si="42"/>
        <v>2023</v>
      </c>
      <c r="S232" s="6" t="str">
        <f t="shared" si="43"/>
        <v>Jan</v>
      </c>
    </row>
    <row r="233" spans="1:19" x14ac:dyDescent="0.25">
      <c r="A233" s="6">
        <v>302</v>
      </c>
      <c r="B233" s="6" t="str">
        <f t="shared" si="33"/>
        <v>NIKBRA00302</v>
      </c>
      <c r="C233" s="7" t="s">
        <v>449</v>
      </c>
      <c r="D233" s="7" t="s">
        <v>450</v>
      </c>
      <c r="E233" s="7" t="str">
        <f t="shared" si="34"/>
        <v>ATUL VISHWAS</v>
      </c>
      <c r="F233" s="7" t="s">
        <v>10</v>
      </c>
      <c r="G233" s="22">
        <v>44958</v>
      </c>
      <c r="H233" s="8">
        <v>52680</v>
      </c>
      <c r="I233" s="7" t="str">
        <f t="shared" si="35"/>
        <v>atul.vishwas@br.vis.ba</v>
      </c>
      <c r="J233" s="6" t="s">
        <v>1543</v>
      </c>
      <c r="K233" s="6">
        <v>47</v>
      </c>
      <c r="L233" s="7" t="str">
        <f t="shared" si="36"/>
        <v>br.vis.ba</v>
      </c>
      <c r="M233" s="7" t="str">
        <f t="shared" si="37"/>
        <v>V.Atul</v>
      </c>
      <c r="N233" s="6">
        <f t="shared" si="38"/>
        <v>0</v>
      </c>
      <c r="O233" s="6">
        <f t="shared" si="39"/>
        <v>0</v>
      </c>
      <c r="P233" s="6" t="str">
        <f t="shared" si="40"/>
        <v>N</v>
      </c>
      <c r="Q233" s="6">
        <f t="shared" si="41"/>
        <v>11</v>
      </c>
      <c r="R233" s="6" t="str">
        <f t="shared" si="42"/>
        <v>2023</v>
      </c>
      <c r="S233" s="6" t="str">
        <f t="shared" si="43"/>
        <v>Feb</v>
      </c>
    </row>
    <row r="234" spans="1:19" x14ac:dyDescent="0.25">
      <c r="A234" s="6">
        <v>307</v>
      </c>
      <c r="B234" s="6" t="str">
        <f t="shared" si="33"/>
        <v>NIKBRA00307</v>
      </c>
      <c r="C234" s="7" t="s">
        <v>458</v>
      </c>
      <c r="D234" s="7" t="s">
        <v>459</v>
      </c>
      <c r="E234" s="7" t="str">
        <f t="shared" si="34"/>
        <v>DARWIN BHAIYYALAL</v>
      </c>
      <c r="F234" s="7" t="s">
        <v>10</v>
      </c>
      <c r="G234" s="22">
        <v>44986</v>
      </c>
      <c r="H234" s="8">
        <v>96403</v>
      </c>
      <c r="I234" s="7" t="str">
        <f t="shared" si="35"/>
        <v>darwin.bhaiyyalal@br.bhl.ba</v>
      </c>
      <c r="J234" s="6" t="s">
        <v>1540</v>
      </c>
      <c r="K234" s="6">
        <v>60</v>
      </c>
      <c r="L234" s="7" t="str">
        <f t="shared" si="36"/>
        <v>br.bhl.ba</v>
      </c>
      <c r="M234" s="7" t="str">
        <f t="shared" si="37"/>
        <v>B.Darwin</v>
      </c>
      <c r="N234" s="6">
        <f t="shared" si="38"/>
        <v>0</v>
      </c>
      <c r="O234" s="6">
        <f t="shared" si="39"/>
        <v>0</v>
      </c>
      <c r="P234" s="6" t="str">
        <f t="shared" si="40"/>
        <v>N</v>
      </c>
      <c r="Q234" s="6">
        <f t="shared" si="41"/>
        <v>16</v>
      </c>
      <c r="R234" s="6" t="str">
        <f t="shared" si="42"/>
        <v>2023</v>
      </c>
      <c r="S234" s="6" t="str">
        <f t="shared" si="43"/>
        <v>Mar</v>
      </c>
    </row>
    <row r="235" spans="1:19" x14ac:dyDescent="0.25">
      <c r="A235" s="6">
        <v>308</v>
      </c>
      <c r="B235" s="6" t="str">
        <f t="shared" si="33"/>
        <v>NIKBRA00308</v>
      </c>
      <c r="C235" s="7" t="s">
        <v>250</v>
      </c>
      <c r="D235" s="7" t="s">
        <v>388</v>
      </c>
      <c r="E235" s="7" t="str">
        <f t="shared" si="34"/>
        <v>TUSHAR CHOUHAN</v>
      </c>
      <c r="F235" s="7" t="s">
        <v>10</v>
      </c>
      <c r="G235" s="22">
        <v>44986</v>
      </c>
      <c r="H235" s="8">
        <v>88657</v>
      </c>
      <c r="I235" s="7" t="str">
        <f t="shared" si="35"/>
        <v>tushar.chouhan@br.chn.ba</v>
      </c>
      <c r="J235" s="6" t="s">
        <v>1550</v>
      </c>
      <c r="K235" s="6">
        <v>49</v>
      </c>
      <c r="L235" s="7" t="str">
        <f t="shared" si="36"/>
        <v>br.chn.ba</v>
      </c>
      <c r="M235" s="7" t="str">
        <f t="shared" si="37"/>
        <v>C.Tushar</v>
      </c>
      <c r="N235" s="6">
        <f t="shared" si="38"/>
        <v>0</v>
      </c>
      <c r="O235" s="6">
        <f t="shared" si="39"/>
        <v>0</v>
      </c>
      <c r="P235" s="6" t="str">
        <f t="shared" si="40"/>
        <v>N</v>
      </c>
      <c r="Q235" s="6">
        <f t="shared" si="41"/>
        <v>13</v>
      </c>
      <c r="R235" s="6" t="str">
        <f t="shared" si="42"/>
        <v>2023</v>
      </c>
      <c r="S235" s="6" t="str">
        <f t="shared" si="43"/>
        <v>Mar</v>
      </c>
    </row>
    <row r="236" spans="1:19" x14ac:dyDescent="0.25">
      <c r="A236" s="6">
        <v>315</v>
      </c>
      <c r="B236" s="6" t="str">
        <f t="shared" si="33"/>
        <v>NIKBRA00315</v>
      </c>
      <c r="C236" s="7" t="s">
        <v>166</v>
      </c>
      <c r="D236" s="7" t="s">
        <v>467</v>
      </c>
      <c r="E236" s="7" t="str">
        <f t="shared" si="34"/>
        <v>NEHA TANEJA</v>
      </c>
      <c r="F236" s="7" t="s">
        <v>10</v>
      </c>
      <c r="G236" s="22">
        <v>45036</v>
      </c>
      <c r="H236" s="8">
        <v>37365</v>
      </c>
      <c r="I236" s="7" t="str">
        <f t="shared" si="35"/>
        <v>neha.taneja@br.taa.ba</v>
      </c>
      <c r="J236" s="6" t="s">
        <v>1536</v>
      </c>
      <c r="K236" s="6">
        <v>85</v>
      </c>
      <c r="L236" s="7" t="str">
        <f t="shared" si="36"/>
        <v>br.taa.ba</v>
      </c>
      <c r="M236" s="7" t="str">
        <f t="shared" si="37"/>
        <v>T.Neha</v>
      </c>
      <c r="N236" s="6">
        <f t="shared" si="38"/>
        <v>2</v>
      </c>
      <c r="O236" s="6">
        <f t="shared" si="39"/>
        <v>4</v>
      </c>
      <c r="P236" s="6" t="str">
        <f t="shared" si="40"/>
        <v>Y</v>
      </c>
      <c r="Q236" s="6">
        <f t="shared" si="41"/>
        <v>10</v>
      </c>
      <c r="R236" s="6" t="str">
        <f t="shared" si="42"/>
        <v>2023</v>
      </c>
      <c r="S236" s="6" t="str">
        <f t="shared" si="43"/>
        <v>Apr</v>
      </c>
    </row>
    <row r="237" spans="1:19" x14ac:dyDescent="0.25">
      <c r="A237" s="6">
        <v>317</v>
      </c>
      <c r="B237" s="6" t="str">
        <f t="shared" si="33"/>
        <v>NIKBRA00317</v>
      </c>
      <c r="C237" s="7" t="s">
        <v>470</v>
      </c>
      <c r="D237" s="7" t="s">
        <v>471</v>
      </c>
      <c r="E237" s="7" t="str">
        <f t="shared" si="34"/>
        <v>KRINAL VINAYKANTBHAI</v>
      </c>
      <c r="F237" s="7" t="s">
        <v>10</v>
      </c>
      <c r="G237" s="22">
        <v>45047</v>
      </c>
      <c r="H237" s="8">
        <v>84871</v>
      </c>
      <c r="I237" s="7" t="str">
        <f t="shared" si="35"/>
        <v>krinal.vinaykantbhai@br.vii.ba</v>
      </c>
      <c r="J237" s="6" t="s">
        <v>1547</v>
      </c>
      <c r="K237" s="6">
        <v>38</v>
      </c>
      <c r="L237" s="7" t="str">
        <f t="shared" si="36"/>
        <v>br.vii.ba</v>
      </c>
      <c r="M237" s="7" t="str">
        <f t="shared" si="37"/>
        <v>V.Krinal</v>
      </c>
      <c r="N237" s="6">
        <f t="shared" si="38"/>
        <v>0</v>
      </c>
      <c r="O237" s="6">
        <f t="shared" si="39"/>
        <v>0</v>
      </c>
      <c r="P237" s="6" t="str">
        <f t="shared" si="40"/>
        <v>N</v>
      </c>
      <c r="Q237" s="6">
        <f t="shared" si="41"/>
        <v>19</v>
      </c>
      <c r="R237" s="6" t="str">
        <f t="shared" si="42"/>
        <v>2023</v>
      </c>
      <c r="S237" s="6" t="str">
        <f t="shared" si="43"/>
        <v>May</v>
      </c>
    </row>
    <row r="238" spans="1:19" x14ac:dyDescent="0.25">
      <c r="A238" s="6">
        <v>323</v>
      </c>
      <c r="B238" s="6" t="str">
        <f t="shared" si="33"/>
        <v>NIKBRA00323</v>
      </c>
      <c r="C238" s="7" t="s">
        <v>479</v>
      </c>
      <c r="D238" s="7" t="s">
        <v>55</v>
      </c>
      <c r="E238" s="7" t="str">
        <f t="shared" si="34"/>
        <v>KRITI SHARMA</v>
      </c>
      <c r="F238" s="7" t="s">
        <v>10</v>
      </c>
      <c r="G238" s="22">
        <v>45078</v>
      </c>
      <c r="H238" s="8">
        <v>94738</v>
      </c>
      <c r="I238" s="7" t="str">
        <f t="shared" si="35"/>
        <v>kriti.sharma@br.sha.ba</v>
      </c>
      <c r="J238" s="6" t="s">
        <v>1536</v>
      </c>
      <c r="K238" s="6">
        <v>75</v>
      </c>
      <c r="L238" s="7" t="str">
        <f t="shared" si="36"/>
        <v>br.sha.ba</v>
      </c>
      <c r="M238" s="7" t="str">
        <f t="shared" si="37"/>
        <v>S.Kriti</v>
      </c>
      <c r="N238" s="6">
        <f t="shared" si="38"/>
        <v>0</v>
      </c>
      <c r="O238" s="6">
        <f t="shared" si="39"/>
        <v>0</v>
      </c>
      <c r="P238" s="6" t="str">
        <f t="shared" si="40"/>
        <v>N</v>
      </c>
      <c r="Q238" s="6">
        <f t="shared" si="41"/>
        <v>11</v>
      </c>
      <c r="R238" s="6" t="str">
        <f t="shared" si="42"/>
        <v>2023</v>
      </c>
      <c r="S238" s="6" t="str">
        <f t="shared" si="43"/>
        <v>Jun</v>
      </c>
    </row>
    <row r="239" spans="1:19" x14ac:dyDescent="0.25">
      <c r="A239" s="6">
        <v>345</v>
      </c>
      <c r="B239" s="6" t="str">
        <f t="shared" si="33"/>
        <v>NIKBRA00345</v>
      </c>
      <c r="C239" s="7" t="s">
        <v>508</v>
      </c>
      <c r="D239" s="7" t="s">
        <v>179</v>
      </c>
      <c r="E239" s="7" t="str">
        <f t="shared" si="34"/>
        <v>KIRTI GUPTA</v>
      </c>
      <c r="F239" s="7" t="s">
        <v>10</v>
      </c>
      <c r="G239" s="22">
        <v>45145</v>
      </c>
      <c r="H239" s="8">
        <v>71672</v>
      </c>
      <c r="I239" s="7" t="str">
        <f t="shared" si="35"/>
        <v>kirti.gupta@br.gua.ba</v>
      </c>
      <c r="J239" s="6" t="s">
        <v>1535</v>
      </c>
      <c r="K239" s="6">
        <v>45</v>
      </c>
      <c r="L239" s="7" t="str">
        <f t="shared" si="36"/>
        <v>br.gua.ba</v>
      </c>
      <c r="M239" s="7" t="str">
        <f t="shared" si="37"/>
        <v>G.Kirti</v>
      </c>
      <c r="N239" s="6">
        <f t="shared" si="38"/>
        <v>0</v>
      </c>
      <c r="O239" s="6">
        <f t="shared" si="39"/>
        <v>0</v>
      </c>
      <c r="P239" s="6" t="str">
        <f t="shared" si="40"/>
        <v>N</v>
      </c>
      <c r="Q239" s="6">
        <f t="shared" si="41"/>
        <v>10</v>
      </c>
      <c r="R239" s="6" t="str">
        <f t="shared" si="42"/>
        <v>2023</v>
      </c>
      <c r="S239" s="6" t="str">
        <f t="shared" si="43"/>
        <v>Aug</v>
      </c>
    </row>
    <row r="240" spans="1:19" x14ac:dyDescent="0.25">
      <c r="A240" s="6">
        <v>366</v>
      </c>
      <c r="B240" s="6" t="str">
        <f t="shared" si="33"/>
        <v>NIKBRA00366</v>
      </c>
      <c r="C240" s="7" t="s">
        <v>532</v>
      </c>
      <c r="D240" s="7" t="s">
        <v>533</v>
      </c>
      <c r="E240" s="7" t="str">
        <f t="shared" si="34"/>
        <v>KALP RAVAL</v>
      </c>
      <c r="F240" s="7" t="s">
        <v>10</v>
      </c>
      <c r="G240" s="22">
        <v>45293</v>
      </c>
      <c r="H240" s="8">
        <v>104113</v>
      </c>
      <c r="I240" s="7" t="str">
        <f t="shared" si="35"/>
        <v>kalp.raval@br.ral.ba</v>
      </c>
      <c r="J240" s="6" t="s">
        <v>1547</v>
      </c>
      <c r="K240" s="6">
        <v>79</v>
      </c>
      <c r="L240" s="7" t="str">
        <f t="shared" si="36"/>
        <v>br.ral.ba</v>
      </c>
      <c r="M240" s="7" t="str">
        <f t="shared" si="37"/>
        <v>R.Kalp</v>
      </c>
      <c r="N240" s="6">
        <f t="shared" si="38"/>
        <v>0</v>
      </c>
      <c r="O240" s="6">
        <f t="shared" si="39"/>
        <v>0</v>
      </c>
      <c r="P240" s="6" t="str">
        <f t="shared" si="40"/>
        <v>N</v>
      </c>
      <c r="Q240" s="6">
        <f t="shared" si="41"/>
        <v>9</v>
      </c>
      <c r="R240" s="6" t="str">
        <f t="shared" si="42"/>
        <v>2024</v>
      </c>
      <c r="S240" s="6" t="str">
        <f t="shared" si="43"/>
        <v>Jan</v>
      </c>
    </row>
    <row r="241" spans="1:19" x14ac:dyDescent="0.25">
      <c r="A241" s="6">
        <v>367</v>
      </c>
      <c r="B241" s="6" t="str">
        <f t="shared" si="33"/>
        <v>NIKBRA00367</v>
      </c>
      <c r="C241" s="7" t="s">
        <v>534</v>
      </c>
      <c r="D241" s="7" t="s">
        <v>535</v>
      </c>
      <c r="E241" s="7" t="str">
        <f t="shared" si="34"/>
        <v>RUSHIKESH ROHIDAS</v>
      </c>
      <c r="F241" s="7" t="s">
        <v>10</v>
      </c>
      <c r="G241" s="22">
        <v>45293</v>
      </c>
      <c r="H241" s="8">
        <v>73389</v>
      </c>
      <c r="I241" s="7" t="str">
        <f t="shared" si="35"/>
        <v>rushikesh.rohidas@br.ros.ba</v>
      </c>
      <c r="J241" s="6" t="s">
        <v>1542</v>
      </c>
      <c r="K241" s="6">
        <v>47</v>
      </c>
      <c r="L241" s="7" t="str">
        <f t="shared" si="36"/>
        <v>br.ros.ba</v>
      </c>
      <c r="M241" s="7" t="str">
        <f t="shared" si="37"/>
        <v>R.Rushikesh</v>
      </c>
      <c r="N241" s="6">
        <f t="shared" si="38"/>
        <v>7</v>
      </c>
      <c r="O241" s="6">
        <f t="shared" si="39"/>
        <v>0</v>
      </c>
      <c r="P241" s="6" t="str">
        <f t="shared" si="40"/>
        <v>N</v>
      </c>
      <c r="Q241" s="6">
        <f t="shared" si="41"/>
        <v>16</v>
      </c>
      <c r="R241" s="6" t="str">
        <f t="shared" si="42"/>
        <v>2024</v>
      </c>
      <c r="S241" s="6" t="str">
        <f t="shared" si="43"/>
        <v>Jan</v>
      </c>
    </row>
    <row r="242" spans="1:19" x14ac:dyDescent="0.25">
      <c r="A242" s="6">
        <v>370</v>
      </c>
      <c r="B242" s="6" t="str">
        <f t="shared" si="33"/>
        <v>NIKBRA00370</v>
      </c>
      <c r="C242" s="7" t="s">
        <v>538</v>
      </c>
      <c r="D242" s="7" t="s">
        <v>539</v>
      </c>
      <c r="E242" s="7" t="str">
        <f t="shared" si="34"/>
        <v>SHIVANGI TOMAR</v>
      </c>
      <c r="F242" s="7" t="s">
        <v>10</v>
      </c>
      <c r="G242" s="22">
        <v>45307</v>
      </c>
      <c r="H242" s="8">
        <v>32986</v>
      </c>
      <c r="I242" s="7" t="str">
        <f t="shared" si="35"/>
        <v>shivangi.tomar@br.tor.ba</v>
      </c>
      <c r="J242" s="6" t="s">
        <v>1550</v>
      </c>
      <c r="K242" s="6">
        <v>37</v>
      </c>
      <c r="L242" s="7" t="str">
        <f t="shared" si="36"/>
        <v>br.tor.ba</v>
      </c>
      <c r="M242" s="7" t="str">
        <f t="shared" si="37"/>
        <v>T.Shivangi</v>
      </c>
      <c r="N242" s="6">
        <f t="shared" si="38"/>
        <v>0</v>
      </c>
      <c r="O242" s="6">
        <f t="shared" si="39"/>
        <v>0</v>
      </c>
      <c r="P242" s="6" t="str">
        <f t="shared" si="40"/>
        <v>N</v>
      </c>
      <c r="Q242" s="6">
        <f t="shared" si="41"/>
        <v>13</v>
      </c>
      <c r="R242" s="6" t="str">
        <f t="shared" si="42"/>
        <v>2024</v>
      </c>
      <c r="S242" s="6" t="str">
        <f t="shared" si="43"/>
        <v>Jan</v>
      </c>
    </row>
    <row r="243" spans="1:19" x14ac:dyDescent="0.25">
      <c r="A243" s="6">
        <v>385</v>
      </c>
      <c r="B243" s="6" t="str">
        <f t="shared" si="33"/>
        <v>NIKBRA00385</v>
      </c>
      <c r="C243" s="7" t="s">
        <v>159</v>
      </c>
      <c r="D243" s="7" t="s">
        <v>557</v>
      </c>
      <c r="E243" s="7" t="str">
        <f t="shared" si="34"/>
        <v>PANKAJ DUBEY</v>
      </c>
      <c r="F243" s="7" t="s">
        <v>10</v>
      </c>
      <c r="G243" s="22">
        <v>45383</v>
      </c>
      <c r="H243" s="8">
        <v>104633</v>
      </c>
      <c r="I243" s="7" t="str">
        <f t="shared" si="35"/>
        <v>pankaj.dubey@br.duy.ba</v>
      </c>
      <c r="J243" s="6" t="s">
        <v>1538</v>
      </c>
      <c r="K243" s="6">
        <v>52</v>
      </c>
      <c r="L243" s="7" t="str">
        <f t="shared" si="36"/>
        <v>br.duy.ba</v>
      </c>
      <c r="M243" s="7" t="str">
        <f t="shared" si="37"/>
        <v>D.Pankaj</v>
      </c>
      <c r="N243" s="6">
        <f t="shared" si="38"/>
        <v>0</v>
      </c>
      <c r="O243" s="6">
        <f t="shared" si="39"/>
        <v>4</v>
      </c>
      <c r="P243" s="6" t="str">
        <f t="shared" si="40"/>
        <v>N</v>
      </c>
      <c r="Q243" s="6">
        <f t="shared" si="41"/>
        <v>11</v>
      </c>
      <c r="R243" s="6" t="str">
        <f t="shared" si="42"/>
        <v>2024</v>
      </c>
      <c r="S243" s="6" t="str">
        <f t="shared" si="43"/>
        <v>Apr</v>
      </c>
    </row>
    <row r="244" spans="1:19" x14ac:dyDescent="0.25">
      <c r="A244" s="6">
        <v>398</v>
      </c>
      <c r="B244" s="6" t="str">
        <f t="shared" si="33"/>
        <v>NIKBRA00398</v>
      </c>
      <c r="C244" s="7" t="s">
        <v>355</v>
      </c>
      <c r="D244" s="7" t="s">
        <v>334</v>
      </c>
      <c r="E244" s="7" t="str">
        <f t="shared" si="34"/>
        <v>SONALI PUROHIT</v>
      </c>
      <c r="F244" s="7" t="s">
        <v>10</v>
      </c>
      <c r="G244" s="22">
        <v>45413</v>
      </c>
      <c r="H244" s="8">
        <v>50622</v>
      </c>
      <c r="I244" s="7" t="str">
        <f t="shared" si="35"/>
        <v>sonali.purohit@br.put.ba</v>
      </c>
      <c r="J244" s="6" t="s">
        <v>1536</v>
      </c>
      <c r="K244" s="6">
        <v>78</v>
      </c>
      <c r="L244" s="7" t="str">
        <f t="shared" si="36"/>
        <v>br.put.ba</v>
      </c>
      <c r="M244" s="7" t="str">
        <f t="shared" si="37"/>
        <v>P.Sonali</v>
      </c>
      <c r="N244" s="6">
        <f t="shared" si="38"/>
        <v>0</v>
      </c>
      <c r="O244" s="6">
        <f t="shared" si="39"/>
        <v>0</v>
      </c>
      <c r="P244" s="6" t="str">
        <f t="shared" si="40"/>
        <v>N</v>
      </c>
      <c r="Q244" s="6">
        <f t="shared" si="41"/>
        <v>13</v>
      </c>
      <c r="R244" s="6" t="str">
        <f t="shared" si="42"/>
        <v>2024</v>
      </c>
      <c r="S244" s="6" t="str">
        <f t="shared" si="43"/>
        <v>May</v>
      </c>
    </row>
    <row r="245" spans="1:19" x14ac:dyDescent="0.25">
      <c r="A245" s="6">
        <v>403</v>
      </c>
      <c r="B245" s="6" t="str">
        <f t="shared" si="33"/>
        <v>NIKBRA00403</v>
      </c>
      <c r="C245" s="7" t="s">
        <v>309</v>
      </c>
      <c r="D245" s="7" t="s">
        <v>68</v>
      </c>
      <c r="E245" s="7" t="str">
        <f t="shared" si="34"/>
        <v>SUMIT KUMAR</v>
      </c>
      <c r="F245" s="7" t="s">
        <v>10</v>
      </c>
      <c r="G245" s="22">
        <v>45425</v>
      </c>
      <c r="H245" s="8">
        <v>74931</v>
      </c>
      <c r="I245" s="7" t="str">
        <f t="shared" si="35"/>
        <v>sumit.kumar@br.kur.ba</v>
      </c>
      <c r="J245" s="6" t="s">
        <v>1536</v>
      </c>
      <c r="K245" s="6">
        <v>56</v>
      </c>
      <c r="L245" s="7" t="str">
        <f t="shared" si="36"/>
        <v>br.kur.ba</v>
      </c>
      <c r="M245" s="7" t="str">
        <f t="shared" si="37"/>
        <v>K.Sumit</v>
      </c>
      <c r="N245" s="6">
        <f t="shared" si="38"/>
        <v>0</v>
      </c>
      <c r="O245" s="6">
        <f t="shared" si="39"/>
        <v>0</v>
      </c>
      <c r="P245" s="6" t="str">
        <f t="shared" si="40"/>
        <v>N</v>
      </c>
      <c r="Q245" s="6">
        <f t="shared" si="41"/>
        <v>10</v>
      </c>
      <c r="R245" s="6" t="str">
        <f t="shared" si="42"/>
        <v>2024</v>
      </c>
      <c r="S245" s="6" t="str">
        <f t="shared" si="43"/>
        <v>May</v>
      </c>
    </row>
    <row r="246" spans="1:19" x14ac:dyDescent="0.25">
      <c r="A246" s="6">
        <v>404</v>
      </c>
      <c r="B246" s="6" t="str">
        <f t="shared" si="33"/>
        <v>NIKBRA00404</v>
      </c>
      <c r="C246" s="7" t="s">
        <v>578</v>
      </c>
      <c r="D246" s="7" t="s">
        <v>579</v>
      </c>
      <c r="E246" s="7" t="str">
        <f t="shared" si="34"/>
        <v>AISHWARYA MAHOR</v>
      </c>
      <c r="F246" s="7" t="s">
        <v>10</v>
      </c>
      <c r="G246" s="22">
        <v>45425</v>
      </c>
      <c r="H246" s="8">
        <v>106250</v>
      </c>
      <c r="I246" s="7" t="str">
        <f t="shared" si="35"/>
        <v>aishwarya.mahor@br.mar.ba</v>
      </c>
      <c r="J246" s="6" t="s">
        <v>1534</v>
      </c>
      <c r="K246" s="6">
        <v>81</v>
      </c>
      <c r="L246" s="7" t="str">
        <f t="shared" si="36"/>
        <v>br.mar.ba</v>
      </c>
      <c r="M246" s="7" t="str">
        <f t="shared" si="37"/>
        <v>M.Aishwarya</v>
      </c>
      <c r="N246" s="6">
        <f t="shared" si="38"/>
        <v>0</v>
      </c>
      <c r="O246" s="6">
        <f t="shared" si="39"/>
        <v>0</v>
      </c>
      <c r="P246" s="6" t="str">
        <f t="shared" si="40"/>
        <v>N</v>
      </c>
      <c r="Q246" s="6">
        <f t="shared" si="41"/>
        <v>14</v>
      </c>
      <c r="R246" s="6" t="str">
        <f t="shared" si="42"/>
        <v>2024</v>
      </c>
      <c r="S246" s="6" t="str">
        <f t="shared" si="43"/>
        <v>May</v>
      </c>
    </row>
    <row r="247" spans="1:19" x14ac:dyDescent="0.25">
      <c r="A247" s="6">
        <v>410</v>
      </c>
      <c r="B247" s="6" t="str">
        <f t="shared" si="33"/>
        <v>NIKBRA00410</v>
      </c>
      <c r="C247" s="7" t="s">
        <v>587</v>
      </c>
      <c r="D247" s="7" t="s">
        <v>55</v>
      </c>
      <c r="E247" s="7" t="str">
        <f t="shared" si="34"/>
        <v>NISHU SHARMA</v>
      </c>
      <c r="F247" s="7" t="s">
        <v>10</v>
      </c>
      <c r="G247" s="22">
        <v>45460</v>
      </c>
      <c r="H247" s="8">
        <v>35817</v>
      </c>
      <c r="I247" s="7" t="str">
        <f t="shared" si="35"/>
        <v>nishu.sharma@br.sha.ba</v>
      </c>
      <c r="J247" s="6" t="s">
        <v>1537</v>
      </c>
      <c r="K247" s="6">
        <v>39</v>
      </c>
      <c r="L247" s="7" t="str">
        <f t="shared" si="36"/>
        <v>br.sha.ba</v>
      </c>
      <c r="M247" s="7" t="str">
        <f t="shared" si="37"/>
        <v>S.Nishu</v>
      </c>
      <c r="N247" s="6">
        <f t="shared" si="38"/>
        <v>0</v>
      </c>
      <c r="O247" s="6">
        <f t="shared" si="39"/>
        <v>0</v>
      </c>
      <c r="P247" s="6" t="str">
        <f t="shared" si="40"/>
        <v>N</v>
      </c>
      <c r="Q247" s="6">
        <f t="shared" si="41"/>
        <v>11</v>
      </c>
      <c r="R247" s="6" t="str">
        <f t="shared" si="42"/>
        <v>2024</v>
      </c>
      <c r="S247" s="6" t="str">
        <f t="shared" si="43"/>
        <v>Jun</v>
      </c>
    </row>
    <row r="248" spans="1:19" x14ac:dyDescent="0.25">
      <c r="A248" s="6">
        <v>414</v>
      </c>
      <c r="B248" s="6" t="str">
        <f t="shared" si="33"/>
        <v>NIKBRA00414</v>
      </c>
      <c r="C248" s="7" t="s">
        <v>592</v>
      </c>
      <c r="D248" s="7" t="s">
        <v>514</v>
      </c>
      <c r="E248" s="7" t="str">
        <f t="shared" si="34"/>
        <v>DHWANI DAVE</v>
      </c>
      <c r="F248" s="7" t="s">
        <v>10</v>
      </c>
      <c r="G248" s="22">
        <v>45474</v>
      </c>
      <c r="H248" s="8">
        <v>95778</v>
      </c>
      <c r="I248" s="7" t="str">
        <f t="shared" si="35"/>
        <v>dhwani.dave@br.dae.ba</v>
      </c>
      <c r="J248" s="6" t="s">
        <v>1546</v>
      </c>
      <c r="K248" s="6">
        <v>64</v>
      </c>
      <c r="L248" s="7" t="str">
        <f t="shared" si="36"/>
        <v>br.dae.ba</v>
      </c>
      <c r="M248" s="7" t="str">
        <f t="shared" si="37"/>
        <v>D.Dhwani</v>
      </c>
      <c r="N248" s="6">
        <f t="shared" si="38"/>
        <v>0</v>
      </c>
      <c r="O248" s="6">
        <f t="shared" si="39"/>
        <v>4</v>
      </c>
      <c r="P248" s="6" t="str">
        <f t="shared" si="40"/>
        <v>N</v>
      </c>
      <c r="Q248" s="6">
        <f t="shared" si="41"/>
        <v>10</v>
      </c>
      <c r="R248" s="6" t="str">
        <f t="shared" si="42"/>
        <v>2024</v>
      </c>
      <c r="S248" s="6" t="str">
        <f t="shared" si="43"/>
        <v>Jul</v>
      </c>
    </row>
    <row r="249" spans="1:19" x14ac:dyDescent="0.25">
      <c r="A249" s="6">
        <v>420</v>
      </c>
      <c r="B249" s="6" t="str">
        <f t="shared" si="33"/>
        <v>NIKBRA00420</v>
      </c>
      <c r="C249" s="7" t="s">
        <v>598</v>
      </c>
      <c r="D249" s="7" t="s">
        <v>100</v>
      </c>
      <c r="E249" s="7" t="str">
        <f t="shared" si="34"/>
        <v>VISHAKHA THAKUR</v>
      </c>
      <c r="F249" s="7" t="s">
        <v>10</v>
      </c>
      <c r="G249" s="22">
        <v>45483</v>
      </c>
      <c r="H249" s="8">
        <v>55886</v>
      </c>
      <c r="I249" s="7" t="str">
        <f t="shared" si="35"/>
        <v>vishakha.thakur@br.thr.ba</v>
      </c>
      <c r="J249" s="6" t="s">
        <v>1543</v>
      </c>
      <c r="K249" s="6">
        <v>53</v>
      </c>
      <c r="L249" s="7" t="str">
        <f t="shared" si="36"/>
        <v>br.thr.ba</v>
      </c>
      <c r="M249" s="7" t="str">
        <f t="shared" si="37"/>
        <v>T.Vishakha</v>
      </c>
      <c r="N249" s="6">
        <f t="shared" si="38"/>
        <v>0</v>
      </c>
      <c r="O249" s="6">
        <f t="shared" si="39"/>
        <v>0</v>
      </c>
      <c r="P249" s="6" t="str">
        <f t="shared" si="40"/>
        <v>N</v>
      </c>
      <c r="Q249" s="6">
        <f t="shared" si="41"/>
        <v>14</v>
      </c>
      <c r="R249" s="6" t="str">
        <f t="shared" si="42"/>
        <v>2024</v>
      </c>
      <c r="S249" s="6" t="str">
        <f t="shared" si="43"/>
        <v>Jul</v>
      </c>
    </row>
    <row r="250" spans="1:19" x14ac:dyDescent="0.25">
      <c r="A250" s="6">
        <v>421</v>
      </c>
      <c r="B250" s="6" t="str">
        <f t="shared" si="33"/>
        <v>NIKBRA00421</v>
      </c>
      <c r="C250" s="7" t="s">
        <v>34</v>
      </c>
      <c r="D250" s="7" t="s">
        <v>168</v>
      </c>
      <c r="E250" s="7" t="str">
        <f t="shared" si="34"/>
        <v>ARPIT TIWARI</v>
      </c>
      <c r="F250" s="7" t="s">
        <v>10</v>
      </c>
      <c r="G250" s="22">
        <v>45483</v>
      </c>
      <c r="H250" s="8">
        <v>106986</v>
      </c>
      <c r="I250" s="7" t="str">
        <f t="shared" si="35"/>
        <v>arpit.tiwari@br.tii.ba</v>
      </c>
      <c r="J250" s="6" t="s">
        <v>1545</v>
      </c>
      <c r="K250" s="6">
        <v>42</v>
      </c>
      <c r="L250" s="7" t="str">
        <f t="shared" si="36"/>
        <v>br.tii.ba</v>
      </c>
      <c r="M250" s="7" t="str">
        <f t="shared" si="37"/>
        <v>T.Arpit</v>
      </c>
      <c r="N250" s="6">
        <f t="shared" si="38"/>
        <v>0</v>
      </c>
      <c r="O250" s="6">
        <f t="shared" si="39"/>
        <v>0</v>
      </c>
      <c r="P250" s="6" t="str">
        <f t="shared" si="40"/>
        <v>N</v>
      </c>
      <c r="Q250" s="6">
        <f t="shared" si="41"/>
        <v>11</v>
      </c>
      <c r="R250" s="6" t="str">
        <f t="shared" si="42"/>
        <v>2024</v>
      </c>
      <c r="S250" s="6" t="str">
        <f t="shared" si="43"/>
        <v>Jul</v>
      </c>
    </row>
    <row r="251" spans="1:19" x14ac:dyDescent="0.25">
      <c r="A251" s="6">
        <v>425</v>
      </c>
      <c r="B251" s="6" t="str">
        <f t="shared" si="33"/>
        <v>NIKBRA00425</v>
      </c>
      <c r="C251" s="7" t="s">
        <v>603</v>
      </c>
      <c r="D251" s="7" t="s">
        <v>167</v>
      </c>
      <c r="E251" s="7" t="str">
        <f t="shared" si="34"/>
        <v>ALISHA ARORA</v>
      </c>
      <c r="F251" s="7" t="s">
        <v>10</v>
      </c>
      <c r="G251" s="22">
        <v>45505</v>
      </c>
      <c r="H251" s="8">
        <v>70595</v>
      </c>
      <c r="I251" s="7" t="str">
        <f t="shared" si="35"/>
        <v>alisha.arora@br.ara.ba</v>
      </c>
      <c r="J251" s="6" t="s">
        <v>1539</v>
      </c>
      <c r="K251" s="6">
        <v>50</v>
      </c>
      <c r="L251" s="7" t="str">
        <f t="shared" si="36"/>
        <v>br.ara.ba</v>
      </c>
      <c r="M251" s="7" t="str">
        <f t="shared" si="37"/>
        <v>A.Alisha</v>
      </c>
      <c r="N251" s="6">
        <f t="shared" si="38"/>
        <v>0</v>
      </c>
      <c r="O251" s="6">
        <f t="shared" si="39"/>
        <v>0</v>
      </c>
      <c r="P251" s="6" t="str">
        <f t="shared" si="40"/>
        <v>N</v>
      </c>
      <c r="Q251" s="6">
        <f t="shared" si="41"/>
        <v>11</v>
      </c>
      <c r="R251" s="6" t="str">
        <f t="shared" si="42"/>
        <v>2024</v>
      </c>
      <c r="S251" s="6" t="str">
        <f t="shared" si="43"/>
        <v>Aug</v>
      </c>
    </row>
    <row r="252" spans="1:19" x14ac:dyDescent="0.25">
      <c r="A252" s="6">
        <v>433</v>
      </c>
      <c r="B252" s="6" t="str">
        <f t="shared" si="33"/>
        <v>NIKBRA00433</v>
      </c>
      <c r="C252" s="7" t="s">
        <v>188</v>
      </c>
      <c r="D252" s="7" t="s">
        <v>610</v>
      </c>
      <c r="E252" s="7" t="str">
        <f t="shared" si="34"/>
        <v>JAY MAHENDRAKUMAR</v>
      </c>
      <c r="F252" s="7" t="s">
        <v>10</v>
      </c>
      <c r="G252" s="22">
        <v>45518</v>
      </c>
      <c r="H252" s="8">
        <v>31389</v>
      </c>
      <c r="I252" s="7" t="str">
        <f t="shared" si="35"/>
        <v>jay.mahendrakumar@br.mar.ba</v>
      </c>
      <c r="J252" s="6" t="s">
        <v>1546</v>
      </c>
      <c r="K252" s="6">
        <v>83</v>
      </c>
      <c r="L252" s="7" t="str">
        <f t="shared" si="36"/>
        <v>br.mar.ba</v>
      </c>
      <c r="M252" s="7" t="str">
        <f t="shared" si="37"/>
        <v>M.Jay</v>
      </c>
      <c r="N252" s="6">
        <f t="shared" si="38"/>
        <v>0</v>
      </c>
      <c r="O252" s="6">
        <f t="shared" si="39"/>
        <v>4</v>
      </c>
      <c r="P252" s="6" t="str">
        <f t="shared" si="40"/>
        <v>N</v>
      </c>
      <c r="Q252" s="6">
        <f t="shared" si="41"/>
        <v>16</v>
      </c>
      <c r="R252" s="6" t="str">
        <f t="shared" si="42"/>
        <v>2024</v>
      </c>
      <c r="S252" s="6" t="str">
        <f t="shared" si="43"/>
        <v>Aug</v>
      </c>
    </row>
    <row r="253" spans="1:19" x14ac:dyDescent="0.25">
      <c r="A253" s="6">
        <v>451</v>
      </c>
      <c r="B253" s="6" t="str">
        <f t="shared" si="33"/>
        <v>NIKBRA00451</v>
      </c>
      <c r="C253" s="7" t="s">
        <v>119</v>
      </c>
      <c r="D253" s="7" t="s">
        <v>613</v>
      </c>
      <c r="E253" s="7" t="str">
        <f t="shared" si="34"/>
        <v>VIDHI VINIT</v>
      </c>
      <c r="F253" s="7" t="s">
        <v>10</v>
      </c>
      <c r="G253" s="22">
        <v>45568</v>
      </c>
      <c r="H253" s="8">
        <v>75407</v>
      </c>
      <c r="I253" s="7" t="str">
        <f t="shared" si="35"/>
        <v>vidhi.vinit@br.vit.ba</v>
      </c>
      <c r="J253" s="6" t="s">
        <v>1536</v>
      </c>
      <c r="K253" s="6">
        <v>56</v>
      </c>
      <c r="L253" s="7" t="str">
        <f t="shared" si="36"/>
        <v>br.vit.ba</v>
      </c>
      <c r="M253" s="7" t="str">
        <f t="shared" si="37"/>
        <v>V.Vidhi</v>
      </c>
      <c r="N253" s="6">
        <f t="shared" si="38"/>
        <v>0</v>
      </c>
      <c r="O253" s="6">
        <f t="shared" si="39"/>
        <v>0</v>
      </c>
      <c r="P253" s="6" t="str">
        <f t="shared" si="40"/>
        <v>N</v>
      </c>
      <c r="Q253" s="6">
        <f t="shared" si="41"/>
        <v>10</v>
      </c>
      <c r="R253" s="6" t="str">
        <f t="shared" si="42"/>
        <v>2024</v>
      </c>
      <c r="S253" s="6" t="str">
        <f t="shared" si="43"/>
        <v>Oct</v>
      </c>
    </row>
    <row r="254" spans="1:19" x14ac:dyDescent="0.25">
      <c r="A254" s="6">
        <v>477</v>
      </c>
      <c r="B254" s="6" t="str">
        <f t="shared" si="33"/>
        <v>NIKBRA00477</v>
      </c>
      <c r="C254" s="7" t="s">
        <v>286</v>
      </c>
      <c r="D254" s="7" t="s">
        <v>55</v>
      </c>
      <c r="E254" s="7" t="str">
        <f t="shared" si="34"/>
        <v>KAPIL SHARMA</v>
      </c>
      <c r="F254" s="7" t="s">
        <v>10</v>
      </c>
      <c r="G254" s="22">
        <v>45642</v>
      </c>
      <c r="H254" s="8">
        <v>60958</v>
      </c>
      <c r="I254" s="7" t="str">
        <f t="shared" si="35"/>
        <v>kapil.sharma@br.sha.ba</v>
      </c>
      <c r="J254" s="6" t="s">
        <v>1550</v>
      </c>
      <c r="K254" s="6">
        <v>56</v>
      </c>
      <c r="L254" s="7" t="str">
        <f t="shared" si="36"/>
        <v>br.sha.ba</v>
      </c>
      <c r="M254" s="7" t="str">
        <f t="shared" si="37"/>
        <v>S.Kapil</v>
      </c>
      <c r="N254" s="6">
        <f t="shared" si="38"/>
        <v>0</v>
      </c>
      <c r="O254" s="6">
        <f t="shared" si="39"/>
        <v>0</v>
      </c>
      <c r="P254" s="6" t="str">
        <f t="shared" si="40"/>
        <v>N</v>
      </c>
      <c r="Q254" s="6">
        <f t="shared" si="41"/>
        <v>11</v>
      </c>
      <c r="R254" s="6" t="str">
        <f t="shared" si="42"/>
        <v>2024</v>
      </c>
      <c r="S254" s="6" t="str">
        <f t="shared" si="43"/>
        <v>Dec</v>
      </c>
    </row>
    <row r="255" spans="1:19" x14ac:dyDescent="0.25">
      <c r="A255" s="6">
        <v>482</v>
      </c>
      <c r="B255" s="6" t="str">
        <f t="shared" si="33"/>
        <v>NIKBRA00482</v>
      </c>
      <c r="C255" s="7" t="s">
        <v>24</v>
      </c>
      <c r="D255" s="7" t="s">
        <v>667</v>
      </c>
      <c r="E255" s="7" t="str">
        <f t="shared" si="34"/>
        <v>RAVI VAISHNAV</v>
      </c>
      <c r="F255" s="7" t="s">
        <v>10</v>
      </c>
      <c r="G255" s="22">
        <v>42415</v>
      </c>
      <c r="H255" s="8">
        <v>61123</v>
      </c>
      <c r="I255" s="7" t="str">
        <f t="shared" si="35"/>
        <v>ravi.vaishnav@br.vav.ba</v>
      </c>
      <c r="J255" s="6" t="s">
        <v>1543</v>
      </c>
      <c r="K255" s="6">
        <v>71</v>
      </c>
      <c r="L255" s="7" t="str">
        <f t="shared" si="36"/>
        <v>br.vav.ba</v>
      </c>
      <c r="M255" s="7" t="str">
        <f t="shared" si="37"/>
        <v>V.Ravi</v>
      </c>
      <c r="N255" s="6">
        <f t="shared" si="38"/>
        <v>0</v>
      </c>
      <c r="O255" s="6">
        <f t="shared" si="39"/>
        <v>0</v>
      </c>
      <c r="P255" s="6" t="str">
        <f t="shared" si="40"/>
        <v>N</v>
      </c>
      <c r="Q255" s="6">
        <f t="shared" si="41"/>
        <v>12</v>
      </c>
      <c r="R255" s="6" t="str">
        <f t="shared" si="42"/>
        <v>2016</v>
      </c>
      <c r="S255" s="6" t="str">
        <f t="shared" si="43"/>
        <v>Feb</v>
      </c>
    </row>
    <row r="256" spans="1:19" x14ac:dyDescent="0.25">
      <c r="A256" s="6">
        <v>488</v>
      </c>
      <c r="B256" s="6" t="str">
        <f t="shared" si="33"/>
        <v>NIKBRA00488</v>
      </c>
      <c r="C256" s="7" t="s">
        <v>672</v>
      </c>
      <c r="D256" s="7" t="s">
        <v>673</v>
      </c>
      <c r="E256" s="7" t="str">
        <f t="shared" si="34"/>
        <v>VARUN MANGWANA</v>
      </c>
      <c r="F256" s="7" t="s">
        <v>10</v>
      </c>
      <c r="G256" s="22">
        <v>42257</v>
      </c>
      <c r="H256" s="8">
        <v>44856</v>
      </c>
      <c r="I256" s="7" t="str">
        <f t="shared" si="35"/>
        <v>varun.mangwana@br.maa.ba</v>
      </c>
      <c r="J256" s="6" t="s">
        <v>1545</v>
      </c>
      <c r="K256" s="6">
        <v>64</v>
      </c>
      <c r="L256" s="7" t="str">
        <f t="shared" si="36"/>
        <v>br.maa.ba</v>
      </c>
      <c r="M256" s="7" t="str">
        <f t="shared" si="37"/>
        <v>M.Varun</v>
      </c>
      <c r="N256" s="6">
        <f t="shared" si="38"/>
        <v>0</v>
      </c>
      <c r="O256" s="6">
        <f t="shared" si="39"/>
        <v>0</v>
      </c>
      <c r="P256" s="6" t="str">
        <f t="shared" si="40"/>
        <v>N</v>
      </c>
      <c r="Q256" s="6">
        <f t="shared" si="41"/>
        <v>13</v>
      </c>
      <c r="R256" s="6" t="str">
        <f t="shared" si="42"/>
        <v>2015</v>
      </c>
      <c r="S256" s="6" t="str">
        <f t="shared" si="43"/>
        <v>Sep</v>
      </c>
    </row>
    <row r="257" spans="1:19" x14ac:dyDescent="0.25">
      <c r="A257" s="6">
        <v>519</v>
      </c>
      <c r="B257" s="6" t="str">
        <f t="shared" si="33"/>
        <v>NIKBRA00519</v>
      </c>
      <c r="C257" s="7" t="s">
        <v>29</v>
      </c>
      <c r="D257" s="7"/>
      <c r="E257" s="7" t="str">
        <f t="shared" si="34"/>
        <v>ANU</v>
      </c>
      <c r="F257" s="7" t="s">
        <v>10</v>
      </c>
      <c r="G257" s="22">
        <v>42485</v>
      </c>
      <c r="H257" s="8">
        <v>57300</v>
      </c>
      <c r="I257" s="7" t="str">
        <f t="shared" si="35"/>
        <v>anu.@br..ba</v>
      </c>
      <c r="J257" s="6" t="s">
        <v>1542</v>
      </c>
      <c r="K257" s="6">
        <v>77</v>
      </c>
      <c r="L257" s="7" t="str">
        <f t="shared" si="36"/>
        <v>br..ba</v>
      </c>
      <c r="M257" s="7" t="str">
        <f t="shared" si="37"/>
        <v>.Anu</v>
      </c>
      <c r="N257" s="6">
        <f t="shared" si="38"/>
        <v>0</v>
      </c>
      <c r="O257" s="6">
        <f t="shared" si="39"/>
        <v>0</v>
      </c>
      <c r="P257" s="6" t="str">
        <f t="shared" si="40"/>
        <v>N</v>
      </c>
      <c r="Q257" s="6">
        <f t="shared" si="41"/>
        <v>3</v>
      </c>
      <c r="R257" s="6" t="str">
        <f t="shared" si="42"/>
        <v>2016</v>
      </c>
      <c r="S257" s="6" t="str">
        <f t="shared" si="43"/>
        <v>Apr</v>
      </c>
    </row>
    <row r="258" spans="1:19" x14ac:dyDescent="0.25">
      <c r="A258" s="6">
        <v>523</v>
      </c>
      <c r="B258" s="6" t="str">
        <f t="shared" ref="B258:B321" si="44">_xlfn.TEXTJOIN("",TRUE,"NIK",UPPER(LEFT(SUBSTITUTE(SUBSTITUTE(F258," ",""),"&amp;",""),3)),TEXT(A258,"00000"))</f>
        <v>NIKBRA00523</v>
      </c>
      <c r="C258" s="7" t="s">
        <v>707</v>
      </c>
      <c r="D258" s="7" t="s">
        <v>68</v>
      </c>
      <c r="E258" s="7" t="str">
        <f t="shared" ref="E258:E321" si="45">_xlfn.TEXTJOIN(" ",TRUE,C258,D258)</f>
        <v>PARVEEN KUMAR</v>
      </c>
      <c r="F258" s="7" t="s">
        <v>10</v>
      </c>
      <c r="G258" s="22">
        <v>42649</v>
      </c>
      <c r="H258" s="8">
        <v>27599</v>
      </c>
      <c r="I258" s="7" t="str">
        <f t="shared" ref="I258:I321" si="46">LOWER(C258&amp;"."&amp;D258&amp;"@"&amp;LEFT(SUBSTITUTE(F258," ",""),2))&amp;LOWER("."&amp;LEFT(D258,2))&amp;LOWER(RIGHT(D258,1))&amp;".ba"</f>
        <v>parveen.kumar@br.kur.ba</v>
      </c>
      <c r="J258" s="6" t="s">
        <v>1547</v>
      </c>
      <c r="K258" s="6">
        <v>88</v>
      </c>
      <c r="L258" s="7" t="str">
        <f t="shared" ref="L258:L321" si="47">RIGHT(I258,LEN(I258)-FIND("@",I258))</f>
        <v>br.kur.ba</v>
      </c>
      <c r="M258" s="7" t="str">
        <f t="shared" ref="M258:M321" si="48">UPPER(LEFT(D258,1))&amp;"."&amp;PROPER(C258)</f>
        <v>K.Parveen</v>
      </c>
      <c r="N258" s="6">
        <f t="shared" ref="N258:N321" si="49">IFERROR(SEARCH("e",C258),0)</f>
        <v>5</v>
      </c>
      <c r="O258" s="6">
        <f t="shared" ref="O258:O321" si="50">IFERROR(SEARCH("e",D258),0)</f>
        <v>0</v>
      </c>
      <c r="P258" s="6" t="str">
        <f t="shared" ref="P258:P321" si="51">IF(AND(N258&gt;=1,O258&gt;=1),"Y","N")</f>
        <v>N</v>
      </c>
      <c r="Q258" s="6">
        <f t="shared" ref="Q258:Q321" si="52">LEN(SUBSTITUTE(E258, " ", ""))</f>
        <v>12</v>
      </c>
      <c r="R258" s="6" t="str">
        <f t="shared" ref="R258:R321" si="53">TEXT(G258,"YYYY")</f>
        <v>2016</v>
      </c>
      <c r="S258" s="6" t="str">
        <f t="shared" ref="S258:S321" si="54">TEXT(G258,"MMM")</f>
        <v>Oct</v>
      </c>
    </row>
    <row r="259" spans="1:19" x14ac:dyDescent="0.25">
      <c r="A259" s="6">
        <v>524</v>
      </c>
      <c r="B259" s="6" t="str">
        <f t="shared" si="44"/>
        <v>NIKBRA00524</v>
      </c>
      <c r="C259" s="7" t="s">
        <v>708</v>
      </c>
      <c r="D259" s="7" t="s">
        <v>150</v>
      </c>
      <c r="E259" s="7" t="str">
        <f t="shared" si="45"/>
        <v>ASMITA SAXENA</v>
      </c>
      <c r="F259" s="7" t="s">
        <v>10</v>
      </c>
      <c r="G259" s="22">
        <v>42130</v>
      </c>
      <c r="H259" s="8">
        <v>81536</v>
      </c>
      <c r="I259" s="7" t="str">
        <f t="shared" si="46"/>
        <v>asmita.saxena@br.saa.ba</v>
      </c>
      <c r="J259" s="6" t="s">
        <v>1535</v>
      </c>
      <c r="K259" s="6">
        <v>82</v>
      </c>
      <c r="L259" s="7" t="str">
        <f t="shared" si="47"/>
        <v>br.saa.ba</v>
      </c>
      <c r="M259" s="7" t="str">
        <f t="shared" si="48"/>
        <v>S.Asmita</v>
      </c>
      <c r="N259" s="6">
        <f t="shared" si="49"/>
        <v>0</v>
      </c>
      <c r="O259" s="6">
        <f t="shared" si="50"/>
        <v>4</v>
      </c>
      <c r="P259" s="6" t="str">
        <f t="shared" si="51"/>
        <v>N</v>
      </c>
      <c r="Q259" s="6">
        <f t="shared" si="52"/>
        <v>12</v>
      </c>
      <c r="R259" s="6" t="str">
        <f t="shared" si="53"/>
        <v>2015</v>
      </c>
      <c r="S259" s="6" t="str">
        <f t="shared" si="54"/>
        <v>May</v>
      </c>
    </row>
    <row r="260" spans="1:19" x14ac:dyDescent="0.25">
      <c r="A260" s="6">
        <v>526</v>
      </c>
      <c r="B260" s="6" t="str">
        <f t="shared" si="44"/>
        <v>NIKBRA00526</v>
      </c>
      <c r="C260" s="7" t="s">
        <v>711</v>
      </c>
      <c r="D260" s="7" t="s">
        <v>117</v>
      </c>
      <c r="E260" s="7" t="str">
        <f t="shared" si="45"/>
        <v>PARAG RAI</v>
      </c>
      <c r="F260" s="7" t="s">
        <v>10</v>
      </c>
      <c r="G260" s="22">
        <v>42835</v>
      </c>
      <c r="H260" s="8">
        <v>49206</v>
      </c>
      <c r="I260" s="7" t="str">
        <f t="shared" si="46"/>
        <v>parag.rai@br.rai.ba</v>
      </c>
      <c r="J260" s="6" t="s">
        <v>1551</v>
      </c>
      <c r="K260" s="6">
        <v>79</v>
      </c>
      <c r="L260" s="7" t="str">
        <f t="shared" si="47"/>
        <v>br.rai.ba</v>
      </c>
      <c r="M260" s="7" t="str">
        <f t="shared" si="48"/>
        <v>R.Parag</v>
      </c>
      <c r="N260" s="6">
        <f t="shared" si="49"/>
        <v>0</v>
      </c>
      <c r="O260" s="6">
        <f t="shared" si="50"/>
        <v>0</v>
      </c>
      <c r="P260" s="6" t="str">
        <f t="shared" si="51"/>
        <v>N</v>
      </c>
      <c r="Q260" s="6">
        <f t="shared" si="52"/>
        <v>8</v>
      </c>
      <c r="R260" s="6" t="str">
        <f t="shared" si="53"/>
        <v>2017</v>
      </c>
      <c r="S260" s="6" t="str">
        <f t="shared" si="54"/>
        <v>Apr</v>
      </c>
    </row>
    <row r="261" spans="1:19" x14ac:dyDescent="0.25">
      <c r="A261" s="6">
        <v>530</v>
      </c>
      <c r="B261" s="6" t="str">
        <f t="shared" si="44"/>
        <v>NIKBRA00530</v>
      </c>
      <c r="C261" s="7" t="s">
        <v>60</v>
      </c>
      <c r="D261" s="7" t="s">
        <v>716</v>
      </c>
      <c r="E261" s="7" t="str">
        <f t="shared" si="45"/>
        <v>AJAY MOKDE</v>
      </c>
      <c r="F261" s="7" t="s">
        <v>10</v>
      </c>
      <c r="G261" s="22">
        <v>40231</v>
      </c>
      <c r="H261" s="8">
        <v>45451</v>
      </c>
      <c r="I261" s="7" t="str">
        <f t="shared" si="46"/>
        <v>ajay.mokde@br.moe.ba</v>
      </c>
      <c r="J261" s="6" t="s">
        <v>1551</v>
      </c>
      <c r="K261" s="6">
        <v>57</v>
      </c>
      <c r="L261" s="7" t="str">
        <f t="shared" si="47"/>
        <v>br.moe.ba</v>
      </c>
      <c r="M261" s="7" t="str">
        <f t="shared" si="48"/>
        <v>M.Ajay</v>
      </c>
      <c r="N261" s="6">
        <f t="shared" si="49"/>
        <v>0</v>
      </c>
      <c r="O261" s="6">
        <f t="shared" si="50"/>
        <v>5</v>
      </c>
      <c r="P261" s="6" t="str">
        <f t="shared" si="51"/>
        <v>N</v>
      </c>
      <c r="Q261" s="6">
        <f t="shared" si="52"/>
        <v>9</v>
      </c>
      <c r="R261" s="6" t="str">
        <f t="shared" si="53"/>
        <v>2010</v>
      </c>
      <c r="S261" s="6" t="str">
        <f t="shared" si="54"/>
        <v>Feb</v>
      </c>
    </row>
    <row r="262" spans="1:19" x14ac:dyDescent="0.25">
      <c r="A262" s="6">
        <v>533</v>
      </c>
      <c r="B262" s="6" t="str">
        <f t="shared" si="44"/>
        <v>NIKBRA00533</v>
      </c>
      <c r="C262" s="7" t="s">
        <v>718</v>
      </c>
      <c r="D262" s="7" t="s">
        <v>719</v>
      </c>
      <c r="E262" s="7" t="str">
        <f t="shared" si="45"/>
        <v>PRACHI JADHAO</v>
      </c>
      <c r="F262" s="7" t="s">
        <v>10</v>
      </c>
      <c r="G262" s="22">
        <v>42767</v>
      </c>
      <c r="H262" s="8">
        <v>96181</v>
      </c>
      <c r="I262" s="7" t="str">
        <f t="shared" si="46"/>
        <v>prachi.jadhao@br.jao.ba</v>
      </c>
      <c r="J262" s="6" t="s">
        <v>1543</v>
      </c>
      <c r="K262" s="6">
        <v>47</v>
      </c>
      <c r="L262" s="7" t="str">
        <f t="shared" si="47"/>
        <v>br.jao.ba</v>
      </c>
      <c r="M262" s="7" t="str">
        <f t="shared" si="48"/>
        <v>J.Prachi</v>
      </c>
      <c r="N262" s="6">
        <f t="shared" si="49"/>
        <v>0</v>
      </c>
      <c r="O262" s="6">
        <f t="shared" si="50"/>
        <v>0</v>
      </c>
      <c r="P262" s="6" t="str">
        <f t="shared" si="51"/>
        <v>N</v>
      </c>
      <c r="Q262" s="6">
        <f t="shared" si="52"/>
        <v>12</v>
      </c>
      <c r="R262" s="6" t="str">
        <f t="shared" si="53"/>
        <v>2017</v>
      </c>
      <c r="S262" s="6" t="str">
        <f t="shared" si="54"/>
        <v>Feb</v>
      </c>
    </row>
    <row r="263" spans="1:19" x14ac:dyDescent="0.25">
      <c r="A263" s="6">
        <v>543</v>
      </c>
      <c r="B263" s="6" t="str">
        <f t="shared" si="44"/>
        <v>NIKBRA00543</v>
      </c>
      <c r="C263" s="7" t="s">
        <v>41</v>
      </c>
      <c r="D263" s="7" t="s">
        <v>70</v>
      </c>
      <c r="E263" s="7" t="str">
        <f t="shared" si="45"/>
        <v>JITENDER SINGH</v>
      </c>
      <c r="F263" s="7" t="s">
        <v>10</v>
      </c>
      <c r="G263" s="22">
        <v>42751</v>
      </c>
      <c r="H263" s="8">
        <v>39020</v>
      </c>
      <c r="I263" s="7" t="str">
        <f t="shared" si="46"/>
        <v>jitender.singh@br.sih.ba</v>
      </c>
      <c r="J263" s="6" t="s">
        <v>1543</v>
      </c>
      <c r="K263" s="6">
        <v>62</v>
      </c>
      <c r="L263" s="7" t="str">
        <f t="shared" si="47"/>
        <v>br.sih.ba</v>
      </c>
      <c r="M263" s="7" t="str">
        <f t="shared" si="48"/>
        <v>S.Jitender</v>
      </c>
      <c r="N263" s="6">
        <f t="shared" si="49"/>
        <v>4</v>
      </c>
      <c r="O263" s="6">
        <f t="shared" si="50"/>
        <v>0</v>
      </c>
      <c r="P263" s="6" t="str">
        <f t="shared" si="51"/>
        <v>N</v>
      </c>
      <c r="Q263" s="6">
        <f t="shared" si="52"/>
        <v>13</v>
      </c>
      <c r="R263" s="6" t="str">
        <f t="shared" si="53"/>
        <v>2017</v>
      </c>
      <c r="S263" s="6" t="str">
        <f t="shared" si="54"/>
        <v>Jan</v>
      </c>
    </row>
    <row r="264" spans="1:19" x14ac:dyDescent="0.25">
      <c r="A264" s="6">
        <v>553</v>
      </c>
      <c r="B264" s="6" t="str">
        <f t="shared" si="44"/>
        <v>NIKBRA00553</v>
      </c>
      <c r="C264" s="7" t="s">
        <v>259</v>
      </c>
      <c r="D264" s="7" t="s">
        <v>388</v>
      </c>
      <c r="E264" s="7" t="str">
        <f t="shared" si="45"/>
        <v>ASHISH CHOUHAN</v>
      </c>
      <c r="F264" s="7" t="s">
        <v>10</v>
      </c>
      <c r="G264" s="22">
        <v>42387</v>
      </c>
      <c r="H264" s="8">
        <v>71933</v>
      </c>
      <c r="I264" s="7" t="str">
        <f t="shared" si="46"/>
        <v>ashish.chouhan@br.chn.ba</v>
      </c>
      <c r="J264" s="6" t="s">
        <v>1540</v>
      </c>
      <c r="K264" s="6">
        <v>89</v>
      </c>
      <c r="L264" s="7" t="str">
        <f t="shared" si="47"/>
        <v>br.chn.ba</v>
      </c>
      <c r="M264" s="7" t="str">
        <f t="shared" si="48"/>
        <v>C.Ashish</v>
      </c>
      <c r="N264" s="6">
        <f t="shared" si="49"/>
        <v>0</v>
      </c>
      <c r="O264" s="6">
        <f t="shared" si="50"/>
        <v>0</v>
      </c>
      <c r="P264" s="6" t="str">
        <f t="shared" si="51"/>
        <v>N</v>
      </c>
      <c r="Q264" s="6">
        <f t="shared" si="52"/>
        <v>13</v>
      </c>
      <c r="R264" s="6" t="str">
        <f t="shared" si="53"/>
        <v>2016</v>
      </c>
      <c r="S264" s="6" t="str">
        <f t="shared" si="54"/>
        <v>Jan</v>
      </c>
    </row>
    <row r="265" spans="1:19" x14ac:dyDescent="0.25">
      <c r="A265" s="6">
        <v>566</v>
      </c>
      <c r="B265" s="6" t="str">
        <f t="shared" si="44"/>
        <v>NIKBRA00566</v>
      </c>
      <c r="C265" s="7" t="s">
        <v>311</v>
      </c>
      <c r="D265" s="7" t="s">
        <v>70</v>
      </c>
      <c r="E265" s="7" t="str">
        <f t="shared" si="45"/>
        <v>MANINDER SINGH</v>
      </c>
      <c r="F265" s="7" t="s">
        <v>10</v>
      </c>
      <c r="G265" s="22">
        <v>42534</v>
      </c>
      <c r="H265" s="8">
        <v>95824</v>
      </c>
      <c r="I265" s="7" t="str">
        <f t="shared" si="46"/>
        <v>maninder.singh@br.sih.ba</v>
      </c>
      <c r="J265" s="6" t="s">
        <v>1548</v>
      </c>
      <c r="K265" s="6">
        <v>85</v>
      </c>
      <c r="L265" s="7" t="str">
        <f t="shared" si="47"/>
        <v>br.sih.ba</v>
      </c>
      <c r="M265" s="7" t="str">
        <f t="shared" si="48"/>
        <v>S.Maninder</v>
      </c>
      <c r="N265" s="6">
        <f t="shared" si="49"/>
        <v>7</v>
      </c>
      <c r="O265" s="6">
        <f t="shared" si="50"/>
        <v>0</v>
      </c>
      <c r="P265" s="6" t="str">
        <f t="shared" si="51"/>
        <v>N</v>
      </c>
      <c r="Q265" s="6">
        <f t="shared" si="52"/>
        <v>13</v>
      </c>
      <c r="R265" s="6" t="str">
        <f t="shared" si="53"/>
        <v>2016</v>
      </c>
      <c r="S265" s="6" t="str">
        <f t="shared" si="54"/>
        <v>Jun</v>
      </c>
    </row>
    <row r="266" spans="1:19" x14ac:dyDescent="0.25">
      <c r="A266" s="6">
        <v>570</v>
      </c>
      <c r="B266" s="6" t="str">
        <f t="shared" si="44"/>
        <v>NIKBRA00570</v>
      </c>
      <c r="C266" s="7" t="s">
        <v>749</v>
      </c>
      <c r="D266" s="7" t="s">
        <v>750</v>
      </c>
      <c r="E266" s="7" t="str">
        <f t="shared" si="45"/>
        <v>AMITEE SRIVASTAVA</v>
      </c>
      <c r="F266" s="7" t="s">
        <v>10</v>
      </c>
      <c r="G266" s="22">
        <v>42058</v>
      </c>
      <c r="H266" s="8">
        <v>58055</v>
      </c>
      <c r="I266" s="7" t="str">
        <f t="shared" si="46"/>
        <v>amitee.srivastava@br.sra.ba</v>
      </c>
      <c r="J266" s="6" t="s">
        <v>1540</v>
      </c>
      <c r="K266" s="6">
        <v>63</v>
      </c>
      <c r="L266" s="7" t="str">
        <f t="shared" si="47"/>
        <v>br.sra.ba</v>
      </c>
      <c r="M266" s="7" t="str">
        <f t="shared" si="48"/>
        <v>S.Amitee</v>
      </c>
      <c r="N266" s="6">
        <f t="shared" si="49"/>
        <v>5</v>
      </c>
      <c r="O266" s="6">
        <f t="shared" si="50"/>
        <v>0</v>
      </c>
      <c r="P266" s="6" t="str">
        <f t="shared" si="51"/>
        <v>N</v>
      </c>
      <c r="Q266" s="6">
        <f t="shared" si="52"/>
        <v>16</v>
      </c>
      <c r="R266" s="6" t="str">
        <f t="shared" si="53"/>
        <v>2015</v>
      </c>
      <c r="S266" s="6" t="str">
        <f t="shared" si="54"/>
        <v>Feb</v>
      </c>
    </row>
    <row r="267" spans="1:19" x14ac:dyDescent="0.25">
      <c r="A267" s="6">
        <v>583</v>
      </c>
      <c r="B267" s="6" t="str">
        <f t="shared" si="44"/>
        <v>NIKBRA00583</v>
      </c>
      <c r="C267" s="7" t="s">
        <v>765</v>
      </c>
      <c r="D267" s="7" t="s">
        <v>298</v>
      </c>
      <c r="E267" s="7" t="str">
        <f t="shared" si="45"/>
        <v>ROOPAK KHARE</v>
      </c>
      <c r="F267" s="7" t="s">
        <v>10</v>
      </c>
      <c r="G267" s="22">
        <v>42949</v>
      </c>
      <c r="H267" s="8">
        <v>53043</v>
      </c>
      <c r="I267" s="7" t="str">
        <f t="shared" si="46"/>
        <v>roopak.khare@br.khe.ba</v>
      </c>
      <c r="J267" s="6" t="s">
        <v>1547</v>
      </c>
      <c r="K267" s="6">
        <v>54</v>
      </c>
      <c r="L267" s="7" t="str">
        <f t="shared" si="47"/>
        <v>br.khe.ba</v>
      </c>
      <c r="M267" s="7" t="str">
        <f t="shared" si="48"/>
        <v>K.Roopak</v>
      </c>
      <c r="N267" s="6">
        <f t="shared" si="49"/>
        <v>0</v>
      </c>
      <c r="O267" s="6">
        <f t="shared" si="50"/>
        <v>5</v>
      </c>
      <c r="P267" s="6" t="str">
        <f t="shared" si="51"/>
        <v>N</v>
      </c>
      <c r="Q267" s="6">
        <f t="shared" si="52"/>
        <v>11</v>
      </c>
      <c r="R267" s="6" t="str">
        <f t="shared" si="53"/>
        <v>2017</v>
      </c>
      <c r="S267" s="6" t="str">
        <f t="shared" si="54"/>
        <v>Aug</v>
      </c>
    </row>
    <row r="268" spans="1:19" x14ac:dyDescent="0.25">
      <c r="A268" s="6">
        <v>587</v>
      </c>
      <c r="B268" s="6" t="str">
        <f t="shared" si="44"/>
        <v>NIKBRA00587</v>
      </c>
      <c r="C268" s="7" t="s">
        <v>141</v>
      </c>
      <c r="D268" s="7" t="s">
        <v>770</v>
      </c>
      <c r="E268" s="7" t="str">
        <f t="shared" si="45"/>
        <v>SAURABH MALETA</v>
      </c>
      <c r="F268" s="7" t="s">
        <v>10</v>
      </c>
      <c r="G268" s="22">
        <v>41729</v>
      </c>
      <c r="H268" s="8">
        <v>72761</v>
      </c>
      <c r="I268" s="7" t="str">
        <f t="shared" si="46"/>
        <v>saurabh.maleta@br.maa.ba</v>
      </c>
      <c r="J268" s="6" t="s">
        <v>1545</v>
      </c>
      <c r="K268" s="6">
        <v>54</v>
      </c>
      <c r="L268" s="7" t="str">
        <f t="shared" si="47"/>
        <v>br.maa.ba</v>
      </c>
      <c r="M268" s="7" t="str">
        <f t="shared" si="48"/>
        <v>M.Saurabh</v>
      </c>
      <c r="N268" s="6">
        <f t="shared" si="49"/>
        <v>0</v>
      </c>
      <c r="O268" s="6">
        <f t="shared" si="50"/>
        <v>4</v>
      </c>
      <c r="P268" s="6" t="str">
        <f t="shared" si="51"/>
        <v>N</v>
      </c>
      <c r="Q268" s="6">
        <f t="shared" si="52"/>
        <v>13</v>
      </c>
      <c r="R268" s="6" t="str">
        <f t="shared" si="53"/>
        <v>2014</v>
      </c>
      <c r="S268" s="6" t="str">
        <f t="shared" si="54"/>
        <v>Mar</v>
      </c>
    </row>
    <row r="269" spans="1:19" x14ac:dyDescent="0.25">
      <c r="A269" s="6">
        <v>588</v>
      </c>
      <c r="B269" s="6" t="str">
        <f t="shared" si="44"/>
        <v>NIKBRA00588</v>
      </c>
      <c r="C269" s="7" t="s">
        <v>222</v>
      </c>
      <c r="D269" s="7" t="s">
        <v>771</v>
      </c>
      <c r="E269" s="7" t="str">
        <f t="shared" si="45"/>
        <v>SHWETA RAO</v>
      </c>
      <c r="F269" s="7" t="s">
        <v>10</v>
      </c>
      <c r="G269" s="22">
        <v>42683</v>
      </c>
      <c r="H269" s="8">
        <v>29504</v>
      </c>
      <c r="I269" s="7" t="str">
        <f t="shared" si="46"/>
        <v>shweta.rao@br.rao.ba</v>
      </c>
      <c r="J269" s="6" t="s">
        <v>1546</v>
      </c>
      <c r="K269" s="6">
        <v>44</v>
      </c>
      <c r="L269" s="7" t="str">
        <f t="shared" si="47"/>
        <v>br.rao.ba</v>
      </c>
      <c r="M269" s="7" t="str">
        <f t="shared" si="48"/>
        <v>R.Shweta</v>
      </c>
      <c r="N269" s="6">
        <f t="shared" si="49"/>
        <v>4</v>
      </c>
      <c r="O269" s="6">
        <f t="shared" si="50"/>
        <v>0</v>
      </c>
      <c r="P269" s="6" t="str">
        <f t="shared" si="51"/>
        <v>N</v>
      </c>
      <c r="Q269" s="6">
        <f t="shared" si="52"/>
        <v>9</v>
      </c>
      <c r="R269" s="6" t="str">
        <f t="shared" si="53"/>
        <v>2016</v>
      </c>
      <c r="S269" s="6" t="str">
        <f t="shared" si="54"/>
        <v>Nov</v>
      </c>
    </row>
    <row r="270" spans="1:19" x14ac:dyDescent="0.25">
      <c r="A270" s="6">
        <v>605</v>
      </c>
      <c r="B270" s="6" t="str">
        <f t="shared" si="44"/>
        <v>NIKBRA00605</v>
      </c>
      <c r="C270" s="7" t="s">
        <v>787</v>
      </c>
      <c r="D270" s="7" t="s">
        <v>498</v>
      </c>
      <c r="E270" s="7" t="str">
        <f t="shared" si="45"/>
        <v>HARPREET KAUR</v>
      </c>
      <c r="F270" s="7" t="s">
        <v>10</v>
      </c>
      <c r="G270" s="22">
        <v>42865</v>
      </c>
      <c r="H270" s="8">
        <v>50976</v>
      </c>
      <c r="I270" s="7" t="str">
        <f t="shared" si="46"/>
        <v>harpreet.kaur@br.kar.ba</v>
      </c>
      <c r="J270" s="6" t="s">
        <v>1544</v>
      </c>
      <c r="K270" s="6">
        <v>51</v>
      </c>
      <c r="L270" s="7" t="str">
        <f t="shared" si="47"/>
        <v>br.kar.ba</v>
      </c>
      <c r="M270" s="7" t="str">
        <f t="shared" si="48"/>
        <v>K.Harpreet</v>
      </c>
      <c r="N270" s="6">
        <f t="shared" si="49"/>
        <v>6</v>
      </c>
      <c r="O270" s="6">
        <f t="shared" si="50"/>
        <v>0</v>
      </c>
      <c r="P270" s="6" t="str">
        <f t="shared" si="51"/>
        <v>N</v>
      </c>
      <c r="Q270" s="6">
        <f t="shared" si="52"/>
        <v>12</v>
      </c>
      <c r="R270" s="6" t="str">
        <f t="shared" si="53"/>
        <v>2017</v>
      </c>
      <c r="S270" s="6" t="str">
        <f t="shared" si="54"/>
        <v>May</v>
      </c>
    </row>
    <row r="271" spans="1:19" x14ac:dyDescent="0.25">
      <c r="A271" s="6">
        <v>614</v>
      </c>
      <c r="B271" s="6" t="str">
        <f t="shared" si="44"/>
        <v>NIKBRA00614</v>
      </c>
      <c r="C271" s="7" t="s">
        <v>798</v>
      </c>
      <c r="D271" s="7" t="s">
        <v>62</v>
      </c>
      <c r="E271" s="7" t="str">
        <f t="shared" si="45"/>
        <v>NIVESH JAIN</v>
      </c>
      <c r="F271" s="7" t="s">
        <v>10</v>
      </c>
      <c r="G271" s="22">
        <v>42100</v>
      </c>
      <c r="H271" s="8">
        <v>56430</v>
      </c>
      <c r="I271" s="7" t="str">
        <f t="shared" si="46"/>
        <v>nivesh.jain@br.jan.ba</v>
      </c>
      <c r="J271" s="6" t="s">
        <v>1541</v>
      </c>
      <c r="K271" s="6">
        <v>84</v>
      </c>
      <c r="L271" s="7" t="str">
        <f t="shared" si="47"/>
        <v>br.jan.ba</v>
      </c>
      <c r="M271" s="7" t="str">
        <f t="shared" si="48"/>
        <v>J.Nivesh</v>
      </c>
      <c r="N271" s="6">
        <f t="shared" si="49"/>
        <v>4</v>
      </c>
      <c r="O271" s="6">
        <f t="shared" si="50"/>
        <v>0</v>
      </c>
      <c r="P271" s="6" t="str">
        <f t="shared" si="51"/>
        <v>N</v>
      </c>
      <c r="Q271" s="6">
        <f t="shared" si="52"/>
        <v>10</v>
      </c>
      <c r="R271" s="6" t="str">
        <f t="shared" si="53"/>
        <v>2015</v>
      </c>
      <c r="S271" s="6" t="str">
        <f t="shared" si="54"/>
        <v>Apr</v>
      </c>
    </row>
    <row r="272" spans="1:19" x14ac:dyDescent="0.25">
      <c r="A272" s="6">
        <v>626</v>
      </c>
      <c r="B272" s="6" t="str">
        <f t="shared" si="44"/>
        <v>NIKBRA00626</v>
      </c>
      <c r="C272" s="7" t="s">
        <v>806</v>
      </c>
      <c r="D272" s="7" t="s">
        <v>558</v>
      </c>
      <c r="E272" s="7" t="str">
        <f t="shared" si="45"/>
        <v>ADITI PRIYA</v>
      </c>
      <c r="F272" s="7" t="s">
        <v>10</v>
      </c>
      <c r="G272" s="22">
        <v>42186</v>
      </c>
      <c r="H272" s="8">
        <v>93244</v>
      </c>
      <c r="I272" s="7" t="str">
        <f t="shared" si="46"/>
        <v>aditi.priya@br.pra.ba</v>
      </c>
      <c r="J272" s="6" t="s">
        <v>1540</v>
      </c>
      <c r="K272" s="6">
        <v>38</v>
      </c>
      <c r="L272" s="7" t="str">
        <f t="shared" si="47"/>
        <v>br.pra.ba</v>
      </c>
      <c r="M272" s="7" t="str">
        <f t="shared" si="48"/>
        <v>P.Aditi</v>
      </c>
      <c r="N272" s="6">
        <f t="shared" si="49"/>
        <v>0</v>
      </c>
      <c r="O272" s="6">
        <f t="shared" si="50"/>
        <v>0</v>
      </c>
      <c r="P272" s="6" t="str">
        <f t="shared" si="51"/>
        <v>N</v>
      </c>
      <c r="Q272" s="6">
        <f t="shared" si="52"/>
        <v>10</v>
      </c>
      <c r="R272" s="6" t="str">
        <f t="shared" si="53"/>
        <v>2015</v>
      </c>
      <c r="S272" s="6" t="str">
        <f t="shared" si="54"/>
        <v>Jul</v>
      </c>
    </row>
    <row r="273" spans="1:19" x14ac:dyDescent="0.25">
      <c r="A273" s="6">
        <v>628</v>
      </c>
      <c r="B273" s="6" t="str">
        <f t="shared" si="44"/>
        <v>NIKBRA00628</v>
      </c>
      <c r="C273" s="7" t="s">
        <v>808</v>
      </c>
      <c r="D273" s="7" t="s">
        <v>404</v>
      </c>
      <c r="E273" s="7" t="str">
        <f t="shared" si="45"/>
        <v>VIJESH BHATNAGAR</v>
      </c>
      <c r="F273" s="7" t="s">
        <v>10</v>
      </c>
      <c r="G273" s="22">
        <v>43040</v>
      </c>
      <c r="H273" s="8">
        <v>90221</v>
      </c>
      <c r="I273" s="7" t="str">
        <f t="shared" si="46"/>
        <v>vijesh.bhatnagar@br.bhr.ba</v>
      </c>
      <c r="J273" s="6" t="s">
        <v>1533</v>
      </c>
      <c r="K273" s="6">
        <v>54</v>
      </c>
      <c r="L273" s="7" t="str">
        <f t="shared" si="47"/>
        <v>br.bhr.ba</v>
      </c>
      <c r="M273" s="7" t="str">
        <f t="shared" si="48"/>
        <v>B.Vijesh</v>
      </c>
      <c r="N273" s="6">
        <f t="shared" si="49"/>
        <v>4</v>
      </c>
      <c r="O273" s="6">
        <f t="shared" si="50"/>
        <v>0</v>
      </c>
      <c r="P273" s="6" t="str">
        <f t="shared" si="51"/>
        <v>N</v>
      </c>
      <c r="Q273" s="6">
        <f t="shared" si="52"/>
        <v>15</v>
      </c>
      <c r="R273" s="6" t="str">
        <f t="shared" si="53"/>
        <v>2017</v>
      </c>
      <c r="S273" s="6" t="str">
        <f t="shared" si="54"/>
        <v>Nov</v>
      </c>
    </row>
    <row r="274" spans="1:19" x14ac:dyDescent="0.25">
      <c r="A274" s="6">
        <v>637</v>
      </c>
      <c r="B274" s="6" t="str">
        <f t="shared" si="44"/>
        <v>NIKBRA00637</v>
      </c>
      <c r="C274" s="7" t="s">
        <v>819</v>
      </c>
      <c r="D274" s="7" t="s">
        <v>68</v>
      </c>
      <c r="E274" s="7" t="str">
        <f t="shared" si="45"/>
        <v>ARVIND KUMAR</v>
      </c>
      <c r="F274" s="7" t="s">
        <v>10</v>
      </c>
      <c r="G274" s="22">
        <v>42777</v>
      </c>
      <c r="H274" s="8">
        <v>88734</v>
      </c>
      <c r="I274" s="7" t="str">
        <f t="shared" si="46"/>
        <v>arvind.kumar@br.kur.ba</v>
      </c>
      <c r="J274" s="6" t="s">
        <v>1546</v>
      </c>
      <c r="K274" s="6">
        <v>74</v>
      </c>
      <c r="L274" s="7" t="str">
        <f t="shared" si="47"/>
        <v>br.kur.ba</v>
      </c>
      <c r="M274" s="7" t="str">
        <f t="shared" si="48"/>
        <v>K.Arvind</v>
      </c>
      <c r="N274" s="6">
        <f t="shared" si="49"/>
        <v>0</v>
      </c>
      <c r="O274" s="6">
        <f t="shared" si="50"/>
        <v>0</v>
      </c>
      <c r="P274" s="6" t="str">
        <f t="shared" si="51"/>
        <v>N</v>
      </c>
      <c r="Q274" s="6">
        <f t="shared" si="52"/>
        <v>11</v>
      </c>
      <c r="R274" s="6" t="str">
        <f t="shared" si="53"/>
        <v>2017</v>
      </c>
      <c r="S274" s="6" t="str">
        <f t="shared" si="54"/>
        <v>Feb</v>
      </c>
    </row>
    <row r="275" spans="1:19" x14ac:dyDescent="0.25">
      <c r="A275" s="6">
        <v>661</v>
      </c>
      <c r="B275" s="6" t="str">
        <f t="shared" si="44"/>
        <v>NIKBRA00661</v>
      </c>
      <c r="C275" s="7" t="s">
        <v>840</v>
      </c>
      <c r="D275" s="7" t="s">
        <v>117</v>
      </c>
      <c r="E275" s="7" t="str">
        <f t="shared" si="45"/>
        <v>ARBIND RAI</v>
      </c>
      <c r="F275" s="7" t="s">
        <v>10</v>
      </c>
      <c r="G275" s="22">
        <v>41498</v>
      </c>
      <c r="H275" s="8">
        <v>31895</v>
      </c>
      <c r="I275" s="7" t="str">
        <f t="shared" si="46"/>
        <v>arbind.rai@br.rai.ba</v>
      </c>
      <c r="J275" s="6" t="s">
        <v>1547</v>
      </c>
      <c r="K275" s="6">
        <v>52</v>
      </c>
      <c r="L275" s="7" t="str">
        <f t="shared" si="47"/>
        <v>br.rai.ba</v>
      </c>
      <c r="M275" s="7" t="str">
        <f t="shared" si="48"/>
        <v>R.Arbind</v>
      </c>
      <c r="N275" s="6">
        <f t="shared" si="49"/>
        <v>0</v>
      </c>
      <c r="O275" s="6">
        <f t="shared" si="50"/>
        <v>0</v>
      </c>
      <c r="P275" s="6" t="str">
        <f t="shared" si="51"/>
        <v>N</v>
      </c>
      <c r="Q275" s="6">
        <f t="shared" si="52"/>
        <v>9</v>
      </c>
      <c r="R275" s="6" t="str">
        <f t="shared" si="53"/>
        <v>2013</v>
      </c>
      <c r="S275" s="6" t="str">
        <f t="shared" si="54"/>
        <v>Aug</v>
      </c>
    </row>
    <row r="276" spans="1:19" x14ac:dyDescent="0.25">
      <c r="A276" s="6">
        <v>664</v>
      </c>
      <c r="B276" s="6" t="str">
        <f t="shared" si="44"/>
        <v>NIKBRA00664</v>
      </c>
      <c r="C276" s="7" t="s">
        <v>843</v>
      </c>
      <c r="D276" s="7" t="s">
        <v>76</v>
      </c>
      <c r="E276" s="7" t="str">
        <f t="shared" si="45"/>
        <v>NIKHIL TRIVEDI</v>
      </c>
      <c r="F276" s="7" t="s">
        <v>10</v>
      </c>
      <c r="G276" s="22">
        <v>42828</v>
      </c>
      <c r="H276" s="8">
        <v>60731</v>
      </c>
      <c r="I276" s="7" t="str">
        <f t="shared" si="46"/>
        <v>nikhil.trivedi@br.tri.ba</v>
      </c>
      <c r="J276" s="6" t="s">
        <v>1534</v>
      </c>
      <c r="K276" s="6">
        <v>45</v>
      </c>
      <c r="L276" s="7" t="str">
        <f t="shared" si="47"/>
        <v>br.tri.ba</v>
      </c>
      <c r="M276" s="7" t="str">
        <f t="shared" si="48"/>
        <v>T.Nikhil</v>
      </c>
      <c r="N276" s="6">
        <f t="shared" si="49"/>
        <v>0</v>
      </c>
      <c r="O276" s="6">
        <f t="shared" si="50"/>
        <v>5</v>
      </c>
      <c r="P276" s="6" t="str">
        <f t="shared" si="51"/>
        <v>N</v>
      </c>
      <c r="Q276" s="6">
        <f t="shared" si="52"/>
        <v>13</v>
      </c>
      <c r="R276" s="6" t="str">
        <f t="shared" si="53"/>
        <v>2017</v>
      </c>
      <c r="S276" s="6" t="str">
        <f t="shared" si="54"/>
        <v>Apr</v>
      </c>
    </row>
    <row r="277" spans="1:19" x14ac:dyDescent="0.25">
      <c r="A277" s="6">
        <v>668</v>
      </c>
      <c r="B277" s="6" t="str">
        <f t="shared" si="44"/>
        <v>NIKBRA00668</v>
      </c>
      <c r="C277" s="7" t="s">
        <v>847</v>
      </c>
      <c r="D277" s="7" t="s">
        <v>848</v>
      </c>
      <c r="E277" s="7" t="str">
        <f t="shared" si="45"/>
        <v>KHUSHBOO V</v>
      </c>
      <c r="F277" s="7" t="s">
        <v>10</v>
      </c>
      <c r="G277" s="22">
        <v>42812</v>
      </c>
      <c r="H277" s="8">
        <v>103433</v>
      </c>
      <c r="I277" s="7" t="str">
        <f t="shared" si="46"/>
        <v>khushboo.v@br.vv.ba</v>
      </c>
      <c r="J277" s="6" t="s">
        <v>1536</v>
      </c>
      <c r="K277" s="6">
        <v>42</v>
      </c>
      <c r="L277" s="7" t="str">
        <f t="shared" si="47"/>
        <v>br.vv.ba</v>
      </c>
      <c r="M277" s="7" t="str">
        <f t="shared" si="48"/>
        <v>V.Khushboo</v>
      </c>
      <c r="N277" s="6">
        <f t="shared" si="49"/>
        <v>0</v>
      </c>
      <c r="O277" s="6">
        <f t="shared" si="50"/>
        <v>0</v>
      </c>
      <c r="P277" s="6" t="str">
        <f t="shared" si="51"/>
        <v>N</v>
      </c>
      <c r="Q277" s="6">
        <f t="shared" si="52"/>
        <v>9</v>
      </c>
      <c r="R277" s="6" t="str">
        <f t="shared" si="53"/>
        <v>2017</v>
      </c>
      <c r="S277" s="6" t="str">
        <f t="shared" si="54"/>
        <v>Mar</v>
      </c>
    </row>
    <row r="278" spans="1:19" x14ac:dyDescent="0.25">
      <c r="A278" s="6">
        <v>676</v>
      </c>
      <c r="B278" s="6" t="str">
        <f t="shared" si="44"/>
        <v>NIKBRA00676</v>
      </c>
      <c r="C278" s="7" t="s">
        <v>856</v>
      </c>
      <c r="D278" s="7" t="s">
        <v>619</v>
      </c>
      <c r="E278" s="7" t="str">
        <f t="shared" si="45"/>
        <v>DURGA SHANKAR</v>
      </c>
      <c r="F278" s="7" t="s">
        <v>10</v>
      </c>
      <c r="G278" s="22">
        <v>43083</v>
      </c>
      <c r="H278" s="8">
        <v>61387</v>
      </c>
      <c r="I278" s="7" t="str">
        <f t="shared" si="46"/>
        <v>durga.shankar@br.shr.ba</v>
      </c>
      <c r="J278" s="6" t="s">
        <v>1541</v>
      </c>
      <c r="K278" s="6">
        <v>38</v>
      </c>
      <c r="L278" s="7" t="str">
        <f t="shared" si="47"/>
        <v>br.shr.ba</v>
      </c>
      <c r="M278" s="7" t="str">
        <f t="shared" si="48"/>
        <v>S.Durga</v>
      </c>
      <c r="N278" s="6">
        <f t="shared" si="49"/>
        <v>0</v>
      </c>
      <c r="O278" s="6">
        <f t="shared" si="50"/>
        <v>0</v>
      </c>
      <c r="P278" s="6" t="str">
        <f t="shared" si="51"/>
        <v>N</v>
      </c>
      <c r="Q278" s="6">
        <f t="shared" si="52"/>
        <v>12</v>
      </c>
      <c r="R278" s="6" t="str">
        <f t="shared" si="53"/>
        <v>2017</v>
      </c>
      <c r="S278" s="6" t="str">
        <f t="shared" si="54"/>
        <v>Dec</v>
      </c>
    </row>
    <row r="279" spans="1:19" x14ac:dyDescent="0.25">
      <c r="A279" s="6">
        <v>677</v>
      </c>
      <c r="B279" s="6" t="str">
        <f t="shared" si="44"/>
        <v>NIKBRA00677</v>
      </c>
      <c r="C279" s="7" t="s">
        <v>857</v>
      </c>
      <c r="D279" s="7" t="s">
        <v>68</v>
      </c>
      <c r="E279" s="7" t="str">
        <f t="shared" si="45"/>
        <v>MUKESH KUMAR</v>
      </c>
      <c r="F279" s="7" t="s">
        <v>10</v>
      </c>
      <c r="G279" s="22">
        <v>42830</v>
      </c>
      <c r="H279" s="8">
        <v>107951</v>
      </c>
      <c r="I279" s="7" t="str">
        <f t="shared" si="46"/>
        <v>mukesh.kumar@br.kur.ba</v>
      </c>
      <c r="J279" s="6" t="s">
        <v>1533</v>
      </c>
      <c r="K279" s="6">
        <v>54</v>
      </c>
      <c r="L279" s="7" t="str">
        <f t="shared" si="47"/>
        <v>br.kur.ba</v>
      </c>
      <c r="M279" s="7" t="str">
        <f t="shared" si="48"/>
        <v>K.Mukesh</v>
      </c>
      <c r="N279" s="6">
        <f t="shared" si="49"/>
        <v>4</v>
      </c>
      <c r="O279" s="6">
        <f t="shared" si="50"/>
        <v>0</v>
      </c>
      <c r="P279" s="6" t="str">
        <f t="shared" si="51"/>
        <v>N</v>
      </c>
      <c r="Q279" s="6">
        <f t="shared" si="52"/>
        <v>11</v>
      </c>
      <c r="R279" s="6" t="str">
        <f t="shared" si="53"/>
        <v>2017</v>
      </c>
      <c r="S279" s="6" t="str">
        <f t="shared" si="54"/>
        <v>Apr</v>
      </c>
    </row>
    <row r="280" spans="1:19" x14ac:dyDescent="0.25">
      <c r="A280" s="6">
        <v>699</v>
      </c>
      <c r="B280" s="6" t="str">
        <f t="shared" si="44"/>
        <v>NIKBRA00699</v>
      </c>
      <c r="C280" s="7" t="s">
        <v>367</v>
      </c>
      <c r="D280" s="7" t="s">
        <v>368</v>
      </c>
      <c r="E280" s="7" t="str">
        <f t="shared" si="45"/>
        <v>RAMA KARWAL</v>
      </c>
      <c r="F280" s="7" t="s">
        <v>10</v>
      </c>
      <c r="G280" s="22">
        <v>40672</v>
      </c>
      <c r="H280" s="8">
        <v>84308</v>
      </c>
      <c r="I280" s="7" t="str">
        <f t="shared" si="46"/>
        <v>rama.karwal@br.kal.ba</v>
      </c>
      <c r="J280" s="6" t="s">
        <v>1537</v>
      </c>
      <c r="K280" s="6">
        <v>49</v>
      </c>
      <c r="L280" s="7" t="str">
        <f t="shared" si="47"/>
        <v>br.kal.ba</v>
      </c>
      <c r="M280" s="7" t="str">
        <f t="shared" si="48"/>
        <v>K.Rama</v>
      </c>
      <c r="N280" s="6">
        <f t="shared" si="49"/>
        <v>0</v>
      </c>
      <c r="O280" s="6">
        <f t="shared" si="50"/>
        <v>0</v>
      </c>
      <c r="P280" s="6" t="str">
        <f t="shared" si="51"/>
        <v>N</v>
      </c>
      <c r="Q280" s="6">
        <f t="shared" si="52"/>
        <v>10</v>
      </c>
      <c r="R280" s="6" t="str">
        <f t="shared" si="53"/>
        <v>2011</v>
      </c>
      <c r="S280" s="6" t="str">
        <f t="shared" si="54"/>
        <v>May</v>
      </c>
    </row>
    <row r="281" spans="1:19" x14ac:dyDescent="0.25">
      <c r="A281" s="6">
        <v>709</v>
      </c>
      <c r="B281" s="6" t="str">
        <f t="shared" si="44"/>
        <v>NIKBRA00709</v>
      </c>
      <c r="C281" s="7" t="s">
        <v>886</v>
      </c>
      <c r="D281" s="7" t="s">
        <v>887</v>
      </c>
      <c r="E281" s="7" t="str">
        <f t="shared" si="45"/>
        <v>JAYDEEP RAJNIKANT</v>
      </c>
      <c r="F281" s="7" t="s">
        <v>10</v>
      </c>
      <c r="G281" s="22">
        <v>42485</v>
      </c>
      <c r="H281" s="8">
        <v>37780</v>
      </c>
      <c r="I281" s="7" t="str">
        <f t="shared" si="46"/>
        <v>jaydeep.rajnikant@br.rat.ba</v>
      </c>
      <c r="J281" s="6" t="s">
        <v>1533</v>
      </c>
      <c r="K281" s="6">
        <v>75</v>
      </c>
      <c r="L281" s="7" t="str">
        <f t="shared" si="47"/>
        <v>br.rat.ba</v>
      </c>
      <c r="M281" s="7" t="str">
        <f t="shared" si="48"/>
        <v>R.Jaydeep</v>
      </c>
      <c r="N281" s="6">
        <f t="shared" si="49"/>
        <v>5</v>
      </c>
      <c r="O281" s="6">
        <f t="shared" si="50"/>
        <v>0</v>
      </c>
      <c r="P281" s="6" t="str">
        <f t="shared" si="51"/>
        <v>N</v>
      </c>
      <c r="Q281" s="6">
        <f t="shared" si="52"/>
        <v>16</v>
      </c>
      <c r="R281" s="6" t="str">
        <f t="shared" si="53"/>
        <v>2016</v>
      </c>
      <c r="S281" s="6" t="str">
        <f t="shared" si="54"/>
        <v>Apr</v>
      </c>
    </row>
    <row r="282" spans="1:19" x14ac:dyDescent="0.25">
      <c r="A282" s="6">
        <v>731</v>
      </c>
      <c r="B282" s="6" t="str">
        <f t="shared" si="44"/>
        <v>NIKBRA00731</v>
      </c>
      <c r="C282" s="7" t="s">
        <v>613</v>
      </c>
      <c r="D282" s="7" t="s">
        <v>904</v>
      </c>
      <c r="E282" s="7" t="str">
        <f t="shared" si="45"/>
        <v>VINIT KATARE</v>
      </c>
      <c r="F282" s="7" t="s">
        <v>10</v>
      </c>
      <c r="G282" s="22">
        <v>42751</v>
      </c>
      <c r="H282" s="8">
        <v>39012</v>
      </c>
      <c r="I282" s="7" t="str">
        <f t="shared" si="46"/>
        <v>vinit.katare@br.kae.ba</v>
      </c>
      <c r="J282" s="6" t="s">
        <v>1543</v>
      </c>
      <c r="K282" s="6">
        <v>78</v>
      </c>
      <c r="L282" s="7" t="str">
        <f t="shared" si="47"/>
        <v>br.kae.ba</v>
      </c>
      <c r="M282" s="7" t="str">
        <f t="shared" si="48"/>
        <v>K.Vinit</v>
      </c>
      <c r="N282" s="6">
        <f t="shared" si="49"/>
        <v>0</v>
      </c>
      <c r="O282" s="6">
        <f t="shared" si="50"/>
        <v>6</v>
      </c>
      <c r="P282" s="6" t="str">
        <f t="shared" si="51"/>
        <v>N</v>
      </c>
      <c r="Q282" s="6">
        <f t="shared" si="52"/>
        <v>11</v>
      </c>
      <c r="R282" s="6" t="str">
        <f t="shared" si="53"/>
        <v>2017</v>
      </c>
      <c r="S282" s="6" t="str">
        <f t="shared" si="54"/>
        <v>Jan</v>
      </c>
    </row>
    <row r="283" spans="1:19" x14ac:dyDescent="0.25">
      <c r="A283" s="6">
        <v>735</v>
      </c>
      <c r="B283" s="6" t="str">
        <f t="shared" si="44"/>
        <v>NIKBRA00735</v>
      </c>
      <c r="C283" s="7" t="s">
        <v>173</v>
      </c>
      <c r="D283" s="7" t="s">
        <v>907</v>
      </c>
      <c r="E283" s="7" t="str">
        <f t="shared" si="45"/>
        <v>VIVEK JASHUBHAI</v>
      </c>
      <c r="F283" s="7" t="s">
        <v>10</v>
      </c>
      <c r="G283" s="22">
        <v>43321</v>
      </c>
      <c r="H283" s="8">
        <v>33459</v>
      </c>
      <c r="I283" s="7" t="str">
        <f t="shared" si="46"/>
        <v>vivek.jashubhai@br.jai.ba</v>
      </c>
      <c r="J283" s="6" t="s">
        <v>1543</v>
      </c>
      <c r="K283" s="6">
        <v>50</v>
      </c>
      <c r="L283" s="7" t="str">
        <f t="shared" si="47"/>
        <v>br.jai.ba</v>
      </c>
      <c r="M283" s="7" t="str">
        <f t="shared" si="48"/>
        <v>J.Vivek</v>
      </c>
      <c r="N283" s="6">
        <f t="shared" si="49"/>
        <v>4</v>
      </c>
      <c r="O283" s="6">
        <f t="shared" si="50"/>
        <v>0</v>
      </c>
      <c r="P283" s="6" t="str">
        <f t="shared" si="51"/>
        <v>N</v>
      </c>
      <c r="Q283" s="6">
        <f t="shared" si="52"/>
        <v>14</v>
      </c>
      <c r="R283" s="6" t="str">
        <f t="shared" si="53"/>
        <v>2018</v>
      </c>
      <c r="S283" s="6" t="str">
        <f t="shared" si="54"/>
        <v>Aug</v>
      </c>
    </row>
    <row r="284" spans="1:19" x14ac:dyDescent="0.25">
      <c r="A284" s="6">
        <v>749</v>
      </c>
      <c r="B284" s="6" t="str">
        <f t="shared" si="44"/>
        <v>NIKBRA00749</v>
      </c>
      <c r="C284" s="7" t="s">
        <v>558</v>
      </c>
      <c r="D284" s="7" t="s">
        <v>55</v>
      </c>
      <c r="E284" s="7" t="str">
        <f t="shared" si="45"/>
        <v>PRIYA SHARMA</v>
      </c>
      <c r="F284" s="7" t="s">
        <v>10</v>
      </c>
      <c r="G284" s="22">
        <v>43313</v>
      </c>
      <c r="H284" s="8">
        <v>83993</v>
      </c>
      <c r="I284" s="7" t="str">
        <f t="shared" si="46"/>
        <v>priya.sharma@br.sha.ba</v>
      </c>
      <c r="J284" s="6" t="s">
        <v>1539</v>
      </c>
      <c r="K284" s="6">
        <v>46</v>
      </c>
      <c r="L284" s="7" t="str">
        <f t="shared" si="47"/>
        <v>br.sha.ba</v>
      </c>
      <c r="M284" s="7" t="str">
        <f t="shared" si="48"/>
        <v>S.Priya</v>
      </c>
      <c r="N284" s="6">
        <f t="shared" si="49"/>
        <v>0</v>
      </c>
      <c r="O284" s="6">
        <f t="shared" si="50"/>
        <v>0</v>
      </c>
      <c r="P284" s="6" t="str">
        <f t="shared" si="51"/>
        <v>N</v>
      </c>
      <c r="Q284" s="6">
        <f t="shared" si="52"/>
        <v>11</v>
      </c>
      <c r="R284" s="6" t="str">
        <f t="shared" si="53"/>
        <v>2018</v>
      </c>
      <c r="S284" s="6" t="str">
        <f t="shared" si="54"/>
        <v>Aug</v>
      </c>
    </row>
    <row r="285" spans="1:19" x14ac:dyDescent="0.25">
      <c r="A285" s="6">
        <v>757</v>
      </c>
      <c r="B285" s="6" t="str">
        <f t="shared" si="44"/>
        <v>NIKBRA00757</v>
      </c>
      <c r="C285" s="7" t="s">
        <v>925</v>
      </c>
      <c r="D285" s="7" t="s">
        <v>55</v>
      </c>
      <c r="E285" s="7" t="str">
        <f t="shared" si="45"/>
        <v>ABHAYRAJ SHARMA</v>
      </c>
      <c r="F285" s="7" t="s">
        <v>10</v>
      </c>
      <c r="G285" s="22">
        <v>42840</v>
      </c>
      <c r="H285" s="8">
        <v>44839</v>
      </c>
      <c r="I285" s="7" t="str">
        <f t="shared" si="46"/>
        <v>abhayraj.sharma@br.sha.ba</v>
      </c>
      <c r="J285" s="6" t="s">
        <v>1536</v>
      </c>
      <c r="K285" s="6">
        <v>61</v>
      </c>
      <c r="L285" s="7" t="str">
        <f t="shared" si="47"/>
        <v>br.sha.ba</v>
      </c>
      <c r="M285" s="7" t="str">
        <f t="shared" si="48"/>
        <v>S.Abhayraj</v>
      </c>
      <c r="N285" s="6">
        <f t="shared" si="49"/>
        <v>0</v>
      </c>
      <c r="O285" s="6">
        <f t="shared" si="50"/>
        <v>0</v>
      </c>
      <c r="P285" s="6" t="str">
        <f t="shared" si="51"/>
        <v>N</v>
      </c>
      <c r="Q285" s="6">
        <f t="shared" si="52"/>
        <v>14</v>
      </c>
      <c r="R285" s="6" t="str">
        <f t="shared" si="53"/>
        <v>2017</v>
      </c>
      <c r="S285" s="6" t="str">
        <f t="shared" si="54"/>
        <v>Apr</v>
      </c>
    </row>
    <row r="286" spans="1:19" x14ac:dyDescent="0.25">
      <c r="A286" s="6">
        <v>763</v>
      </c>
      <c r="B286" s="6" t="str">
        <f t="shared" si="44"/>
        <v>NIKBRA00763</v>
      </c>
      <c r="C286" s="7" t="s">
        <v>209</v>
      </c>
      <c r="D286" s="7" t="s">
        <v>378</v>
      </c>
      <c r="E286" s="7" t="str">
        <f t="shared" si="45"/>
        <v>GAURAV PANDEY</v>
      </c>
      <c r="F286" s="7" t="s">
        <v>10</v>
      </c>
      <c r="G286" s="22">
        <v>43447</v>
      </c>
      <c r="H286" s="8">
        <v>101267</v>
      </c>
      <c r="I286" s="7" t="str">
        <f t="shared" si="46"/>
        <v>gaurav.pandey@br.pay.ba</v>
      </c>
      <c r="J286" s="6" t="s">
        <v>1549</v>
      </c>
      <c r="K286" s="6">
        <v>90</v>
      </c>
      <c r="L286" s="7" t="str">
        <f t="shared" si="47"/>
        <v>br.pay.ba</v>
      </c>
      <c r="M286" s="7" t="str">
        <f t="shared" si="48"/>
        <v>P.Gaurav</v>
      </c>
      <c r="N286" s="6">
        <f t="shared" si="49"/>
        <v>0</v>
      </c>
      <c r="O286" s="6">
        <f t="shared" si="50"/>
        <v>5</v>
      </c>
      <c r="P286" s="6" t="str">
        <f t="shared" si="51"/>
        <v>N</v>
      </c>
      <c r="Q286" s="6">
        <f t="shared" si="52"/>
        <v>12</v>
      </c>
      <c r="R286" s="6" t="str">
        <f t="shared" si="53"/>
        <v>2018</v>
      </c>
      <c r="S286" s="6" t="str">
        <f t="shared" si="54"/>
        <v>Dec</v>
      </c>
    </row>
    <row r="287" spans="1:19" x14ac:dyDescent="0.25">
      <c r="A287" s="6">
        <v>770</v>
      </c>
      <c r="B287" s="6" t="str">
        <f t="shared" si="44"/>
        <v>NIKBRA00770</v>
      </c>
      <c r="C287" s="7" t="s">
        <v>934</v>
      </c>
      <c r="D287" s="7" t="s">
        <v>465</v>
      </c>
      <c r="E287" s="7" t="str">
        <f t="shared" si="45"/>
        <v>TEJASWINI SURESH</v>
      </c>
      <c r="F287" s="7" t="s">
        <v>10</v>
      </c>
      <c r="G287" s="22">
        <v>42917</v>
      </c>
      <c r="H287" s="8">
        <v>104035</v>
      </c>
      <c r="I287" s="7" t="str">
        <f t="shared" si="46"/>
        <v>tejaswini.suresh@br.suh.ba</v>
      </c>
      <c r="J287" s="6" t="s">
        <v>1540</v>
      </c>
      <c r="K287" s="6">
        <v>86</v>
      </c>
      <c r="L287" s="7" t="str">
        <f t="shared" si="47"/>
        <v>br.suh.ba</v>
      </c>
      <c r="M287" s="7" t="str">
        <f t="shared" si="48"/>
        <v>S.Tejaswini</v>
      </c>
      <c r="N287" s="6">
        <f t="shared" si="49"/>
        <v>2</v>
      </c>
      <c r="O287" s="6">
        <f t="shared" si="50"/>
        <v>4</v>
      </c>
      <c r="P287" s="6" t="str">
        <f t="shared" si="51"/>
        <v>Y</v>
      </c>
      <c r="Q287" s="6">
        <f t="shared" si="52"/>
        <v>15</v>
      </c>
      <c r="R287" s="6" t="str">
        <f t="shared" si="53"/>
        <v>2017</v>
      </c>
      <c r="S287" s="6" t="str">
        <f t="shared" si="54"/>
        <v>Jul</v>
      </c>
    </row>
    <row r="288" spans="1:19" x14ac:dyDescent="0.25">
      <c r="A288" s="6">
        <v>774</v>
      </c>
      <c r="B288" s="6" t="str">
        <f t="shared" si="44"/>
        <v>NIKBRA00774</v>
      </c>
      <c r="C288" s="7" t="s">
        <v>550</v>
      </c>
      <c r="D288" s="7" t="s">
        <v>939</v>
      </c>
      <c r="E288" s="7" t="str">
        <f t="shared" si="45"/>
        <v>PRAMOD DADA</v>
      </c>
      <c r="F288" s="7" t="s">
        <v>10</v>
      </c>
      <c r="G288" s="22">
        <v>42614</v>
      </c>
      <c r="H288" s="8">
        <v>88461</v>
      </c>
      <c r="I288" s="7" t="str">
        <f t="shared" si="46"/>
        <v>pramod.dada@br.daa.ba</v>
      </c>
      <c r="J288" s="6" t="s">
        <v>1549</v>
      </c>
      <c r="K288" s="6">
        <v>66</v>
      </c>
      <c r="L288" s="7" t="str">
        <f t="shared" si="47"/>
        <v>br.daa.ba</v>
      </c>
      <c r="M288" s="7" t="str">
        <f t="shared" si="48"/>
        <v>D.Pramod</v>
      </c>
      <c r="N288" s="6">
        <f t="shared" si="49"/>
        <v>0</v>
      </c>
      <c r="O288" s="6">
        <f t="shared" si="50"/>
        <v>0</v>
      </c>
      <c r="P288" s="6" t="str">
        <f t="shared" si="51"/>
        <v>N</v>
      </c>
      <c r="Q288" s="6">
        <f t="shared" si="52"/>
        <v>10</v>
      </c>
      <c r="R288" s="6" t="str">
        <f t="shared" si="53"/>
        <v>2016</v>
      </c>
      <c r="S288" s="6" t="str">
        <f t="shared" si="54"/>
        <v>Sep</v>
      </c>
    </row>
    <row r="289" spans="1:19" x14ac:dyDescent="0.25">
      <c r="A289" s="6">
        <v>783</v>
      </c>
      <c r="B289" s="6" t="str">
        <f t="shared" si="44"/>
        <v>NIKBRA00783</v>
      </c>
      <c r="C289" s="7" t="s">
        <v>944</v>
      </c>
      <c r="D289" s="7" t="s">
        <v>945</v>
      </c>
      <c r="E289" s="7" t="str">
        <f t="shared" si="45"/>
        <v>JASON JOEL</v>
      </c>
      <c r="F289" s="7" t="s">
        <v>10</v>
      </c>
      <c r="G289" s="22">
        <v>42620</v>
      </c>
      <c r="H289" s="8">
        <v>49052</v>
      </c>
      <c r="I289" s="7" t="str">
        <f t="shared" si="46"/>
        <v>jason.joel@br.jol.ba</v>
      </c>
      <c r="J289" s="6" t="s">
        <v>1545</v>
      </c>
      <c r="K289" s="6">
        <v>37</v>
      </c>
      <c r="L289" s="7" t="str">
        <f t="shared" si="47"/>
        <v>br.jol.ba</v>
      </c>
      <c r="M289" s="7" t="str">
        <f t="shared" si="48"/>
        <v>J.Jason</v>
      </c>
      <c r="N289" s="6">
        <f t="shared" si="49"/>
        <v>0</v>
      </c>
      <c r="O289" s="6">
        <f t="shared" si="50"/>
        <v>3</v>
      </c>
      <c r="P289" s="6" t="str">
        <f t="shared" si="51"/>
        <v>N</v>
      </c>
      <c r="Q289" s="6">
        <f t="shared" si="52"/>
        <v>9</v>
      </c>
      <c r="R289" s="6" t="str">
        <f t="shared" si="53"/>
        <v>2016</v>
      </c>
      <c r="S289" s="6" t="str">
        <f t="shared" si="54"/>
        <v>Sep</v>
      </c>
    </row>
    <row r="290" spans="1:19" x14ac:dyDescent="0.25">
      <c r="A290" s="6">
        <v>800</v>
      </c>
      <c r="B290" s="6" t="str">
        <f t="shared" si="44"/>
        <v>NIKBRA00800</v>
      </c>
      <c r="C290" s="7" t="s">
        <v>960</v>
      </c>
      <c r="D290" s="7" t="s">
        <v>55</v>
      </c>
      <c r="E290" s="7" t="str">
        <f t="shared" si="45"/>
        <v>KUNDAN SHARMA</v>
      </c>
      <c r="F290" s="7" t="s">
        <v>10</v>
      </c>
      <c r="G290" s="22">
        <v>43083</v>
      </c>
      <c r="H290" s="8">
        <v>101052</v>
      </c>
      <c r="I290" s="7" t="str">
        <f t="shared" si="46"/>
        <v>kundan.sharma@br.sha.ba</v>
      </c>
      <c r="J290" s="6" t="s">
        <v>1546</v>
      </c>
      <c r="K290" s="6">
        <v>49</v>
      </c>
      <c r="L290" s="7" t="str">
        <f t="shared" si="47"/>
        <v>br.sha.ba</v>
      </c>
      <c r="M290" s="7" t="str">
        <f t="shared" si="48"/>
        <v>S.Kundan</v>
      </c>
      <c r="N290" s="6">
        <f t="shared" si="49"/>
        <v>0</v>
      </c>
      <c r="O290" s="6">
        <f t="shared" si="50"/>
        <v>0</v>
      </c>
      <c r="P290" s="6" t="str">
        <f t="shared" si="51"/>
        <v>N</v>
      </c>
      <c r="Q290" s="6">
        <f t="shared" si="52"/>
        <v>12</v>
      </c>
      <c r="R290" s="6" t="str">
        <f t="shared" si="53"/>
        <v>2017</v>
      </c>
      <c r="S290" s="6" t="str">
        <f t="shared" si="54"/>
        <v>Dec</v>
      </c>
    </row>
    <row r="291" spans="1:19" x14ac:dyDescent="0.25">
      <c r="A291" s="6">
        <v>808</v>
      </c>
      <c r="B291" s="6" t="str">
        <f t="shared" si="44"/>
        <v>NIKBRA00808</v>
      </c>
      <c r="C291" s="7" t="s">
        <v>971</v>
      </c>
      <c r="D291" s="7" t="s">
        <v>70</v>
      </c>
      <c r="E291" s="7" t="str">
        <f t="shared" si="45"/>
        <v>YASHASVI SINGH</v>
      </c>
      <c r="F291" s="7" t="s">
        <v>10</v>
      </c>
      <c r="G291" s="22">
        <v>43481</v>
      </c>
      <c r="H291" s="8">
        <v>69692</v>
      </c>
      <c r="I291" s="7" t="str">
        <f t="shared" si="46"/>
        <v>yashasvi.singh@br.sih.ba</v>
      </c>
      <c r="J291" s="6" t="s">
        <v>1541</v>
      </c>
      <c r="K291" s="6">
        <v>36</v>
      </c>
      <c r="L291" s="7" t="str">
        <f t="shared" si="47"/>
        <v>br.sih.ba</v>
      </c>
      <c r="M291" s="7" t="str">
        <f t="shared" si="48"/>
        <v>S.Yashasvi</v>
      </c>
      <c r="N291" s="6">
        <f t="shared" si="49"/>
        <v>0</v>
      </c>
      <c r="O291" s="6">
        <f t="shared" si="50"/>
        <v>0</v>
      </c>
      <c r="P291" s="6" t="str">
        <f t="shared" si="51"/>
        <v>N</v>
      </c>
      <c r="Q291" s="6">
        <f t="shared" si="52"/>
        <v>13</v>
      </c>
      <c r="R291" s="6" t="str">
        <f t="shared" si="53"/>
        <v>2019</v>
      </c>
      <c r="S291" s="6" t="str">
        <f t="shared" si="54"/>
        <v>Jan</v>
      </c>
    </row>
    <row r="292" spans="1:19" x14ac:dyDescent="0.25">
      <c r="A292" s="6">
        <v>811</v>
      </c>
      <c r="B292" s="6" t="str">
        <f t="shared" si="44"/>
        <v>NIKBRA00811</v>
      </c>
      <c r="C292" s="7" t="s">
        <v>973</v>
      </c>
      <c r="D292" s="7" t="s">
        <v>187</v>
      </c>
      <c r="E292" s="7" t="str">
        <f t="shared" si="45"/>
        <v>TANVI ANAND</v>
      </c>
      <c r="F292" s="7" t="s">
        <v>10</v>
      </c>
      <c r="G292" s="22">
        <v>42835</v>
      </c>
      <c r="H292" s="8">
        <v>47968</v>
      </c>
      <c r="I292" s="7" t="str">
        <f t="shared" si="46"/>
        <v>tanvi.anand@br.and.ba</v>
      </c>
      <c r="J292" s="6" t="s">
        <v>1533</v>
      </c>
      <c r="K292" s="6">
        <v>81</v>
      </c>
      <c r="L292" s="7" t="str">
        <f t="shared" si="47"/>
        <v>br.and.ba</v>
      </c>
      <c r="M292" s="7" t="str">
        <f t="shared" si="48"/>
        <v>A.Tanvi</v>
      </c>
      <c r="N292" s="6">
        <f t="shared" si="49"/>
        <v>0</v>
      </c>
      <c r="O292" s="6">
        <f t="shared" si="50"/>
        <v>0</v>
      </c>
      <c r="P292" s="6" t="str">
        <f t="shared" si="51"/>
        <v>N</v>
      </c>
      <c r="Q292" s="6">
        <f t="shared" si="52"/>
        <v>10</v>
      </c>
      <c r="R292" s="6" t="str">
        <f t="shared" si="53"/>
        <v>2017</v>
      </c>
      <c r="S292" s="6" t="str">
        <f t="shared" si="54"/>
        <v>Apr</v>
      </c>
    </row>
    <row r="293" spans="1:19" x14ac:dyDescent="0.25">
      <c r="A293" s="6">
        <v>816</v>
      </c>
      <c r="B293" s="6" t="str">
        <f t="shared" si="44"/>
        <v>NIKBRA00816</v>
      </c>
      <c r="C293" s="7" t="s">
        <v>787</v>
      </c>
      <c r="D293" s="7" t="s">
        <v>498</v>
      </c>
      <c r="E293" s="7" t="str">
        <f t="shared" si="45"/>
        <v>HARPREET KAUR</v>
      </c>
      <c r="F293" s="7" t="s">
        <v>10</v>
      </c>
      <c r="G293" s="22">
        <v>43115</v>
      </c>
      <c r="H293" s="8">
        <v>91551</v>
      </c>
      <c r="I293" s="7" t="str">
        <f t="shared" si="46"/>
        <v>harpreet.kaur@br.kar.ba</v>
      </c>
      <c r="J293" s="6" t="s">
        <v>1537</v>
      </c>
      <c r="K293" s="6">
        <v>89</v>
      </c>
      <c r="L293" s="7" t="str">
        <f t="shared" si="47"/>
        <v>br.kar.ba</v>
      </c>
      <c r="M293" s="7" t="str">
        <f t="shared" si="48"/>
        <v>K.Harpreet</v>
      </c>
      <c r="N293" s="6">
        <f t="shared" si="49"/>
        <v>6</v>
      </c>
      <c r="O293" s="6">
        <f t="shared" si="50"/>
        <v>0</v>
      </c>
      <c r="P293" s="6" t="str">
        <f t="shared" si="51"/>
        <v>N</v>
      </c>
      <c r="Q293" s="6">
        <f t="shared" si="52"/>
        <v>12</v>
      </c>
      <c r="R293" s="6" t="str">
        <f t="shared" si="53"/>
        <v>2018</v>
      </c>
      <c r="S293" s="6" t="str">
        <f t="shared" si="54"/>
        <v>Jan</v>
      </c>
    </row>
    <row r="294" spans="1:19" x14ac:dyDescent="0.25">
      <c r="A294" s="6">
        <v>817</v>
      </c>
      <c r="B294" s="6" t="str">
        <f t="shared" si="44"/>
        <v>NIKBRA00817</v>
      </c>
      <c r="C294" s="7" t="s">
        <v>978</v>
      </c>
      <c r="D294" s="7" t="s">
        <v>498</v>
      </c>
      <c r="E294" s="7" t="str">
        <f t="shared" si="45"/>
        <v>RANDEEP KAUR</v>
      </c>
      <c r="F294" s="7" t="s">
        <v>10</v>
      </c>
      <c r="G294" s="22">
        <v>43535</v>
      </c>
      <c r="H294" s="8">
        <v>101681</v>
      </c>
      <c r="I294" s="7" t="str">
        <f t="shared" si="46"/>
        <v>randeep.kaur@br.kar.ba</v>
      </c>
      <c r="J294" s="6" t="s">
        <v>1542</v>
      </c>
      <c r="K294" s="6">
        <v>53</v>
      </c>
      <c r="L294" s="7" t="str">
        <f t="shared" si="47"/>
        <v>br.kar.ba</v>
      </c>
      <c r="M294" s="7" t="str">
        <f t="shared" si="48"/>
        <v>K.Randeep</v>
      </c>
      <c r="N294" s="6">
        <f t="shared" si="49"/>
        <v>5</v>
      </c>
      <c r="O294" s="6">
        <f t="shared" si="50"/>
        <v>0</v>
      </c>
      <c r="P294" s="6" t="str">
        <f t="shared" si="51"/>
        <v>N</v>
      </c>
      <c r="Q294" s="6">
        <f t="shared" si="52"/>
        <v>11</v>
      </c>
      <c r="R294" s="6" t="str">
        <f t="shared" si="53"/>
        <v>2019</v>
      </c>
      <c r="S294" s="6" t="str">
        <f t="shared" si="54"/>
        <v>Mar</v>
      </c>
    </row>
    <row r="295" spans="1:19" x14ac:dyDescent="0.25">
      <c r="A295" s="6">
        <v>823</v>
      </c>
      <c r="B295" s="6" t="str">
        <f t="shared" si="44"/>
        <v>NIKBRA00823</v>
      </c>
      <c r="C295" s="7" t="s">
        <v>111</v>
      </c>
      <c r="D295" s="7" t="s">
        <v>167</v>
      </c>
      <c r="E295" s="7" t="str">
        <f t="shared" si="45"/>
        <v>BHARAT ARORA</v>
      </c>
      <c r="F295" s="7" t="s">
        <v>10</v>
      </c>
      <c r="G295" s="22">
        <v>42832</v>
      </c>
      <c r="H295" s="8">
        <v>40302</v>
      </c>
      <c r="I295" s="7" t="str">
        <f t="shared" si="46"/>
        <v>bharat.arora@br.ara.ba</v>
      </c>
      <c r="J295" s="6" t="s">
        <v>1539</v>
      </c>
      <c r="K295" s="6">
        <v>84</v>
      </c>
      <c r="L295" s="7" t="str">
        <f t="shared" si="47"/>
        <v>br.ara.ba</v>
      </c>
      <c r="M295" s="7" t="str">
        <f t="shared" si="48"/>
        <v>A.Bharat</v>
      </c>
      <c r="N295" s="6">
        <f t="shared" si="49"/>
        <v>0</v>
      </c>
      <c r="O295" s="6">
        <f t="shared" si="50"/>
        <v>0</v>
      </c>
      <c r="P295" s="6" t="str">
        <f t="shared" si="51"/>
        <v>N</v>
      </c>
      <c r="Q295" s="6">
        <f t="shared" si="52"/>
        <v>11</v>
      </c>
      <c r="R295" s="6" t="str">
        <f t="shared" si="53"/>
        <v>2017</v>
      </c>
      <c r="S295" s="6" t="str">
        <f t="shared" si="54"/>
        <v>Apr</v>
      </c>
    </row>
    <row r="296" spans="1:19" x14ac:dyDescent="0.25">
      <c r="A296" s="6">
        <v>827</v>
      </c>
      <c r="B296" s="6" t="str">
        <f t="shared" si="44"/>
        <v>NIKBRA00827</v>
      </c>
      <c r="C296" s="7" t="s">
        <v>986</v>
      </c>
      <c r="D296" s="7" t="s">
        <v>435</v>
      </c>
      <c r="E296" s="7" t="str">
        <f t="shared" si="45"/>
        <v>TEJAS DAMODAR</v>
      </c>
      <c r="F296" s="7" t="s">
        <v>10</v>
      </c>
      <c r="G296" s="22">
        <v>43057</v>
      </c>
      <c r="H296" s="8">
        <v>81998</v>
      </c>
      <c r="I296" s="7" t="str">
        <f t="shared" si="46"/>
        <v>tejas.damodar@br.dar.ba</v>
      </c>
      <c r="J296" s="6" t="s">
        <v>1540</v>
      </c>
      <c r="K296" s="6">
        <v>48</v>
      </c>
      <c r="L296" s="7" t="str">
        <f t="shared" si="47"/>
        <v>br.dar.ba</v>
      </c>
      <c r="M296" s="7" t="str">
        <f t="shared" si="48"/>
        <v>D.Tejas</v>
      </c>
      <c r="N296" s="6">
        <f t="shared" si="49"/>
        <v>2</v>
      </c>
      <c r="O296" s="6">
        <f t="shared" si="50"/>
        <v>0</v>
      </c>
      <c r="P296" s="6" t="str">
        <f t="shared" si="51"/>
        <v>N</v>
      </c>
      <c r="Q296" s="6">
        <f t="shared" si="52"/>
        <v>12</v>
      </c>
      <c r="R296" s="6" t="str">
        <f t="shared" si="53"/>
        <v>2017</v>
      </c>
      <c r="S296" s="6" t="str">
        <f t="shared" si="54"/>
        <v>Nov</v>
      </c>
    </row>
    <row r="297" spans="1:19" x14ac:dyDescent="0.25">
      <c r="A297" s="6">
        <v>835</v>
      </c>
      <c r="B297" s="6" t="str">
        <f t="shared" si="44"/>
        <v>NIKBRA00835</v>
      </c>
      <c r="C297" s="7" t="s">
        <v>375</v>
      </c>
      <c r="D297" s="7" t="s">
        <v>376</v>
      </c>
      <c r="E297" s="7" t="str">
        <f t="shared" si="45"/>
        <v>REEMA KHANNA</v>
      </c>
      <c r="F297" s="7" t="s">
        <v>10</v>
      </c>
      <c r="G297" s="22">
        <v>42431</v>
      </c>
      <c r="H297" s="8">
        <v>87859</v>
      </c>
      <c r="I297" s="7" t="str">
        <f t="shared" si="46"/>
        <v>reema.khanna@br.kha.ba</v>
      </c>
      <c r="J297" s="6" t="s">
        <v>1541</v>
      </c>
      <c r="K297" s="6">
        <v>63</v>
      </c>
      <c r="L297" s="7" t="str">
        <f t="shared" si="47"/>
        <v>br.kha.ba</v>
      </c>
      <c r="M297" s="7" t="str">
        <f t="shared" si="48"/>
        <v>K.Reema</v>
      </c>
      <c r="N297" s="6">
        <f t="shared" si="49"/>
        <v>2</v>
      </c>
      <c r="O297" s="6">
        <f t="shared" si="50"/>
        <v>0</v>
      </c>
      <c r="P297" s="6" t="str">
        <f t="shared" si="51"/>
        <v>N</v>
      </c>
      <c r="Q297" s="6">
        <f t="shared" si="52"/>
        <v>11</v>
      </c>
      <c r="R297" s="6" t="str">
        <f t="shared" si="53"/>
        <v>2016</v>
      </c>
      <c r="S297" s="6" t="str">
        <f t="shared" si="54"/>
        <v>Mar</v>
      </c>
    </row>
    <row r="298" spans="1:19" x14ac:dyDescent="0.25">
      <c r="A298" s="6">
        <v>839</v>
      </c>
      <c r="B298" s="6" t="str">
        <f t="shared" si="44"/>
        <v>NIKBRA00839</v>
      </c>
      <c r="C298" s="7" t="s">
        <v>992</v>
      </c>
      <c r="D298" s="7" t="s">
        <v>252</v>
      </c>
      <c r="E298" s="7" t="str">
        <f t="shared" si="45"/>
        <v>MADHUR KHATRI</v>
      </c>
      <c r="F298" s="7" t="s">
        <v>10</v>
      </c>
      <c r="G298" s="22">
        <v>42677</v>
      </c>
      <c r="H298" s="8">
        <v>89119</v>
      </c>
      <c r="I298" s="7" t="str">
        <f t="shared" si="46"/>
        <v>madhur.khatri@br.khi.ba</v>
      </c>
      <c r="J298" s="6" t="s">
        <v>1544</v>
      </c>
      <c r="K298" s="6">
        <v>64</v>
      </c>
      <c r="L298" s="7" t="str">
        <f t="shared" si="47"/>
        <v>br.khi.ba</v>
      </c>
      <c r="M298" s="7" t="str">
        <f t="shared" si="48"/>
        <v>K.Madhur</v>
      </c>
      <c r="N298" s="6">
        <f t="shared" si="49"/>
        <v>0</v>
      </c>
      <c r="O298" s="6">
        <f t="shared" si="50"/>
        <v>0</v>
      </c>
      <c r="P298" s="6" t="str">
        <f t="shared" si="51"/>
        <v>N</v>
      </c>
      <c r="Q298" s="6">
        <f t="shared" si="52"/>
        <v>12</v>
      </c>
      <c r="R298" s="6" t="str">
        <f t="shared" si="53"/>
        <v>2016</v>
      </c>
      <c r="S298" s="6" t="str">
        <f t="shared" si="54"/>
        <v>Nov</v>
      </c>
    </row>
    <row r="299" spans="1:19" x14ac:dyDescent="0.25">
      <c r="A299" s="6">
        <v>863</v>
      </c>
      <c r="B299" s="6" t="str">
        <f t="shared" si="44"/>
        <v>NIKBRA00863</v>
      </c>
      <c r="C299" s="7" t="s">
        <v>563</v>
      </c>
      <c r="D299" s="7" t="s">
        <v>1010</v>
      </c>
      <c r="E299" s="7" t="str">
        <f t="shared" si="45"/>
        <v>GAYATRI TAUR</v>
      </c>
      <c r="F299" s="7" t="s">
        <v>10</v>
      </c>
      <c r="G299" s="22">
        <v>43192</v>
      </c>
      <c r="H299" s="8">
        <v>103519</v>
      </c>
      <c r="I299" s="7" t="str">
        <f t="shared" si="46"/>
        <v>gayatri.taur@br.tar.ba</v>
      </c>
      <c r="J299" s="6" t="s">
        <v>1544</v>
      </c>
      <c r="K299" s="6">
        <v>88</v>
      </c>
      <c r="L299" s="7" t="str">
        <f t="shared" si="47"/>
        <v>br.tar.ba</v>
      </c>
      <c r="M299" s="7" t="str">
        <f t="shared" si="48"/>
        <v>T.Gayatri</v>
      </c>
      <c r="N299" s="6">
        <f t="shared" si="49"/>
        <v>0</v>
      </c>
      <c r="O299" s="6">
        <f t="shared" si="50"/>
        <v>0</v>
      </c>
      <c r="P299" s="6" t="str">
        <f t="shared" si="51"/>
        <v>N</v>
      </c>
      <c r="Q299" s="6">
        <f t="shared" si="52"/>
        <v>11</v>
      </c>
      <c r="R299" s="6" t="str">
        <f t="shared" si="53"/>
        <v>2018</v>
      </c>
      <c r="S299" s="6" t="str">
        <f t="shared" si="54"/>
        <v>Apr</v>
      </c>
    </row>
    <row r="300" spans="1:19" x14ac:dyDescent="0.25">
      <c r="A300" s="6">
        <v>868</v>
      </c>
      <c r="B300" s="6" t="str">
        <f t="shared" si="44"/>
        <v>NIKBRA00868</v>
      </c>
      <c r="C300" s="7" t="s">
        <v>1014</v>
      </c>
      <c r="D300" s="7" t="s">
        <v>70</v>
      </c>
      <c r="E300" s="7" t="str">
        <f t="shared" si="45"/>
        <v>NISHAN SINGH</v>
      </c>
      <c r="F300" s="7" t="s">
        <v>10</v>
      </c>
      <c r="G300" s="22">
        <v>42509</v>
      </c>
      <c r="H300" s="8">
        <v>76789</v>
      </c>
      <c r="I300" s="7" t="str">
        <f t="shared" si="46"/>
        <v>nishan.singh@br.sih.ba</v>
      </c>
      <c r="J300" s="6" t="s">
        <v>1548</v>
      </c>
      <c r="K300" s="6">
        <v>37</v>
      </c>
      <c r="L300" s="7" t="str">
        <f t="shared" si="47"/>
        <v>br.sih.ba</v>
      </c>
      <c r="M300" s="7" t="str">
        <f t="shared" si="48"/>
        <v>S.Nishan</v>
      </c>
      <c r="N300" s="6">
        <f t="shared" si="49"/>
        <v>0</v>
      </c>
      <c r="O300" s="6">
        <f t="shared" si="50"/>
        <v>0</v>
      </c>
      <c r="P300" s="6" t="str">
        <f t="shared" si="51"/>
        <v>N</v>
      </c>
      <c r="Q300" s="6">
        <f t="shared" si="52"/>
        <v>11</v>
      </c>
      <c r="R300" s="6" t="str">
        <f t="shared" si="53"/>
        <v>2016</v>
      </c>
      <c r="S300" s="6" t="str">
        <f t="shared" si="54"/>
        <v>May</v>
      </c>
    </row>
    <row r="301" spans="1:19" x14ac:dyDescent="0.25">
      <c r="A301" s="6">
        <v>876</v>
      </c>
      <c r="B301" s="6" t="str">
        <f t="shared" si="44"/>
        <v>NIKBRA00876</v>
      </c>
      <c r="C301" s="7" t="s">
        <v>209</v>
      </c>
      <c r="D301" s="7" t="s">
        <v>64</v>
      </c>
      <c r="E301" s="7" t="str">
        <f t="shared" si="45"/>
        <v>GAURAV NAIR</v>
      </c>
      <c r="F301" s="7" t="s">
        <v>10</v>
      </c>
      <c r="G301" s="22">
        <v>42887</v>
      </c>
      <c r="H301" s="8">
        <v>46408</v>
      </c>
      <c r="I301" s="7" t="str">
        <f t="shared" si="46"/>
        <v>gaurav.nair@br.nar.ba</v>
      </c>
      <c r="J301" s="6" t="s">
        <v>1539</v>
      </c>
      <c r="K301" s="6">
        <v>47</v>
      </c>
      <c r="L301" s="7" t="str">
        <f t="shared" si="47"/>
        <v>br.nar.ba</v>
      </c>
      <c r="M301" s="7" t="str">
        <f t="shared" si="48"/>
        <v>N.Gaurav</v>
      </c>
      <c r="N301" s="6">
        <f t="shared" si="49"/>
        <v>0</v>
      </c>
      <c r="O301" s="6">
        <f t="shared" si="50"/>
        <v>0</v>
      </c>
      <c r="P301" s="6" t="str">
        <f t="shared" si="51"/>
        <v>N</v>
      </c>
      <c r="Q301" s="6">
        <f t="shared" si="52"/>
        <v>10</v>
      </c>
      <c r="R301" s="6" t="str">
        <f t="shared" si="53"/>
        <v>2017</v>
      </c>
      <c r="S301" s="6" t="str">
        <f t="shared" si="54"/>
        <v>Jun</v>
      </c>
    </row>
    <row r="302" spans="1:19" x14ac:dyDescent="0.25">
      <c r="A302" s="6">
        <v>877</v>
      </c>
      <c r="B302" s="6" t="str">
        <f t="shared" si="44"/>
        <v>NIKBRA00877</v>
      </c>
      <c r="C302" s="7" t="s">
        <v>1020</v>
      </c>
      <c r="D302" s="7" t="s">
        <v>1021</v>
      </c>
      <c r="E302" s="7" t="str">
        <f t="shared" si="45"/>
        <v>SARANDHA SOOD</v>
      </c>
      <c r="F302" s="7" t="s">
        <v>10</v>
      </c>
      <c r="G302" s="22">
        <v>43595</v>
      </c>
      <c r="H302" s="8">
        <v>42079</v>
      </c>
      <c r="I302" s="7" t="str">
        <f t="shared" si="46"/>
        <v>sarandha.sood@br.sod.ba</v>
      </c>
      <c r="J302" s="6" t="s">
        <v>1544</v>
      </c>
      <c r="K302" s="6">
        <v>87</v>
      </c>
      <c r="L302" s="7" t="str">
        <f t="shared" si="47"/>
        <v>br.sod.ba</v>
      </c>
      <c r="M302" s="7" t="str">
        <f t="shared" si="48"/>
        <v>S.Sarandha</v>
      </c>
      <c r="N302" s="6">
        <f t="shared" si="49"/>
        <v>0</v>
      </c>
      <c r="O302" s="6">
        <f t="shared" si="50"/>
        <v>0</v>
      </c>
      <c r="P302" s="6" t="str">
        <f t="shared" si="51"/>
        <v>N</v>
      </c>
      <c r="Q302" s="6">
        <f t="shared" si="52"/>
        <v>12</v>
      </c>
      <c r="R302" s="6" t="str">
        <f t="shared" si="53"/>
        <v>2019</v>
      </c>
      <c r="S302" s="6" t="str">
        <f t="shared" si="54"/>
        <v>May</v>
      </c>
    </row>
    <row r="303" spans="1:19" x14ac:dyDescent="0.25">
      <c r="A303" s="6">
        <v>880</v>
      </c>
      <c r="B303" s="6" t="str">
        <f t="shared" si="44"/>
        <v>NIKBRA00880</v>
      </c>
      <c r="C303" s="7" t="s">
        <v>327</v>
      </c>
      <c r="D303" s="7" t="s">
        <v>1023</v>
      </c>
      <c r="E303" s="7" t="str">
        <f t="shared" si="45"/>
        <v>PAYAL DILIPKUMATR</v>
      </c>
      <c r="F303" s="7" t="s">
        <v>10</v>
      </c>
      <c r="G303" s="22">
        <v>43633</v>
      </c>
      <c r="H303" s="8">
        <v>64315</v>
      </c>
      <c r="I303" s="7" t="str">
        <f t="shared" si="46"/>
        <v>payal.dilipkumatr@br.dir.ba</v>
      </c>
      <c r="J303" s="6" t="s">
        <v>1546</v>
      </c>
      <c r="K303" s="6">
        <v>71</v>
      </c>
      <c r="L303" s="7" t="str">
        <f t="shared" si="47"/>
        <v>br.dir.ba</v>
      </c>
      <c r="M303" s="7" t="str">
        <f t="shared" si="48"/>
        <v>D.Payal</v>
      </c>
      <c r="N303" s="6">
        <f t="shared" si="49"/>
        <v>0</v>
      </c>
      <c r="O303" s="6">
        <f t="shared" si="50"/>
        <v>0</v>
      </c>
      <c r="P303" s="6" t="str">
        <f t="shared" si="51"/>
        <v>N</v>
      </c>
      <c r="Q303" s="6">
        <f t="shared" si="52"/>
        <v>16</v>
      </c>
      <c r="R303" s="6" t="str">
        <f t="shared" si="53"/>
        <v>2019</v>
      </c>
      <c r="S303" s="6" t="str">
        <f t="shared" si="54"/>
        <v>Jun</v>
      </c>
    </row>
    <row r="304" spans="1:19" x14ac:dyDescent="0.25">
      <c r="A304" s="6">
        <v>883</v>
      </c>
      <c r="B304" s="6" t="str">
        <f t="shared" si="44"/>
        <v>NIKBRA00883</v>
      </c>
      <c r="C304" s="7" t="s">
        <v>18</v>
      </c>
      <c r="D304" s="7" t="s">
        <v>170</v>
      </c>
      <c r="E304" s="7" t="str">
        <f t="shared" si="45"/>
        <v>MOHIT VINOD</v>
      </c>
      <c r="F304" s="7" t="s">
        <v>10</v>
      </c>
      <c r="G304" s="22">
        <v>43290</v>
      </c>
      <c r="H304" s="8">
        <v>60000</v>
      </c>
      <c r="I304" s="7" t="str">
        <f t="shared" si="46"/>
        <v>mohit.vinod@br.vid.ba</v>
      </c>
      <c r="J304" s="6" t="s">
        <v>1549</v>
      </c>
      <c r="K304" s="6">
        <v>59</v>
      </c>
      <c r="L304" s="7" t="str">
        <f t="shared" si="47"/>
        <v>br.vid.ba</v>
      </c>
      <c r="M304" s="7" t="str">
        <f t="shared" si="48"/>
        <v>V.Mohit</v>
      </c>
      <c r="N304" s="6">
        <f t="shared" si="49"/>
        <v>0</v>
      </c>
      <c r="O304" s="6">
        <f t="shared" si="50"/>
        <v>0</v>
      </c>
      <c r="P304" s="6" t="str">
        <f t="shared" si="51"/>
        <v>N</v>
      </c>
      <c r="Q304" s="6">
        <f t="shared" si="52"/>
        <v>10</v>
      </c>
      <c r="R304" s="6" t="str">
        <f t="shared" si="53"/>
        <v>2018</v>
      </c>
      <c r="S304" s="6" t="str">
        <f t="shared" si="54"/>
        <v>Jul</v>
      </c>
    </row>
    <row r="305" spans="1:19" x14ac:dyDescent="0.25">
      <c r="A305" s="6">
        <v>893</v>
      </c>
      <c r="B305" s="6" t="str">
        <f t="shared" si="44"/>
        <v>NIKBRA00893</v>
      </c>
      <c r="C305" s="7" t="s">
        <v>669</v>
      </c>
      <c r="D305" s="7" t="s">
        <v>670</v>
      </c>
      <c r="E305" s="7" t="str">
        <f t="shared" si="45"/>
        <v>ANUPAM MUKHI</v>
      </c>
      <c r="F305" s="7" t="s">
        <v>10</v>
      </c>
      <c r="G305" s="22">
        <v>43626</v>
      </c>
      <c r="H305" s="8">
        <v>102707</v>
      </c>
      <c r="I305" s="7" t="str">
        <f t="shared" si="46"/>
        <v>anupam.mukhi@br.mui.ba</v>
      </c>
      <c r="J305" s="6" t="s">
        <v>1543</v>
      </c>
      <c r="K305" s="6">
        <v>48</v>
      </c>
      <c r="L305" s="7" t="str">
        <f t="shared" si="47"/>
        <v>br.mui.ba</v>
      </c>
      <c r="M305" s="7" t="str">
        <f t="shared" si="48"/>
        <v>M.Anupam</v>
      </c>
      <c r="N305" s="6">
        <f t="shared" si="49"/>
        <v>0</v>
      </c>
      <c r="O305" s="6">
        <f t="shared" si="50"/>
        <v>0</v>
      </c>
      <c r="P305" s="6" t="str">
        <f t="shared" si="51"/>
        <v>N</v>
      </c>
      <c r="Q305" s="6">
        <f t="shared" si="52"/>
        <v>11</v>
      </c>
      <c r="R305" s="6" t="str">
        <f t="shared" si="53"/>
        <v>2019</v>
      </c>
      <c r="S305" s="6" t="str">
        <f t="shared" si="54"/>
        <v>Jun</v>
      </c>
    </row>
    <row r="306" spans="1:19" x14ac:dyDescent="0.25">
      <c r="A306" s="6">
        <v>905</v>
      </c>
      <c r="B306" s="6" t="str">
        <f t="shared" si="44"/>
        <v>NIKBRA00905</v>
      </c>
      <c r="C306" s="7" t="s">
        <v>18</v>
      </c>
      <c r="D306" s="7" t="s">
        <v>55</v>
      </c>
      <c r="E306" s="7" t="str">
        <f t="shared" si="45"/>
        <v>MOHIT SHARMA</v>
      </c>
      <c r="F306" s="7" t="s">
        <v>10</v>
      </c>
      <c r="G306" s="22">
        <v>42751</v>
      </c>
      <c r="H306" s="8">
        <v>83985</v>
      </c>
      <c r="I306" s="7" t="str">
        <f t="shared" si="46"/>
        <v>mohit.sharma@br.sha.ba</v>
      </c>
      <c r="J306" s="6" t="s">
        <v>1541</v>
      </c>
      <c r="K306" s="6">
        <v>66</v>
      </c>
      <c r="L306" s="7" t="str">
        <f t="shared" si="47"/>
        <v>br.sha.ba</v>
      </c>
      <c r="M306" s="7" t="str">
        <f t="shared" si="48"/>
        <v>S.Mohit</v>
      </c>
      <c r="N306" s="6">
        <f t="shared" si="49"/>
        <v>0</v>
      </c>
      <c r="O306" s="6">
        <f t="shared" si="50"/>
        <v>0</v>
      </c>
      <c r="P306" s="6" t="str">
        <f t="shared" si="51"/>
        <v>N</v>
      </c>
      <c r="Q306" s="6">
        <f t="shared" si="52"/>
        <v>11</v>
      </c>
      <c r="R306" s="6" t="str">
        <f t="shared" si="53"/>
        <v>2017</v>
      </c>
      <c r="S306" s="6" t="str">
        <f t="shared" si="54"/>
        <v>Jan</v>
      </c>
    </row>
    <row r="307" spans="1:19" x14ac:dyDescent="0.25">
      <c r="A307" s="6">
        <v>906</v>
      </c>
      <c r="B307" s="6" t="str">
        <f t="shared" si="44"/>
        <v>NIKBRA00906</v>
      </c>
      <c r="C307" s="7" t="s">
        <v>797</v>
      </c>
      <c r="D307" s="7" t="s">
        <v>1046</v>
      </c>
      <c r="E307" s="7" t="str">
        <f t="shared" si="45"/>
        <v>S VIGNESH</v>
      </c>
      <c r="F307" s="7" t="s">
        <v>10</v>
      </c>
      <c r="G307" s="22">
        <v>43619</v>
      </c>
      <c r="H307" s="8">
        <v>51250</v>
      </c>
      <c r="I307" s="7" t="str">
        <f t="shared" si="46"/>
        <v>s.vignesh@br.vih.ba</v>
      </c>
      <c r="J307" s="6" t="s">
        <v>1543</v>
      </c>
      <c r="K307" s="6">
        <v>38</v>
      </c>
      <c r="L307" s="7" t="str">
        <f t="shared" si="47"/>
        <v>br.vih.ba</v>
      </c>
      <c r="M307" s="7" t="str">
        <f t="shared" si="48"/>
        <v>V.S</v>
      </c>
      <c r="N307" s="6">
        <f t="shared" si="49"/>
        <v>0</v>
      </c>
      <c r="O307" s="6">
        <f t="shared" si="50"/>
        <v>5</v>
      </c>
      <c r="P307" s="6" t="str">
        <f t="shared" si="51"/>
        <v>N</v>
      </c>
      <c r="Q307" s="6">
        <f t="shared" si="52"/>
        <v>8</v>
      </c>
      <c r="R307" s="6" t="str">
        <f t="shared" si="53"/>
        <v>2019</v>
      </c>
      <c r="S307" s="6" t="str">
        <f t="shared" si="54"/>
        <v>Jun</v>
      </c>
    </row>
    <row r="308" spans="1:19" x14ac:dyDescent="0.25">
      <c r="A308" s="6">
        <v>912</v>
      </c>
      <c r="B308" s="6" t="str">
        <f t="shared" si="44"/>
        <v>NIKBRA00912</v>
      </c>
      <c r="C308" s="7" t="s">
        <v>1053</v>
      </c>
      <c r="D308" s="7" t="s">
        <v>179</v>
      </c>
      <c r="E308" s="7" t="str">
        <f t="shared" si="45"/>
        <v>HIMANI GUPTA</v>
      </c>
      <c r="F308" s="7" t="s">
        <v>10</v>
      </c>
      <c r="G308" s="22">
        <v>42438</v>
      </c>
      <c r="H308" s="8">
        <v>47637</v>
      </c>
      <c r="I308" s="7" t="str">
        <f t="shared" si="46"/>
        <v>himani.gupta@br.gua.ba</v>
      </c>
      <c r="J308" s="6" t="s">
        <v>1546</v>
      </c>
      <c r="K308" s="6">
        <v>37</v>
      </c>
      <c r="L308" s="7" t="str">
        <f t="shared" si="47"/>
        <v>br.gua.ba</v>
      </c>
      <c r="M308" s="7" t="str">
        <f t="shared" si="48"/>
        <v>G.Himani</v>
      </c>
      <c r="N308" s="6">
        <f t="shared" si="49"/>
        <v>0</v>
      </c>
      <c r="O308" s="6">
        <f t="shared" si="50"/>
        <v>0</v>
      </c>
      <c r="P308" s="6" t="str">
        <f t="shared" si="51"/>
        <v>N</v>
      </c>
      <c r="Q308" s="6">
        <f t="shared" si="52"/>
        <v>11</v>
      </c>
      <c r="R308" s="6" t="str">
        <f t="shared" si="53"/>
        <v>2016</v>
      </c>
      <c r="S308" s="6" t="str">
        <f t="shared" si="54"/>
        <v>Mar</v>
      </c>
    </row>
    <row r="309" spans="1:19" x14ac:dyDescent="0.25">
      <c r="A309" s="6">
        <v>915</v>
      </c>
      <c r="B309" s="6" t="str">
        <f t="shared" si="44"/>
        <v>NIKBRA00915</v>
      </c>
      <c r="C309" s="7" t="s">
        <v>1055</v>
      </c>
      <c r="D309" s="7" t="s">
        <v>1056</v>
      </c>
      <c r="E309" s="7" t="str">
        <f t="shared" si="45"/>
        <v>LOVE KHETARPAL</v>
      </c>
      <c r="F309" s="7" t="s">
        <v>10</v>
      </c>
      <c r="G309" s="22">
        <v>43817</v>
      </c>
      <c r="H309" s="8">
        <v>40554</v>
      </c>
      <c r="I309" s="7" t="str">
        <f t="shared" si="46"/>
        <v>love.khetarpal@br.khl.ba</v>
      </c>
      <c r="J309" s="6" t="s">
        <v>1550</v>
      </c>
      <c r="K309" s="6">
        <v>86</v>
      </c>
      <c r="L309" s="7" t="str">
        <f t="shared" si="47"/>
        <v>br.khl.ba</v>
      </c>
      <c r="M309" s="7" t="str">
        <f t="shared" si="48"/>
        <v>K.Love</v>
      </c>
      <c r="N309" s="6">
        <f t="shared" si="49"/>
        <v>4</v>
      </c>
      <c r="O309" s="6">
        <f t="shared" si="50"/>
        <v>3</v>
      </c>
      <c r="P309" s="6" t="str">
        <f t="shared" si="51"/>
        <v>Y</v>
      </c>
      <c r="Q309" s="6">
        <f t="shared" si="52"/>
        <v>13</v>
      </c>
      <c r="R309" s="6" t="str">
        <f t="shared" si="53"/>
        <v>2019</v>
      </c>
      <c r="S309" s="6" t="str">
        <f t="shared" si="54"/>
        <v>Dec</v>
      </c>
    </row>
    <row r="310" spans="1:19" x14ac:dyDescent="0.25">
      <c r="A310" s="6">
        <v>926</v>
      </c>
      <c r="B310" s="6" t="str">
        <f t="shared" si="44"/>
        <v>NIKBRA00926</v>
      </c>
      <c r="C310" s="7" t="s">
        <v>19</v>
      </c>
      <c r="D310" s="7" t="s">
        <v>68</v>
      </c>
      <c r="E310" s="7" t="str">
        <f t="shared" si="45"/>
        <v>AMIT KUMAR</v>
      </c>
      <c r="F310" s="7" t="s">
        <v>10</v>
      </c>
      <c r="G310" s="22">
        <v>43017</v>
      </c>
      <c r="H310" s="8">
        <v>69296</v>
      </c>
      <c r="I310" s="7" t="str">
        <f t="shared" si="46"/>
        <v>amit.kumar@br.kur.ba</v>
      </c>
      <c r="J310" s="6" t="s">
        <v>1545</v>
      </c>
      <c r="K310" s="6">
        <v>68</v>
      </c>
      <c r="L310" s="7" t="str">
        <f t="shared" si="47"/>
        <v>br.kur.ba</v>
      </c>
      <c r="M310" s="7" t="str">
        <f t="shared" si="48"/>
        <v>K.Amit</v>
      </c>
      <c r="N310" s="6">
        <f t="shared" si="49"/>
        <v>0</v>
      </c>
      <c r="O310" s="6">
        <f t="shared" si="50"/>
        <v>0</v>
      </c>
      <c r="P310" s="6" t="str">
        <f t="shared" si="51"/>
        <v>N</v>
      </c>
      <c r="Q310" s="6">
        <f t="shared" si="52"/>
        <v>9</v>
      </c>
      <c r="R310" s="6" t="str">
        <f t="shared" si="53"/>
        <v>2017</v>
      </c>
      <c r="S310" s="6" t="str">
        <f t="shared" si="54"/>
        <v>Oct</v>
      </c>
    </row>
    <row r="311" spans="1:19" x14ac:dyDescent="0.25">
      <c r="A311" s="6">
        <v>928</v>
      </c>
      <c r="B311" s="6" t="str">
        <f t="shared" si="44"/>
        <v>NIKBRA00928</v>
      </c>
      <c r="C311" s="7" t="s">
        <v>1068</v>
      </c>
      <c r="D311" s="7" t="s">
        <v>586</v>
      </c>
      <c r="E311" s="7" t="str">
        <f t="shared" si="45"/>
        <v>SOHAM RAJENDRA</v>
      </c>
      <c r="F311" s="7" t="s">
        <v>10</v>
      </c>
      <c r="G311" s="22">
        <v>43360</v>
      </c>
      <c r="H311" s="8">
        <v>89387</v>
      </c>
      <c r="I311" s="7" t="str">
        <f t="shared" si="46"/>
        <v>soham.rajendra@br.raa.ba</v>
      </c>
      <c r="J311" s="6" t="s">
        <v>1545</v>
      </c>
      <c r="K311" s="6">
        <v>42</v>
      </c>
      <c r="L311" s="7" t="str">
        <f t="shared" si="47"/>
        <v>br.raa.ba</v>
      </c>
      <c r="M311" s="7" t="str">
        <f t="shared" si="48"/>
        <v>R.Soham</v>
      </c>
      <c r="N311" s="6">
        <f t="shared" si="49"/>
        <v>0</v>
      </c>
      <c r="O311" s="6">
        <f t="shared" si="50"/>
        <v>4</v>
      </c>
      <c r="P311" s="6" t="str">
        <f t="shared" si="51"/>
        <v>N</v>
      </c>
      <c r="Q311" s="6">
        <f t="shared" si="52"/>
        <v>13</v>
      </c>
      <c r="R311" s="6" t="str">
        <f t="shared" si="53"/>
        <v>2018</v>
      </c>
      <c r="S311" s="6" t="str">
        <f t="shared" si="54"/>
        <v>Sep</v>
      </c>
    </row>
    <row r="312" spans="1:19" x14ac:dyDescent="0.25">
      <c r="A312" s="6">
        <v>939</v>
      </c>
      <c r="B312" s="6" t="str">
        <f t="shared" si="44"/>
        <v>NIKBRA00939</v>
      </c>
      <c r="C312" s="7" t="s">
        <v>974</v>
      </c>
      <c r="D312" s="7" t="s">
        <v>84</v>
      </c>
      <c r="E312" s="7" t="str">
        <f t="shared" si="45"/>
        <v>VANI PRAKASH</v>
      </c>
      <c r="F312" s="7" t="s">
        <v>10</v>
      </c>
      <c r="G312" s="22">
        <v>42522</v>
      </c>
      <c r="H312" s="8">
        <v>34872</v>
      </c>
      <c r="I312" s="7" t="str">
        <f t="shared" si="46"/>
        <v>vani.prakash@br.prh.ba</v>
      </c>
      <c r="J312" s="6" t="s">
        <v>1538</v>
      </c>
      <c r="K312" s="6">
        <v>36</v>
      </c>
      <c r="L312" s="7" t="str">
        <f t="shared" si="47"/>
        <v>br.prh.ba</v>
      </c>
      <c r="M312" s="7" t="str">
        <f t="shared" si="48"/>
        <v>P.Vani</v>
      </c>
      <c r="N312" s="6">
        <f t="shared" si="49"/>
        <v>0</v>
      </c>
      <c r="O312" s="6">
        <f t="shared" si="50"/>
        <v>0</v>
      </c>
      <c r="P312" s="6" t="str">
        <f t="shared" si="51"/>
        <v>N</v>
      </c>
      <c r="Q312" s="6">
        <f t="shared" si="52"/>
        <v>11</v>
      </c>
      <c r="R312" s="6" t="str">
        <f t="shared" si="53"/>
        <v>2016</v>
      </c>
      <c r="S312" s="6" t="str">
        <f t="shared" si="54"/>
        <v>Jun</v>
      </c>
    </row>
    <row r="313" spans="1:19" x14ac:dyDescent="0.25">
      <c r="A313" s="6">
        <v>961</v>
      </c>
      <c r="B313" s="6" t="str">
        <f t="shared" si="44"/>
        <v>NIKBRA00961</v>
      </c>
      <c r="C313" s="7" t="s">
        <v>348</v>
      </c>
      <c r="D313" s="7" t="s">
        <v>349</v>
      </c>
      <c r="E313" s="7" t="str">
        <f t="shared" si="45"/>
        <v>AKASH SATYANARAYAN</v>
      </c>
      <c r="F313" s="7" t="s">
        <v>10</v>
      </c>
      <c r="G313" s="22">
        <v>43507</v>
      </c>
      <c r="H313" s="8">
        <v>107367</v>
      </c>
      <c r="I313" s="7" t="str">
        <f t="shared" si="46"/>
        <v>akash.satyanarayan@br.san.ba</v>
      </c>
      <c r="J313" s="6" t="s">
        <v>1533</v>
      </c>
      <c r="K313" s="6">
        <v>46</v>
      </c>
      <c r="L313" s="7" t="str">
        <f t="shared" si="47"/>
        <v>br.san.ba</v>
      </c>
      <c r="M313" s="7" t="str">
        <f t="shared" si="48"/>
        <v>S.Akash</v>
      </c>
      <c r="N313" s="6">
        <f t="shared" si="49"/>
        <v>0</v>
      </c>
      <c r="O313" s="6">
        <f t="shared" si="50"/>
        <v>0</v>
      </c>
      <c r="P313" s="6" t="str">
        <f t="shared" si="51"/>
        <v>N</v>
      </c>
      <c r="Q313" s="6">
        <f t="shared" si="52"/>
        <v>17</v>
      </c>
      <c r="R313" s="6" t="str">
        <f t="shared" si="53"/>
        <v>2019</v>
      </c>
      <c r="S313" s="6" t="str">
        <f t="shared" si="54"/>
        <v>Feb</v>
      </c>
    </row>
    <row r="314" spans="1:19" x14ac:dyDescent="0.25">
      <c r="A314" s="6">
        <v>998</v>
      </c>
      <c r="B314" s="6" t="str">
        <f t="shared" si="44"/>
        <v>NIKBRA00998</v>
      </c>
      <c r="C314" s="7" t="s">
        <v>250</v>
      </c>
      <c r="D314" s="7" t="s">
        <v>179</v>
      </c>
      <c r="E314" s="7" t="str">
        <f t="shared" si="45"/>
        <v>TUSHAR GUPTA</v>
      </c>
      <c r="F314" s="7" t="s">
        <v>10</v>
      </c>
      <c r="G314" s="22">
        <v>43283</v>
      </c>
      <c r="H314" s="8">
        <v>100297</v>
      </c>
      <c r="I314" s="7" t="str">
        <f t="shared" si="46"/>
        <v>tushar.gupta@br.gua.ba</v>
      </c>
      <c r="J314" s="6" t="s">
        <v>1540</v>
      </c>
      <c r="K314" s="6">
        <v>84</v>
      </c>
      <c r="L314" s="7" t="str">
        <f t="shared" si="47"/>
        <v>br.gua.ba</v>
      </c>
      <c r="M314" s="7" t="str">
        <f t="shared" si="48"/>
        <v>G.Tushar</v>
      </c>
      <c r="N314" s="6">
        <f t="shared" si="49"/>
        <v>0</v>
      </c>
      <c r="O314" s="6">
        <f t="shared" si="50"/>
        <v>0</v>
      </c>
      <c r="P314" s="6" t="str">
        <f t="shared" si="51"/>
        <v>N</v>
      </c>
      <c r="Q314" s="6">
        <f t="shared" si="52"/>
        <v>11</v>
      </c>
      <c r="R314" s="6" t="str">
        <f t="shared" si="53"/>
        <v>2018</v>
      </c>
      <c r="S314" s="6" t="str">
        <f t="shared" si="54"/>
        <v>Jul</v>
      </c>
    </row>
    <row r="315" spans="1:19" x14ac:dyDescent="0.25">
      <c r="A315" s="6">
        <v>1010</v>
      </c>
      <c r="B315" s="6" t="str">
        <f t="shared" si="44"/>
        <v>NIKBRA01010</v>
      </c>
      <c r="C315" s="7" t="s">
        <v>1139</v>
      </c>
      <c r="D315" s="7" t="s">
        <v>68</v>
      </c>
      <c r="E315" s="7" t="str">
        <f t="shared" si="45"/>
        <v>SURAJ KUMAR</v>
      </c>
      <c r="F315" s="7" t="s">
        <v>10</v>
      </c>
      <c r="G315" s="22">
        <v>42809</v>
      </c>
      <c r="H315" s="8">
        <v>92691</v>
      </c>
      <c r="I315" s="7" t="str">
        <f t="shared" si="46"/>
        <v>suraj.kumar@br.kur.ba</v>
      </c>
      <c r="J315" s="6" t="s">
        <v>1542</v>
      </c>
      <c r="K315" s="6">
        <v>39</v>
      </c>
      <c r="L315" s="7" t="str">
        <f t="shared" si="47"/>
        <v>br.kur.ba</v>
      </c>
      <c r="M315" s="7" t="str">
        <f t="shared" si="48"/>
        <v>K.Suraj</v>
      </c>
      <c r="N315" s="6">
        <f t="shared" si="49"/>
        <v>0</v>
      </c>
      <c r="O315" s="6">
        <f t="shared" si="50"/>
        <v>0</v>
      </c>
      <c r="P315" s="6" t="str">
        <f t="shared" si="51"/>
        <v>N</v>
      </c>
      <c r="Q315" s="6">
        <f t="shared" si="52"/>
        <v>10</v>
      </c>
      <c r="R315" s="6" t="str">
        <f t="shared" si="53"/>
        <v>2017</v>
      </c>
      <c r="S315" s="6" t="str">
        <f t="shared" si="54"/>
        <v>Mar</v>
      </c>
    </row>
    <row r="316" spans="1:19" x14ac:dyDescent="0.25">
      <c r="A316" s="6">
        <v>1027</v>
      </c>
      <c r="B316" s="6" t="str">
        <f t="shared" si="44"/>
        <v>NIKBRA01027</v>
      </c>
      <c r="C316" s="7" t="s">
        <v>348</v>
      </c>
      <c r="D316" s="7" t="s">
        <v>70</v>
      </c>
      <c r="E316" s="7" t="str">
        <f t="shared" si="45"/>
        <v>AKASH SINGH</v>
      </c>
      <c r="F316" s="7" t="s">
        <v>10</v>
      </c>
      <c r="G316" s="22">
        <v>43678</v>
      </c>
      <c r="H316" s="8">
        <v>71583</v>
      </c>
      <c r="I316" s="7" t="str">
        <f t="shared" si="46"/>
        <v>akash.singh@br.sih.ba</v>
      </c>
      <c r="J316" s="6" t="s">
        <v>1548</v>
      </c>
      <c r="K316" s="6">
        <v>38</v>
      </c>
      <c r="L316" s="7" t="str">
        <f t="shared" si="47"/>
        <v>br.sih.ba</v>
      </c>
      <c r="M316" s="7" t="str">
        <f t="shared" si="48"/>
        <v>S.Akash</v>
      </c>
      <c r="N316" s="6">
        <f t="shared" si="49"/>
        <v>0</v>
      </c>
      <c r="O316" s="6">
        <f t="shared" si="50"/>
        <v>0</v>
      </c>
      <c r="P316" s="6" t="str">
        <f t="shared" si="51"/>
        <v>N</v>
      </c>
      <c r="Q316" s="6">
        <f t="shared" si="52"/>
        <v>10</v>
      </c>
      <c r="R316" s="6" t="str">
        <f t="shared" si="53"/>
        <v>2019</v>
      </c>
      <c r="S316" s="6" t="str">
        <f t="shared" si="54"/>
        <v>Aug</v>
      </c>
    </row>
    <row r="317" spans="1:19" x14ac:dyDescent="0.25">
      <c r="A317" s="6">
        <v>1028</v>
      </c>
      <c r="B317" s="6" t="str">
        <f t="shared" si="44"/>
        <v>NIKBRA01028</v>
      </c>
      <c r="C317" s="7" t="s">
        <v>1151</v>
      </c>
      <c r="D317" s="7" t="s">
        <v>296</v>
      </c>
      <c r="E317" s="7" t="str">
        <f t="shared" si="45"/>
        <v>NEIL DEEPAK</v>
      </c>
      <c r="F317" s="7" t="s">
        <v>10</v>
      </c>
      <c r="G317" s="22">
        <v>43595</v>
      </c>
      <c r="H317" s="8">
        <v>37820</v>
      </c>
      <c r="I317" s="7" t="str">
        <f t="shared" si="46"/>
        <v>neil.deepak@br.dek.ba</v>
      </c>
      <c r="J317" s="6" t="s">
        <v>1536</v>
      </c>
      <c r="K317" s="6">
        <v>69</v>
      </c>
      <c r="L317" s="7" t="str">
        <f t="shared" si="47"/>
        <v>br.dek.ba</v>
      </c>
      <c r="M317" s="7" t="str">
        <f t="shared" si="48"/>
        <v>D.Neil</v>
      </c>
      <c r="N317" s="6">
        <f t="shared" si="49"/>
        <v>2</v>
      </c>
      <c r="O317" s="6">
        <f t="shared" si="50"/>
        <v>2</v>
      </c>
      <c r="P317" s="6" t="str">
        <f t="shared" si="51"/>
        <v>Y</v>
      </c>
      <c r="Q317" s="6">
        <f t="shared" si="52"/>
        <v>10</v>
      </c>
      <c r="R317" s="6" t="str">
        <f t="shared" si="53"/>
        <v>2019</v>
      </c>
      <c r="S317" s="6" t="str">
        <f t="shared" si="54"/>
        <v>May</v>
      </c>
    </row>
    <row r="318" spans="1:19" x14ac:dyDescent="0.25">
      <c r="A318" s="6">
        <v>1053</v>
      </c>
      <c r="B318" s="6" t="str">
        <f t="shared" si="44"/>
        <v>NIKBRA01053</v>
      </c>
      <c r="C318" s="7" t="s">
        <v>1168</v>
      </c>
      <c r="D318" s="7" t="s">
        <v>1169</v>
      </c>
      <c r="E318" s="7" t="str">
        <f t="shared" si="45"/>
        <v>ABISON THOMAS</v>
      </c>
      <c r="F318" s="7" t="s">
        <v>10</v>
      </c>
      <c r="G318" s="22">
        <v>39657</v>
      </c>
      <c r="H318" s="8">
        <v>32878</v>
      </c>
      <c r="I318" s="7" t="str">
        <f t="shared" si="46"/>
        <v>abison.thomas@br.ths.ba</v>
      </c>
      <c r="J318" s="6" t="s">
        <v>1548</v>
      </c>
      <c r="K318" s="6">
        <v>52</v>
      </c>
      <c r="L318" s="7" t="str">
        <f t="shared" si="47"/>
        <v>br.ths.ba</v>
      </c>
      <c r="M318" s="7" t="str">
        <f t="shared" si="48"/>
        <v>T.Abison</v>
      </c>
      <c r="N318" s="6">
        <f t="shared" si="49"/>
        <v>0</v>
      </c>
      <c r="O318" s="6">
        <f t="shared" si="50"/>
        <v>0</v>
      </c>
      <c r="P318" s="6" t="str">
        <f t="shared" si="51"/>
        <v>N</v>
      </c>
      <c r="Q318" s="6">
        <f t="shared" si="52"/>
        <v>12</v>
      </c>
      <c r="R318" s="6" t="str">
        <f t="shared" si="53"/>
        <v>2008</v>
      </c>
      <c r="S318" s="6" t="str">
        <f t="shared" si="54"/>
        <v>Jul</v>
      </c>
    </row>
    <row r="319" spans="1:19" x14ac:dyDescent="0.25">
      <c r="A319" s="6">
        <v>1055</v>
      </c>
      <c r="B319" s="6" t="str">
        <f t="shared" si="44"/>
        <v>NIKBRA01055</v>
      </c>
      <c r="C319" s="7" t="s">
        <v>369</v>
      </c>
      <c r="D319" s="7" t="s">
        <v>1170</v>
      </c>
      <c r="E319" s="7" t="str">
        <f t="shared" si="45"/>
        <v>PALAK OJHA</v>
      </c>
      <c r="F319" s="7" t="s">
        <v>10</v>
      </c>
      <c r="G319" s="22">
        <v>43070</v>
      </c>
      <c r="H319" s="8">
        <v>90099</v>
      </c>
      <c r="I319" s="7" t="str">
        <f t="shared" si="46"/>
        <v>palak.ojha@br.oja.ba</v>
      </c>
      <c r="J319" s="6" t="s">
        <v>1544</v>
      </c>
      <c r="K319" s="6">
        <v>52</v>
      </c>
      <c r="L319" s="7" t="str">
        <f t="shared" si="47"/>
        <v>br.oja.ba</v>
      </c>
      <c r="M319" s="7" t="str">
        <f t="shared" si="48"/>
        <v>O.Palak</v>
      </c>
      <c r="N319" s="6">
        <f t="shared" si="49"/>
        <v>0</v>
      </c>
      <c r="O319" s="6">
        <f t="shared" si="50"/>
        <v>0</v>
      </c>
      <c r="P319" s="6" t="str">
        <f t="shared" si="51"/>
        <v>N</v>
      </c>
      <c r="Q319" s="6">
        <f t="shared" si="52"/>
        <v>9</v>
      </c>
      <c r="R319" s="6" t="str">
        <f t="shared" si="53"/>
        <v>2017</v>
      </c>
      <c r="S319" s="6" t="str">
        <f t="shared" si="54"/>
        <v>Dec</v>
      </c>
    </row>
    <row r="320" spans="1:19" x14ac:dyDescent="0.25">
      <c r="A320" s="6">
        <v>1059</v>
      </c>
      <c r="B320" s="6" t="str">
        <f t="shared" si="44"/>
        <v>NIKBRA01059</v>
      </c>
      <c r="C320" s="7" t="s">
        <v>1171</v>
      </c>
      <c r="D320" s="7" t="s">
        <v>1172</v>
      </c>
      <c r="E320" s="7" t="str">
        <f t="shared" si="45"/>
        <v>KISHAN DALCHAND</v>
      </c>
      <c r="F320" s="7" t="s">
        <v>10</v>
      </c>
      <c r="G320" s="22">
        <v>42648</v>
      </c>
      <c r="H320" s="8">
        <v>50614</v>
      </c>
      <c r="I320" s="7" t="str">
        <f t="shared" si="46"/>
        <v>kishan.dalchand@br.dad.ba</v>
      </c>
      <c r="J320" s="6" t="s">
        <v>1539</v>
      </c>
      <c r="K320" s="6">
        <v>80</v>
      </c>
      <c r="L320" s="7" t="str">
        <f t="shared" si="47"/>
        <v>br.dad.ba</v>
      </c>
      <c r="M320" s="7" t="str">
        <f t="shared" si="48"/>
        <v>D.Kishan</v>
      </c>
      <c r="N320" s="6">
        <f t="shared" si="49"/>
        <v>0</v>
      </c>
      <c r="O320" s="6">
        <f t="shared" si="50"/>
        <v>0</v>
      </c>
      <c r="P320" s="6" t="str">
        <f t="shared" si="51"/>
        <v>N</v>
      </c>
      <c r="Q320" s="6">
        <f t="shared" si="52"/>
        <v>14</v>
      </c>
      <c r="R320" s="6" t="str">
        <f t="shared" si="53"/>
        <v>2016</v>
      </c>
      <c r="S320" s="6" t="str">
        <f t="shared" si="54"/>
        <v>Oct</v>
      </c>
    </row>
    <row r="321" spans="1:19" x14ac:dyDescent="0.25">
      <c r="A321" s="6">
        <v>1062</v>
      </c>
      <c r="B321" s="6" t="str">
        <f t="shared" si="44"/>
        <v>NIKBRA01062</v>
      </c>
      <c r="C321" s="7" t="s">
        <v>1173</v>
      </c>
      <c r="D321" s="7" t="s">
        <v>1174</v>
      </c>
      <c r="E321" s="7" t="str">
        <f t="shared" si="45"/>
        <v>KANIKA GIROTRA</v>
      </c>
      <c r="F321" s="7" t="s">
        <v>10</v>
      </c>
      <c r="G321" s="22">
        <v>41822</v>
      </c>
      <c r="H321" s="8">
        <v>32944</v>
      </c>
      <c r="I321" s="7" t="str">
        <f t="shared" si="46"/>
        <v>kanika.girotra@br.gia.ba</v>
      </c>
      <c r="J321" s="6" t="s">
        <v>1541</v>
      </c>
      <c r="K321" s="6">
        <v>48</v>
      </c>
      <c r="L321" s="7" t="str">
        <f t="shared" si="47"/>
        <v>br.gia.ba</v>
      </c>
      <c r="M321" s="7" t="str">
        <f t="shared" si="48"/>
        <v>G.Kanika</v>
      </c>
      <c r="N321" s="6">
        <f t="shared" si="49"/>
        <v>0</v>
      </c>
      <c r="O321" s="6">
        <f t="shared" si="50"/>
        <v>0</v>
      </c>
      <c r="P321" s="6" t="str">
        <f t="shared" si="51"/>
        <v>N</v>
      </c>
      <c r="Q321" s="6">
        <f t="shared" si="52"/>
        <v>13</v>
      </c>
      <c r="R321" s="6" t="str">
        <f t="shared" si="53"/>
        <v>2014</v>
      </c>
      <c r="S321" s="6" t="str">
        <f t="shared" si="54"/>
        <v>Jul</v>
      </c>
    </row>
    <row r="322" spans="1:19" x14ac:dyDescent="0.25">
      <c r="A322" s="6">
        <v>1086</v>
      </c>
      <c r="B322" s="6" t="str">
        <f t="shared" ref="B322:B385" si="55">_xlfn.TEXTJOIN("",TRUE,"NIK",UPPER(LEFT(SUBSTITUTE(SUBSTITUTE(F322," ",""),"&amp;",""),3)),TEXT(A322,"00000"))</f>
        <v>NIKBRA01086</v>
      </c>
      <c r="C322" s="7" t="s">
        <v>599</v>
      </c>
      <c r="D322" s="7" t="s">
        <v>1198</v>
      </c>
      <c r="E322" s="7" t="str">
        <f t="shared" ref="E322:E385" si="56">_xlfn.TEXTJOIN(" ",TRUE,C322,D322)</f>
        <v>KUNAL MANISHBHAI</v>
      </c>
      <c r="F322" s="7" t="s">
        <v>10</v>
      </c>
      <c r="G322" s="22">
        <v>44518</v>
      </c>
      <c r="H322" s="8">
        <v>81714</v>
      </c>
      <c r="I322" s="7" t="str">
        <f t="shared" ref="I322:I385" si="57">LOWER(C322&amp;"."&amp;D322&amp;"@"&amp;LEFT(SUBSTITUTE(F322," ",""),2))&amp;LOWER("."&amp;LEFT(D322,2))&amp;LOWER(RIGHT(D322,1))&amp;".ba"</f>
        <v>kunal.manishbhai@br.mai.ba</v>
      </c>
      <c r="J322" s="6" t="s">
        <v>1547</v>
      </c>
      <c r="K322" s="6">
        <v>51</v>
      </c>
      <c r="L322" s="7" t="str">
        <f t="shared" ref="L322:L385" si="58">RIGHT(I322,LEN(I322)-FIND("@",I322))</f>
        <v>br.mai.ba</v>
      </c>
      <c r="M322" s="7" t="str">
        <f t="shared" ref="M322:M385" si="59">UPPER(LEFT(D322,1))&amp;"."&amp;PROPER(C322)</f>
        <v>M.Kunal</v>
      </c>
      <c r="N322" s="6">
        <f t="shared" ref="N322:N363" si="60">IFERROR(SEARCH("e",C322),0)</f>
        <v>0</v>
      </c>
      <c r="O322" s="6">
        <f t="shared" ref="O322:O363" si="61">IFERROR(SEARCH("e",D322),0)</f>
        <v>0</v>
      </c>
      <c r="P322" s="6" t="str">
        <f t="shared" ref="P322:P385" si="62">IF(AND(N322&gt;=1,O322&gt;=1),"Y","N")</f>
        <v>N</v>
      </c>
      <c r="Q322" s="6">
        <f t="shared" ref="Q322:Q385" si="63">LEN(SUBSTITUTE(E322, " ", ""))</f>
        <v>15</v>
      </c>
      <c r="R322" s="6" t="str">
        <f t="shared" ref="R322:R385" si="64">TEXT(G322,"YYYY")</f>
        <v>2021</v>
      </c>
      <c r="S322" s="6" t="str">
        <f t="shared" ref="S322:S385" si="65">TEXT(G322,"MMM")</f>
        <v>Nov</v>
      </c>
    </row>
    <row r="323" spans="1:19" x14ac:dyDescent="0.25">
      <c r="A323" s="6">
        <v>1115</v>
      </c>
      <c r="B323" s="6" t="str">
        <f t="shared" si="55"/>
        <v>NIKBRA01115</v>
      </c>
      <c r="C323" s="7" t="s">
        <v>841</v>
      </c>
      <c r="D323" s="7" t="s">
        <v>1220</v>
      </c>
      <c r="E323" s="7" t="str">
        <f t="shared" si="56"/>
        <v>KAUSTUBH BAHUGUNA</v>
      </c>
      <c r="F323" s="7" t="s">
        <v>10</v>
      </c>
      <c r="G323" s="22">
        <v>43661</v>
      </c>
      <c r="H323" s="8">
        <v>33621</v>
      </c>
      <c r="I323" s="7" t="str">
        <f t="shared" si="57"/>
        <v>kaustubh.bahuguna@br.baa.ba</v>
      </c>
      <c r="J323" s="6" t="s">
        <v>1535</v>
      </c>
      <c r="K323" s="6">
        <v>53</v>
      </c>
      <c r="L323" s="7" t="str">
        <f t="shared" si="58"/>
        <v>br.baa.ba</v>
      </c>
      <c r="M323" s="7" t="str">
        <f t="shared" si="59"/>
        <v>B.Kaustubh</v>
      </c>
      <c r="N323" s="6">
        <f t="shared" si="60"/>
        <v>0</v>
      </c>
      <c r="O323" s="6">
        <f t="shared" si="61"/>
        <v>0</v>
      </c>
      <c r="P323" s="6" t="str">
        <f t="shared" si="62"/>
        <v>N</v>
      </c>
      <c r="Q323" s="6">
        <f t="shared" si="63"/>
        <v>16</v>
      </c>
      <c r="R323" s="6" t="str">
        <f t="shared" si="64"/>
        <v>2019</v>
      </c>
      <c r="S323" s="6" t="str">
        <f t="shared" si="65"/>
        <v>Jul</v>
      </c>
    </row>
    <row r="324" spans="1:19" x14ac:dyDescent="0.25">
      <c r="A324" s="6">
        <v>1119</v>
      </c>
      <c r="B324" s="6" t="str">
        <f t="shared" si="55"/>
        <v>NIKBRA01119</v>
      </c>
      <c r="C324" s="7" t="s">
        <v>320</v>
      </c>
      <c r="D324" s="7" t="s">
        <v>424</v>
      </c>
      <c r="E324" s="7" t="str">
        <f t="shared" si="56"/>
        <v>VISHAL VILAS</v>
      </c>
      <c r="F324" s="7" t="s">
        <v>10</v>
      </c>
      <c r="G324" s="22">
        <v>43586</v>
      </c>
      <c r="H324" s="8">
        <v>81142</v>
      </c>
      <c r="I324" s="7" t="str">
        <f t="shared" si="57"/>
        <v>vishal.vilas@br.vis.ba</v>
      </c>
      <c r="J324" s="6" t="s">
        <v>1534</v>
      </c>
      <c r="K324" s="6">
        <v>37</v>
      </c>
      <c r="L324" s="7" t="str">
        <f t="shared" si="58"/>
        <v>br.vis.ba</v>
      </c>
      <c r="M324" s="7" t="str">
        <f t="shared" si="59"/>
        <v>V.Vishal</v>
      </c>
      <c r="N324" s="6">
        <f t="shared" si="60"/>
        <v>0</v>
      </c>
      <c r="O324" s="6">
        <f t="shared" si="61"/>
        <v>0</v>
      </c>
      <c r="P324" s="6" t="str">
        <f t="shared" si="62"/>
        <v>N</v>
      </c>
      <c r="Q324" s="6">
        <f t="shared" si="63"/>
        <v>11</v>
      </c>
      <c r="R324" s="6" t="str">
        <f t="shared" si="64"/>
        <v>2019</v>
      </c>
      <c r="S324" s="6" t="str">
        <f t="shared" si="65"/>
        <v>May</v>
      </c>
    </row>
    <row r="325" spans="1:19" x14ac:dyDescent="0.25">
      <c r="A325" s="6">
        <v>1126</v>
      </c>
      <c r="B325" s="6" t="str">
        <f t="shared" si="55"/>
        <v>NIKBRA01126</v>
      </c>
      <c r="C325" s="7" t="s">
        <v>1226</v>
      </c>
      <c r="D325" s="7" t="s">
        <v>1227</v>
      </c>
      <c r="E325" s="7" t="str">
        <f t="shared" si="56"/>
        <v>HIDAYATH ULLA</v>
      </c>
      <c r="F325" s="7" t="s">
        <v>10</v>
      </c>
      <c r="G325" s="22">
        <v>44476</v>
      </c>
      <c r="H325" s="8">
        <v>91109</v>
      </c>
      <c r="I325" s="7" t="str">
        <f t="shared" si="57"/>
        <v>hidayath.ulla@br.ula.ba</v>
      </c>
      <c r="J325" s="6" t="s">
        <v>1548</v>
      </c>
      <c r="K325" s="6">
        <v>89</v>
      </c>
      <c r="L325" s="7" t="str">
        <f t="shared" si="58"/>
        <v>br.ula.ba</v>
      </c>
      <c r="M325" s="7" t="str">
        <f t="shared" si="59"/>
        <v>U.Hidayath</v>
      </c>
      <c r="N325" s="6">
        <f t="shared" si="60"/>
        <v>0</v>
      </c>
      <c r="O325" s="6">
        <f t="shared" si="61"/>
        <v>0</v>
      </c>
      <c r="P325" s="6" t="str">
        <f t="shared" si="62"/>
        <v>N</v>
      </c>
      <c r="Q325" s="6">
        <f t="shared" si="63"/>
        <v>12</v>
      </c>
      <c r="R325" s="6" t="str">
        <f t="shared" si="64"/>
        <v>2021</v>
      </c>
      <c r="S325" s="6" t="str">
        <f t="shared" si="65"/>
        <v>Oct</v>
      </c>
    </row>
    <row r="326" spans="1:19" x14ac:dyDescent="0.25">
      <c r="A326" s="6">
        <v>1143</v>
      </c>
      <c r="B326" s="6" t="str">
        <f t="shared" si="55"/>
        <v>NIKBRA01143</v>
      </c>
      <c r="C326" s="7" t="s">
        <v>1241</v>
      </c>
      <c r="D326" s="7" t="s">
        <v>1240</v>
      </c>
      <c r="E326" s="7" t="str">
        <f t="shared" si="56"/>
        <v>Anu Sharma</v>
      </c>
      <c r="F326" s="7" t="s">
        <v>10</v>
      </c>
      <c r="G326" s="22">
        <v>44635</v>
      </c>
      <c r="H326" s="8">
        <v>36125</v>
      </c>
      <c r="I326" s="7" t="str">
        <f t="shared" si="57"/>
        <v>anu.sharma@br.sha.ba</v>
      </c>
      <c r="J326" s="6" t="s">
        <v>1538</v>
      </c>
      <c r="K326" s="6">
        <v>89</v>
      </c>
      <c r="L326" s="7" t="str">
        <f t="shared" si="58"/>
        <v>br.sha.ba</v>
      </c>
      <c r="M326" s="7" t="str">
        <f t="shared" si="59"/>
        <v>S.Anu</v>
      </c>
      <c r="N326" s="6">
        <f t="shared" si="60"/>
        <v>0</v>
      </c>
      <c r="O326" s="6">
        <f t="shared" si="61"/>
        <v>0</v>
      </c>
      <c r="P326" s="6" t="str">
        <f t="shared" si="62"/>
        <v>N</v>
      </c>
      <c r="Q326" s="6">
        <f t="shared" si="63"/>
        <v>9</v>
      </c>
      <c r="R326" s="6" t="str">
        <f t="shared" si="64"/>
        <v>2022</v>
      </c>
      <c r="S326" s="6" t="str">
        <f t="shared" si="65"/>
        <v>Mar</v>
      </c>
    </row>
    <row r="327" spans="1:19" x14ac:dyDescent="0.25">
      <c r="A327" s="6">
        <v>1167</v>
      </c>
      <c r="B327" s="6" t="str">
        <f t="shared" si="55"/>
        <v>NIKBRA01167</v>
      </c>
      <c r="C327" s="7" t="s">
        <v>326</v>
      </c>
      <c r="D327" s="7" t="s">
        <v>1246</v>
      </c>
      <c r="E327" s="7" t="str">
        <f t="shared" si="56"/>
        <v>RATHOD PRANAV</v>
      </c>
      <c r="F327" s="7" t="s">
        <v>10</v>
      </c>
      <c r="G327" s="22">
        <v>44354</v>
      </c>
      <c r="H327" s="8">
        <v>25374</v>
      </c>
      <c r="I327" s="7" t="str">
        <f t="shared" si="57"/>
        <v>rathod.pranav@br.prv.ba</v>
      </c>
      <c r="J327" s="6" t="s">
        <v>1549</v>
      </c>
      <c r="K327" s="6">
        <v>85</v>
      </c>
      <c r="L327" s="7" t="str">
        <f t="shared" si="58"/>
        <v>br.prv.ba</v>
      </c>
      <c r="M327" s="7" t="str">
        <f t="shared" si="59"/>
        <v>P.Rathod</v>
      </c>
      <c r="N327" s="6">
        <f t="shared" si="60"/>
        <v>0</v>
      </c>
      <c r="O327" s="6">
        <f t="shared" si="61"/>
        <v>0</v>
      </c>
      <c r="P327" s="6" t="str">
        <f t="shared" si="62"/>
        <v>N</v>
      </c>
      <c r="Q327" s="6">
        <f t="shared" si="63"/>
        <v>12</v>
      </c>
      <c r="R327" s="6" t="str">
        <f t="shared" si="64"/>
        <v>2021</v>
      </c>
      <c r="S327" s="6" t="str">
        <f t="shared" si="65"/>
        <v>Jun</v>
      </c>
    </row>
    <row r="328" spans="1:19" x14ac:dyDescent="0.25">
      <c r="A328" s="6">
        <v>1168</v>
      </c>
      <c r="B328" s="6" t="str">
        <f t="shared" si="55"/>
        <v>NIKBRA01168</v>
      </c>
      <c r="C328" s="7" t="s">
        <v>464</v>
      </c>
      <c r="D328" s="7" t="s">
        <v>68</v>
      </c>
      <c r="E328" s="7" t="str">
        <f t="shared" si="56"/>
        <v>PRASANTH KUMAR</v>
      </c>
      <c r="F328" s="7" t="s">
        <v>10</v>
      </c>
      <c r="G328" s="22">
        <v>44424</v>
      </c>
      <c r="H328" s="8">
        <v>38659</v>
      </c>
      <c r="I328" s="7" t="str">
        <f t="shared" si="57"/>
        <v>prasanth.kumar@br.kur.ba</v>
      </c>
      <c r="J328" s="6" t="s">
        <v>1539</v>
      </c>
      <c r="K328" s="6">
        <v>85</v>
      </c>
      <c r="L328" s="7" t="str">
        <f t="shared" si="58"/>
        <v>br.kur.ba</v>
      </c>
      <c r="M328" s="7" t="str">
        <f t="shared" si="59"/>
        <v>K.Prasanth</v>
      </c>
      <c r="N328" s="6">
        <f t="shared" si="60"/>
        <v>0</v>
      </c>
      <c r="O328" s="6">
        <f t="shared" si="61"/>
        <v>0</v>
      </c>
      <c r="P328" s="6" t="str">
        <f t="shared" si="62"/>
        <v>N</v>
      </c>
      <c r="Q328" s="6">
        <f t="shared" si="63"/>
        <v>13</v>
      </c>
      <c r="R328" s="6" t="str">
        <f t="shared" si="64"/>
        <v>2021</v>
      </c>
      <c r="S328" s="6" t="str">
        <f t="shared" si="65"/>
        <v>Aug</v>
      </c>
    </row>
    <row r="329" spans="1:19" x14ac:dyDescent="0.25">
      <c r="A329" s="6">
        <v>1169</v>
      </c>
      <c r="B329" s="6" t="str">
        <f t="shared" si="55"/>
        <v>NIKBRA01169</v>
      </c>
      <c r="C329" s="7" t="s">
        <v>401</v>
      </c>
      <c r="D329" s="7" t="s">
        <v>124</v>
      </c>
      <c r="E329" s="7" t="str">
        <f t="shared" si="56"/>
        <v>SHIVAM SHUKLA</v>
      </c>
      <c r="F329" s="7" t="s">
        <v>10</v>
      </c>
      <c r="G329" s="22">
        <v>44357</v>
      </c>
      <c r="H329" s="8">
        <v>93855</v>
      </c>
      <c r="I329" s="7" t="str">
        <f t="shared" si="57"/>
        <v>shivam.shukla@br.sha.ba</v>
      </c>
      <c r="J329" s="6" t="s">
        <v>1549</v>
      </c>
      <c r="K329" s="6">
        <v>80</v>
      </c>
      <c r="L329" s="7" t="str">
        <f t="shared" si="58"/>
        <v>br.sha.ba</v>
      </c>
      <c r="M329" s="7" t="str">
        <f t="shared" si="59"/>
        <v>S.Shivam</v>
      </c>
      <c r="N329" s="6">
        <f t="shared" si="60"/>
        <v>0</v>
      </c>
      <c r="O329" s="6">
        <f t="shared" si="61"/>
        <v>0</v>
      </c>
      <c r="P329" s="6" t="str">
        <f t="shared" si="62"/>
        <v>N</v>
      </c>
      <c r="Q329" s="6">
        <f t="shared" si="63"/>
        <v>12</v>
      </c>
      <c r="R329" s="6" t="str">
        <f t="shared" si="64"/>
        <v>2021</v>
      </c>
      <c r="S329" s="6" t="str">
        <f t="shared" si="65"/>
        <v>Jun</v>
      </c>
    </row>
    <row r="330" spans="1:19" x14ac:dyDescent="0.25">
      <c r="A330" s="6">
        <v>1172</v>
      </c>
      <c r="B330" s="6" t="str">
        <f t="shared" si="55"/>
        <v>NIKBRA01172</v>
      </c>
      <c r="C330" s="7" t="s">
        <v>288</v>
      </c>
      <c r="D330" s="7" t="s">
        <v>68</v>
      </c>
      <c r="E330" s="7" t="str">
        <f t="shared" si="56"/>
        <v>PIYUSH KUMAR</v>
      </c>
      <c r="F330" s="7" t="s">
        <v>10</v>
      </c>
      <c r="G330" s="22">
        <v>43283</v>
      </c>
      <c r="H330" s="8">
        <v>73005</v>
      </c>
      <c r="I330" s="7" t="str">
        <f t="shared" si="57"/>
        <v>piyush.kumar@br.kur.ba</v>
      </c>
      <c r="J330" s="6" t="s">
        <v>1544</v>
      </c>
      <c r="K330" s="6">
        <v>49</v>
      </c>
      <c r="L330" s="7" t="str">
        <f t="shared" si="58"/>
        <v>br.kur.ba</v>
      </c>
      <c r="M330" s="7" t="str">
        <f t="shared" si="59"/>
        <v>K.Piyush</v>
      </c>
      <c r="N330" s="6">
        <f t="shared" si="60"/>
        <v>0</v>
      </c>
      <c r="O330" s="6">
        <f t="shared" si="61"/>
        <v>0</v>
      </c>
      <c r="P330" s="6" t="str">
        <f t="shared" si="62"/>
        <v>N</v>
      </c>
      <c r="Q330" s="6">
        <f t="shared" si="63"/>
        <v>11</v>
      </c>
      <c r="R330" s="6" t="str">
        <f t="shared" si="64"/>
        <v>2018</v>
      </c>
      <c r="S330" s="6" t="str">
        <f t="shared" si="65"/>
        <v>Jul</v>
      </c>
    </row>
    <row r="331" spans="1:19" x14ac:dyDescent="0.25">
      <c r="A331" s="6">
        <v>1180</v>
      </c>
      <c r="B331" s="6" t="str">
        <f t="shared" si="55"/>
        <v>NIKBRA01180</v>
      </c>
      <c r="C331" s="7" t="s">
        <v>502</v>
      </c>
      <c r="D331" s="7" t="s">
        <v>557</v>
      </c>
      <c r="E331" s="7" t="str">
        <f t="shared" si="56"/>
        <v>AKANSHA DUBEY</v>
      </c>
      <c r="F331" s="7" t="s">
        <v>10</v>
      </c>
      <c r="G331" s="22">
        <v>44543</v>
      </c>
      <c r="H331" s="8">
        <v>99825</v>
      </c>
      <c r="I331" s="7" t="str">
        <f t="shared" si="57"/>
        <v>akansha.dubey@br.duy.ba</v>
      </c>
      <c r="J331" s="6" t="s">
        <v>1542</v>
      </c>
      <c r="K331" s="6">
        <v>88</v>
      </c>
      <c r="L331" s="7" t="str">
        <f t="shared" si="58"/>
        <v>br.duy.ba</v>
      </c>
      <c r="M331" s="7" t="str">
        <f t="shared" si="59"/>
        <v>D.Akansha</v>
      </c>
      <c r="N331" s="6">
        <f t="shared" si="60"/>
        <v>0</v>
      </c>
      <c r="O331" s="6">
        <f t="shared" si="61"/>
        <v>4</v>
      </c>
      <c r="P331" s="6" t="str">
        <f t="shared" si="62"/>
        <v>N</v>
      </c>
      <c r="Q331" s="6">
        <f t="shared" si="63"/>
        <v>12</v>
      </c>
      <c r="R331" s="6" t="str">
        <f t="shared" si="64"/>
        <v>2021</v>
      </c>
      <c r="S331" s="6" t="str">
        <f t="shared" si="65"/>
        <v>Dec</v>
      </c>
    </row>
    <row r="332" spans="1:19" x14ac:dyDescent="0.25">
      <c r="A332" s="6">
        <v>1189</v>
      </c>
      <c r="B332" s="6" t="str">
        <f t="shared" si="55"/>
        <v>NIKBRA01189</v>
      </c>
      <c r="C332" s="7" t="s">
        <v>296</v>
      </c>
      <c r="D332" s="7" t="s">
        <v>140</v>
      </c>
      <c r="E332" s="7" t="str">
        <f t="shared" si="56"/>
        <v>DEEPAK MISHRA</v>
      </c>
      <c r="F332" s="7" t="s">
        <v>10</v>
      </c>
      <c r="G332" s="22">
        <v>44543</v>
      </c>
      <c r="H332" s="8">
        <v>46719</v>
      </c>
      <c r="I332" s="7" t="str">
        <f t="shared" si="57"/>
        <v>deepak.mishra@br.mia.ba</v>
      </c>
      <c r="J332" s="6" t="s">
        <v>1537</v>
      </c>
      <c r="K332" s="6">
        <v>88</v>
      </c>
      <c r="L332" s="7" t="str">
        <f t="shared" si="58"/>
        <v>br.mia.ba</v>
      </c>
      <c r="M332" s="7" t="str">
        <f t="shared" si="59"/>
        <v>M.Deepak</v>
      </c>
      <c r="N332" s="6">
        <f t="shared" si="60"/>
        <v>2</v>
      </c>
      <c r="O332" s="6">
        <f t="shared" si="61"/>
        <v>0</v>
      </c>
      <c r="P332" s="6" t="str">
        <f t="shared" si="62"/>
        <v>N</v>
      </c>
      <c r="Q332" s="6">
        <f t="shared" si="63"/>
        <v>12</v>
      </c>
      <c r="R332" s="6" t="str">
        <f t="shared" si="64"/>
        <v>2021</v>
      </c>
      <c r="S332" s="6" t="str">
        <f t="shared" si="65"/>
        <v>Dec</v>
      </c>
    </row>
    <row r="333" spans="1:19" x14ac:dyDescent="0.25">
      <c r="A333" s="6">
        <v>1190</v>
      </c>
      <c r="B333" s="6" t="str">
        <f t="shared" si="55"/>
        <v>NIKBRA01190</v>
      </c>
      <c r="C333" s="7" t="s">
        <v>1266</v>
      </c>
      <c r="D333" s="7" t="s">
        <v>1267</v>
      </c>
      <c r="E333" s="7" t="str">
        <f t="shared" si="56"/>
        <v>STEFFI VAZ</v>
      </c>
      <c r="F333" s="7" t="s">
        <v>10</v>
      </c>
      <c r="G333" s="22">
        <v>44610</v>
      </c>
      <c r="H333" s="8">
        <v>85680</v>
      </c>
      <c r="I333" s="7" t="str">
        <f t="shared" si="57"/>
        <v>steffi.vaz@br.vaz.ba</v>
      </c>
      <c r="J333" s="6" t="s">
        <v>1546</v>
      </c>
      <c r="K333" s="6">
        <v>64</v>
      </c>
      <c r="L333" s="7" t="str">
        <f t="shared" si="58"/>
        <v>br.vaz.ba</v>
      </c>
      <c r="M333" s="7" t="str">
        <f t="shared" si="59"/>
        <v>V.Steffi</v>
      </c>
      <c r="N333" s="6">
        <f t="shared" si="60"/>
        <v>3</v>
      </c>
      <c r="O333" s="6">
        <f t="shared" si="61"/>
        <v>0</v>
      </c>
      <c r="P333" s="6" t="str">
        <f t="shared" si="62"/>
        <v>N</v>
      </c>
      <c r="Q333" s="6">
        <f t="shared" si="63"/>
        <v>9</v>
      </c>
      <c r="R333" s="6" t="str">
        <f t="shared" si="64"/>
        <v>2022</v>
      </c>
      <c r="S333" s="6" t="str">
        <f t="shared" si="65"/>
        <v>Feb</v>
      </c>
    </row>
    <row r="334" spans="1:19" x14ac:dyDescent="0.25">
      <c r="A334" s="6">
        <v>1213</v>
      </c>
      <c r="B334" s="6" t="str">
        <f t="shared" si="55"/>
        <v>NIKBRA01213</v>
      </c>
      <c r="C334" s="7" t="s">
        <v>737</v>
      </c>
      <c r="D334" s="7" t="s">
        <v>179</v>
      </c>
      <c r="E334" s="7" t="str">
        <f t="shared" si="56"/>
        <v>MANASI GUPTA</v>
      </c>
      <c r="F334" s="7" t="s">
        <v>10</v>
      </c>
      <c r="G334" s="22">
        <v>43012</v>
      </c>
      <c r="H334" s="8">
        <v>80418</v>
      </c>
      <c r="I334" s="7" t="str">
        <f t="shared" si="57"/>
        <v>manasi.gupta@br.gua.ba</v>
      </c>
      <c r="J334" s="6" t="s">
        <v>1532</v>
      </c>
      <c r="K334" s="6">
        <v>49</v>
      </c>
      <c r="L334" s="7" t="str">
        <f t="shared" si="58"/>
        <v>br.gua.ba</v>
      </c>
      <c r="M334" s="7" t="str">
        <f t="shared" si="59"/>
        <v>G.Manasi</v>
      </c>
      <c r="N334" s="6">
        <f t="shared" si="60"/>
        <v>0</v>
      </c>
      <c r="O334" s="6">
        <f t="shared" si="61"/>
        <v>0</v>
      </c>
      <c r="P334" s="6" t="str">
        <f t="shared" si="62"/>
        <v>N</v>
      </c>
      <c r="Q334" s="6">
        <f t="shared" si="63"/>
        <v>11</v>
      </c>
      <c r="R334" s="6" t="str">
        <f t="shared" si="64"/>
        <v>2017</v>
      </c>
      <c r="S334" s="6" t="str">
        <f t="shared" si="65"/>
        <v>Oct</v>
      </c>
    </row>
    <row r="335" spans="1:19" x14ac:dyDescent="0.25">
      <c r="A335" s="6">
        <v>1219</v>
      </c>
      <c r="B335" s="6" t="str">
        <f t="shared" si="55"/>
        <v>NIKBRA01219</v>
      </c>
      <c r="C335" s="7" t="s">
        <v>709</v>
      </c>
      <c r="D335" s="7" t="s">
        <v>1291</v>
      </c>
      <c r="E335" s="7" t="str">
        <f t="shared" si="56"/>
        <v>MAYANK CHOURASIYA</v>
      </c>
      <c r="F335" s="7" t="s">
        <v>10</v>
      </c>
      <c r="G335" s="22">
        <v>44757</v>
      </c>
      <c r="H335" s="8">
        <v>57272</v>
      </c>
      <c r="I335" s="7" t="str">
        <f t="shared" si="57"/>
        <v>mayank.chourasiya@br.cha.ba</v>
      </c>
      <c r="J335" s="6" t="s">
        <v>1535</v>
      </c>
      <c r="K335" s="6">
        <v>72</v>
      </c>
      <c r="L335" s="7" t="str">
        <f t="shared" si="58"/>
        <v>br.cha.ba</v>
      </c>
      <c r="M335" s="7" t="str">
        <f t="shared" si="59"/>
        <v>C.Mayank</v>
      </c>
      <c r="N335" s="6">
        <f t="shared" si="60"/>
        <v>0</v>
      </c>
      <c r="O335" s="6">
        <f t="shared" si="61"/>
        <v>0</v>
      </c>
      <c r="P335" s="6" t="str">
        <f t="shared" si="62"/>
        <v>N</v>
      </c>
      <c r="Q335" s="6">
        <f t="shared" si="63"/>
        <v>16</v>
      </c>
      <c r="R335" s="6" t="str">
        <f t="shared" si="64"/>
        <v>2022</v>
      </c>
      <c r="S335" s="6" t="str">
        <f t="shared" si="65"/>
        <v>Jul</v>
      </c>
    </row>
    <row r="336" spans="1:19" x14ac:dyDescent="0.25">
      <c r="A336" s="6">
        <v>1220</v>
      </c>
      <c r="B336" s="6" t="str">
        <f t="shared" si="55"/>
        <v>NIKBRA01220</v>
      </c>
      <c r="C336" s="7" t="s">
        <v>23</v>
      </c>
      <c r="D336" s="7" t="s">
        <v>1292</v>
      </c>
      <c r="E336" s="7" t="str">
        <f t="shared" si="56"/>
        <v>ROHIT THAKRAL</v>
      </c>
      <c r="F336" s="7" t="s">
        <v>10</v>
      </c>
      <c r="G336" s="22">
        <v>44655</v>
      </c>
      <c r="H336" s="8">
        <v>27084</v>
      </c>
      <c r="I336" s="7" t="str">
        <f t="shared" si="57"/>
        <v>rohit.thakral@br.thl.ba</v>
      </c>
      <c r="J336" s="6" t="s">
        <v>1533</v>
      </c>
      <c r="K336" s="6">
        <v>54</v>
      </c>
      <c r="L336" s="7" t="str">
        <f t="shared" si="58"/>
        <v>br.thl.ba</v>
      </c>
      <c r="M336" s="7" t="str">
        <f t="shared" si="59"/>
        <v>T.Rohit</v>
      </c>
      <c r="N336" s="6">
        <f t="shared" si="60"/>
        <v>0</v>
      </c>
      <c r="O336" s="6">
        <f t="shared" si="61"/>
        <v>0</v>
      </c>
      <c r="P336" s="6" t="str">
        <f t="shared" si="62"/>
        <v>N</v>
      </c>
      <c r="Q336" s="6">
        <f t="shared" si="63"/>
        <v>12</v>
      </c>
      <c r="R336" s="6" t="str">
        <f t="shared" si="64"/>
        <v>2022</v>
      </c>
      <c r="S336" s="6" t="str">
        <f t="shared" si="65"/>
        <v>Apr</v>
      </c>
    </row>
    <row r="337" spans="1:19" x14ac:dyDescent="0.25">
      <c r="A337" s="6">
        <v>1225</v>
      </c>
      <c r="B337" s="6" t="str">
        <f t="shared" si="55"/>
        <v>NIKBRA01225</v>
      </c>
      <c r="C337" s="7" t="s">
        <v>308</v>
      </c>
      <c r="D337" s="7" t="s">
        <v>107</v>
      </c>
      <c r="E337" s="7" t="str">
        <f t="shared" si="56"/>
        <v>VINAYAK PRATAP</v>
      </c>
      <c r="F337" s="7" t="s">
        <v>10</v>
      </c>
      <c r="G337" s="22">
        <v>44652</v>
      </c>
      <c r="H337" s="8">
        <v>73229</v>
      </c>
      <c r="I337" s="7" t="str">
        <f t="shared" si="57"/>
        <v>vinayak.pratap@br.prp.ba</v>
      </c>
      <c r="J337" s="6" t="s">
        <v>1533</v>
      </c>
      <c r="K337" s="6">
        <v>42</v>
      </c>
      <c r="L337" s="7" t="str">
        <f t="shared" si="58"/>
        <v>br.prp.ba</v>
      </c>
      <c r="M337" s="7" t="str">
        <f t="shared" si="59"/>
        <v>P.Vinayak</v>
      </c>
      <c r="N337" s="6">
        <f t="shared" si="60"/>
        <v>0</v>
      </c>
      <c r="O337" s="6">
        <f t="shared" si="61"/>
        <v>0</v>
      </c>
      <c r="P337" s="6" t="str">
        <f t="shared" si="62"/>
        <v>N</v>
      </c>
      <c r="Q337" s="6">
        <f t="shared" si="63"/>
        <v>13</v>
      </c>
      <c r="R337" s="6" t="str">
        <f t="shared" si="64"/>
        <v>2022</v>
      </c>
      <c r="S337" s="6" t="str">
        <f t="shared" si="65"/>
        <v>Apr</v>
      </c>
    </row>
    <row r="338" spans="1:19" x14ac:dyDescent="0.25">
      <c r="A338" s="6">
        <v>1238</v>
      </c>
      <c r="B338" s="6" t="str">
        <f t="shared" si="55"/>
        <v>NIKBRA01238</v>
      </c>
      <c r="C338" s="7" t="s">
        <v>1308</v>
      </c>
      <c r="D338" s="7" t="s">
        <v>55</v>
      </c>
      <c r="E338" s="7" t="str">
        <f t="shared" si="56"/>
        <v>ANIRUDH SHARMA</v>
      </c>
      <c r="F338" s="7" t="s">
        <v>10</v>
      </c>
      <c r="G338" s="22">
        <v>44756</v>
      </c>
      <c r="H338" s="8">
        <v>64796</v>
      </c>
      <c r="I338" s="7" t="str">
        <f t="shared" si="57"/>
        <v>anirudh.sharma@br.sha.ba</v>
      </c>
      <c r="J338" s="6" t="s">
        <v>1543</v>
      </c>
      <c r="K338" s="6">
        <v>37</v>
      </c>
      <c r="L338" s="7" t="str">
        <f t="shared" si="58"/>
        <v>br.sha.ba</v>
      </c>
      <c r="M338" s="7" t="str">
        <f t="shared" si="59"/>
        <v>S.Anirudh</v>
      </c>
      <c r="N338" s="6">
        <f t="shared" si="60"/>
        <v>0</v>
      </c>
      <c r="O338" s="6">
        <f t="shared" si="61"/>
        <v>0</v>
      </c>
      <c r="P338" s="6" t="str">
        <f t="shared" si="62"/>
        <v>N</v>
      </c>
      <c r="Q338" s="6">
        <f t="shared" si="63"/>
        <v>13</v>
      </c>
      <c r="R338" s="6" t="str">
        <f t="shared" si="64"/>
        <v>2022</v>
      </c>
      <c r="S338" s="6" t="str">
        <f t="shared" si="65"/>
        <v>Jul</v>
      </c>
    </row>
    <row r="339" spans="1:19" x14ac:dyDescent="0.25">
      <c r="A339" s="6">
        <v>1248</v>
      </c>
      <c r="B339" s="6" t="str">
        <f t="shared" si="55"/>
        <v>NIKBRA01248</v>
      </c>
      <c r="C339" s="7" t="s">
        <v>1199</v>
      </c>
      <c r="D339" s="7" t="s">
        <v>1317</v>
      </c>
      <c r="E339" s="7" t="str">
        <f t="shared" si="56"/>
        <v>PANCHAL JEEL</v>
      </c>
      <c r="F339" s="7" t="s">
        <v>10</v>
      </c>
      <c r="G339" s="22">
        <v>44305</v>
      </c>
      <c r="H339" s="8">
        <v>106016</v>
      </c>
      <c r="I339" s="7" t="str">
        <f t="shared" si="57"/>
        <v>panchal.jeel@br.jel.ba</v>
      </c>
      <c r="J339" s="6" t="s">
        <v>1542</v>
      </c>
      <c r="K339" s="6">
        <v>38</v>
      </c>
      <c r="L339" s="7" t="str">
        <f t="shared" si="58"/>
        <v>br.jel.ba</v>
      </c>
      <c r="M339" s="7" t="str">
        <f t="shared" si="59"/>
        <v>J.Panchal</v>
      </c>
      <c r="N339" s="6">
        <f t="shared" si="60"/>
        <v>0</v>
      </c>
      <c r="O339" s="6">
        <f t="shared" si="61"/>
        <v>2</v>
      </c>
      <c r="P339" s="6" t="str">
        <f t="shared" si="62"/>
        <v>N</v>
      </c>
      <c r="Q339" s="6">
        <f t="shared" si="63"/>
        <v>11</v>
      </c>
      <c r="R339" s="6" t="str">
        <f t="shared" si="64"/>
        <v>2021</v>
      </c>
      <c r="S339" s="6" t="str">
        <f t="shared" si="65"/>
        <v>Apr</v>
      </c>
    </row>
    <row r="340" spans="1:19" x14ac:dyDescent="0.25">
      <c r="A340" s="6">
        <v>1260</v>
      </c>
      <c r="B340" s="6" t="str">
        <f t="shared" si="55"/>
        <v>NIKBRA01260</v>
      </c>
      <c r="C340" s="7" t="s">
        <v>119</v>
      </c>
      <c r="D340" s="7" t="s">
        <v>322</v>
      </c>
      <c r="E340" s="7" t="str">
        <f t="shared" si="56"/>
        <v>VIDHI JAYESH</v>
      </c>
      <c r="F340" s="7" t="s">
        <v>10</v>
      </c>
      <c r="G340" s="22">
        <v>44081</v>
      </c>
      <c r="H340" s="8">
        <v>61532</v>
      </c>
      <c r="I340" s="7" t="str">
        <f t="shared" si="57"/>
        <v>vidhi.jayesh@br.jah.ba</v>
      </c>
      <c r="J340" s="6" t="s">
        <v>1533</v>
      </c>
      <c r="K340" s="6">
        <v>63</v>
      </c>
      <c r="L340" s="7" t="str">
        <f t="shared" si="58"/>
        <v>br.jah.ba</v>
      </c>
      <c r="M340" s="7" t="str">
        <f t="shared" si="59"/>
        <v>J.Vidhi</v>
      </c>
      <c r="N340" s="6">
        <f t="shared" si="60"/>
        <v>0</v>
      </c>
      <c r="O340" s="6">
        <f t="shared" si="61"/>
        <v>4</v>
      </c>
      <c r="P340" s="6" t="str">
        <f t="shared" si="62"/>
        <v>N</v>
      </c>
      <c r="Q340" s="6">
        <f t="shared" si="63"/>
        <v>11</v>
      </c>
      <c r="R340" s="6" t="str">
        <f t="shared" si="64"/>
        <v>2020</v>
      </c>
      <c r="S340" s="6" t="str">
        <f t="shared" si="65"/>
        <v>Sep</v>
      </c>
    </row>
    <row r="341" spans="1:19" x14ac:dyDescent="0.25">
      <c r="A341" s="6">
        <v>1261</v>
      </c>
      <c r="B341" s="6" t="str">
        <f t="shared" si="55"/>
        <v>NIKBRA01261</v>
      </c>
      <c r="C341" s="7" t="s">
        <v>1325</v>
      </c>
      <c r="D341" s="7" t="s">
        <v>1326</v>
      </c>
      <c r="E341" s="7" t="str">
        <f t="shared" si="56"/>
        <v>SOUMITRA KANUNGO</v>
      </c>
      <c r="F341" s="7" t="s">
        <v>10</v>
      </c>
      <c r="G341" s="22">
        <v>44440</v>
      </c>
      <c r="H341" s="8">
        <v>55294</v>
      </c>
      <c r="I341" s="7" t="str">
        <f t="shared" si="57"/>
        <v>soumitra.kanungo@br.kao.ba</v>
      </c>
      <c r="J341" s="6" t="s">
        <v>1550</v>
      </c>
      <c r="K341" s="6">
        <v>77</v>
      </c>
      <c r="L341" s="7" t="str">
        <f t="shared" si="58"/>
        <v>br.kao.ba</v>
      </c>
      <c r="M341" s="7" t="str">
        <f t="shared" si="59"/>
        <v>K.Soumitra</v>
      </c>
      <c r="N341" s="6">
        <f t="shared" si="60"/>
        <v>0</v>
      </c>
      <c r="O341" s="6">
        <f t="shared" si="61"/>
        <v>0</v>
      </c>
      <c r="P341" s="6" t="str">
        <f t="shared" si="62"/>
        <v>N</v>
      </c>
      <c r="Q341" s="6">
        <f t="shared" si="63"/>
        <v>15</v>
      </c>
      <c r="R341" s="6" t="str">
        <f t="shared" si="64"/>
        <v>2021</v>
      </c>
      <c r="S341" s="6" t="str">
        <f t="shared" si="65"/>
        <v>Sep</v>
      </c>
    </row>
    <row r="342" spans="1:19" x14ac:dyDescent="0.25">
      <c r="A342" s="6">
        <v>1266</v>
      </c>
      <c r="B342" s="6" t="str">
        <f t="shared" si="55"/>
        <v>NIKBRA01266</v>
      </c>
      <c r="C342" s="7" t="s">
        <v>1332</v>
      </c>
      <c r="D342" s="7" t="s">
        <v>1333</v>
      </c>
      <c r="E342" s="7" t="str">
        <f t="shared" si="56"/>
        <v>ANAMIKA DUTTA</v>
      </c>
      <c r="F342" s="7" t="s">
        <v>10</v>
      </c>
      <c r="G342" s="22">
        <v>44872</v>
      </c>
      <c r="H342" s="8">
        <v>40878</v>
      </c>
      <c r="I342" s="7" t="str">
        <f t="shared" si="57"/>
        <v>anamika.dutta@br.dua.ba</v>
      </c>
      <c r="J342" s="6" t="s">
        <v>1551</v>
      </c>
      <c r="K342" s="6">
        <v>83</v>
      </c>
      <c r="L342" s="7" t="str">
        <f t="shared" si="58"/>
        <v>br.dua.ba</v>
      </c>
      <c r="M342" s="7" t="str">
        <f t="shared" si="59"/>
        <v>D.Anamika</v>
      </c>
      <c r="N342" s="6">
        <f t="shared" si="60"/>
        <v>0</v>
      </c>
      <c r="O342" s="6">
        <f t="shared" si="61"/>
        <v>0</v>
      </c>
      <c r="P342" s="6" t="str">
        <f t="shared" si="62"/>
        <v>N</v>
      </c>
      <c r="Q342" s="6">
        <f t="shared" si="63"/>
        <v>12</v>
      </c>
      <c r="R342" s="6" t="str">
        <f t="shared" si="64"/>
        <v>2022</v>
      </c>
      <c r="S342" s="6" t="str">
        <f t="shared" si="65"/>
        <v>Nov</v>
      </c>
    </row>
    <row r="343" spans="1:19" x14ac:dyDescent="0.25">
      <c r="A343" s="6">
        <v>1274</v>
      </c>
      <c r="B343" s="6" t="str">
        <f t="shared" si="55"/>
        <v>NIKBRA01274</v>
      </c>
      <c r="C343" s="7" t="s">
        <v>320</v>
      </c>
      <c r="D343" s="7" t="s">
        <v>1341</v>
      </c>
      <c r="E343" s="7" t="str">
        <f t="shared" si="56"/>
        <v>VISHAL KANSARA</v>
      </c>
      <c r="F343" s="7" t="s">
        <v>10</v>
      </c>
      <c r="G343" s="22">
        <v>44105</v>
      </c>
      <c r="H343" s="8">
        <v>61352</v>
      </c>
      <c r="I343" s="7" t="str">
        <f t="shared" si="57"/>
        <v>vishal.kansara@br.kaa.ba</v>
      </c>
      <c r="J343" s="6" t="s">
        <v>1548</v>
      </c>
      <c r="K343" s="6">
        <v>67</v>
      </c>
      <c r="L343" s="7" t="str">
        <f t="shared" si="58"/>
        <v>br.kaa.ba</v>
      </c>
      <c r="M343" s="7" t="str">
        <f t="shared" si="59"/>
        <v>K.Vishal</v>
      </c>
      <c r="N343" s="6">
        <f t="shared" si="60"/>
        <v>0</v>
      </c>
      <c r="O343" s="6">
        <f t="shared" si="61"/>
        <v>0</v>
      </c>
      <c r="P343" s="6" t="str">
        <f t="shared" si="62"/>
        <v>N</v>
      </c>
      <c r="Q343" s="6">
        <f t="shared" si="63"/>
        <v>13</v>
      </c>
      <c r="R343" s="6" t="str">
        <f t="shared" si="64"/>
        <v>2020</v>
      </c>
      <c r="S343" s="6" t="str">
        <f t="shared" si="65"/>
        <v>Oct</v>
      </c>
    </row>
    <row r="344" spans="1:19" x14ac:dyDescent="0.25">
      <c r="A344" s="6">
        <v>1296</v>
      </c>
      <c r="B344" s="6" t="str">
        <f t="shared" si="55"/>
        <v>NIKBRA01296</v>
      </c>
      <c r="C344" s="7" t="s">
        <v>443</v>
      </c>
      <c r="D344" s="7" t="s">
        <v>1354</v>
      </c>
      <c r="E344" s="7" t="str">
        <f t="shared" si="56"/>
        <v>RITIKA KALANI</v>
      </c>
      <c r="F344" s="7" t="s">
        <v>10</v>
      </c>
      <c r="G344" s="22">
        <v>43292</v>
      </c>
      <c r="H344" s="8">
        <v>33977</v>
      </c>
      <c r="I344" s="7" t="str">
        <f t="shared" si="57"/>
        <v>ritika.kalani@br.kai.ba</v>
      </c>
      <c r="J344" s="6" t="s">
        <v>1532</v>
      </c>
      <c r="K344" s="6">
        <v>74</v>
      </c>
      <c r="L344" s="7" t="str">
        <f t="shared" si="58"/>
        <v>br.kai.ba</v>
      </c>
      <c r="M344" s="7" t="str">
        <f t="shared" si="59"/>
        <v>K.Ritika</v>
      </c>
      <c r="N344" s="6">
        <f t="shared" si="60"/>
        <v>0</v>
      </c>
      <c r="O344" s="6">
        <f t="shared" si="61"/>
        <v>0</v>
      </c>
      <c r="P344" s="6" t="str">
        <f t="shared" si="62"/>
        <v>N</v>
      </c>
      <c r="Q344" s="6">
        <f t="shared" si="63"/>
        <v>12</v>
      </c>
      <c r="R344" s="6" t="str">
        <f t="shared" si="64"/>
        <v>2018</v>
      </c>
      <c r="S344" s="6" t="str">
        <f t="shared" si="65"/>
        <v>Jul</v>
      </c>
    </row>
    <row r="345" spans="1:19" x14ac:dyDescent="0.25">
      <c r="A345" s="6">
        <v>1301</v>
      </c>
      <c r="B345" s="6" t="str">
        <f t="shared" si="55"/>
        <v>NIKBRA01301</v>
      </c>
      <c r="C345" s="7" t="s">
        <v>34</v>
      </c>
      <c r="D345" s="7" t="s">
        <v>55</v>
      </c>
      <c r="E345" s="7" t="str">
        <f t="shared" si="56"/>
        <v>ARPIT SHARMA</v>
      </c>
      <c r="F345" s="7" t="s">
        <v>10</v>
      </c>
      <c r="G345" s="22">
        <v>45017</v>
      </c>
      <c r="H345" s="8">
        <v>65329</v>
      </c>
      <c r="I345" s="7" t="str">
        <f t="shared" si="57"/>
        <v>arpit.sharma@br.sha.ba</v>
      </c>
      <c r="J345" s="6" t="s">
        <v>1542</v>
      </c>
      <c r="K345" s="6">
        <v>72</v>
      </c>
      <c r="L345" s="7" t="str">
        <f t="shared" si="58"/>
        <v>br.sha.ba</v>
      </c>
      <c r="M345" s="7" t="str">
        <f t="shared" si="59"/>
        <v>S.Arpit</v>
      </c>
      <c r="N345" s="6">
        <f t="shared" si="60"/>
        <v>0</v>
      </c>
      <c r="O345" s="6">
        <f t="shared" si="61"/>
        <v>0</v>
      </c>
      <c r="P345" s="6" t="str">
        <f t="shared" si="62"/>
        <v>N</v>
      </c>
      <c r="Q345" s="6">
        <f t="shared" si="63"/>
        <v>11</v>
      </c>
      <c r="R345" s="6" t="str">
        <f t="shared" si="64"/>
        <v>2023</v>
      </c>
      <c r="S345" s="6" t="str">
        <f t="shared" si="65"/>
        <v>Apr</v>
      </c>
    </row>
    <row r="346" spans="1:19" x14ac:dyDescent="0.25">
      <c r="A346" s="6">
        <v>1315</v>
      </c>
      <c r="B346" s="6" t="str">
        <f t="shared" si="55"/>
        <v>NIKBRA01315</v>
      </c>
      <c r="C346" s="7" t="s">
        <v>1361</v>
      </c>
      <c r="D346" s="7" t="s">
        <v>1362</v>
      </c>
      <c r="E346" s="7" t="str">
        <f t="shared" si="56"/>
        <v>VANITA TARANI</v>
      </c>
      <c r="F346" s="7" t="s">
        <v>10</v>
      </c>
      <c r="G346" s="22">
        <v>43780</v>
      </c>
      <c r="H346" s="8">
        <v>50733</v>
      </c>
      <c r="I346" s="7" t="str">
        <f t="shared" si="57"/>
        <v>vanita.tarani@br.tai.ba</v>
      </c>
      <c r="J346" s="6" t="s">
        <v>1533</v>
      </c>
      <c r="K346" s="6">
        <v>51</v>
      </c>
      <c r="L346" s="7" t="str">
        <f t="shared" si="58"/>
        <v>br.tai.ba</v>
      </c>
      <c r="M346" s="7" t="str">
        <f t="shared" si="59"/>
        <v>T.Vanita</v>
      </c>
      <c r="N346" s="6">
        <f t="shared" si="60"/>
        <v>0</v>
      </c>
      <c r="O346" s="6">
        <f t="shared" si="61"/>
        <v>0</v>
      </c>
      <c r="P346" s="6" t="str">
        <f t="shared" si="62"/>
        <v>N</v>
      </c>
      <c r="Q346" s="6">
        <f t="shared" si="63"/>
        <v>12</v>
      </c>
      <c r="R346" s="6" t="str">
        <f t="shared" si="64"/>
        <v>2019</v>
      </c>
      <c r="S346" s="6" t="str">
        <f t="shared" si="65"/>
        <v>Nov</v>
      </c>
    </row>
    <row r="347" spans="1:19" x14ac:dyDescent="0.25">
      <c r="A347" s="6">
        <v>1320</v>
      </c>
      <c r="B347" s="6" t="str">
        <f t="shared" si="55"/>
        <v>NIKBRA01320</v>
      </c>
      <c r="C347" s="7" t="s">
        <v>209</v>
      </c>
      <c r="D347" s="7" t="s">
        <v>55</v>
      </c>
      <c r="E347" s="7" t="str">
        <f t="shared" si="56"/>
        <v>GAURAV SHARMA</v>
      </c>
      <c r="F347" s="7" t="s">
        <v>10</v>
      </c>
      <c r="G347" s="22">
        <v>44718</v>
      </c>
      <c r="H347" s="8">
        <v>62993</v>
      </c>
      <c r="I347" s="7" t="str">
        <f t="shared" si="57"/>
        <v>gaurav.sharma@br.sha.ba</v>
      </c>
      <c r="J347" s="6" t="s">
        <v>1541</v>
      </c>
      <c r="K347" s="6">
        <v>51</v>
      </c>
      <c r="L347" s="7" t="str">
        <f t="shared" si="58"/>
        <v>br.sha.ba</v>
      </c>
      <c r="M347" s="7" t="str">
        <f t="shared" si="59"/>
        <v>S.Gaurav</v>
      </c>
      <c r="N347" s="6">
        <f t="shared" si="60"/>
        <v>0</v>
      </c>
      <c r="O347" s="6">
        <f t="shared" si="61"/>
        <v>0</v>
      </c>
      <c r="P347" s="6" t="str">
        <f t="shared" si="62"/>
        <v>N</v>
      </c>
      <c r="Q347" s="6">
        <f t="shared" si="63"/>
        <v>12</v>
      </c>
      <c r="R347" s="6" t="str">
        <f t="shared" si="64"/>
        <v>2022</v>
      </c>
      <c r="S347" s="6" t="str">
        <f t="shared" si="65"/>
        <v>Jun</v>
      </c>
    </row>
    <row r="348" spans="1:19" x14ac:dyDescent="0.25">
      <c r="A348" s="6">
        <v>1323</v>
      </c>
      <c r="B348" s="6" t="str">
        <f t="shared" si="55"/>
        <v>NIKBRA01323</v>
      </c>
      <c r="C348" s="7" t="s">
        <v>1369</v>
      </c>
      <c r="D348" s="7" t="s">
        <v>162</v>
      </c>
      <c r="E348" s="7" t="str">
        <f t="shared" si="56"/>
        <v>AISHWARY PATHAK</v>
      </c>
      <c r="F348" s="7" t="s">
        <v>10</v>
      </c>
      <c r="G348" s="22">
        <v>43598</v>
      </c>
      <c r="H348" s="8">
        <v>37459</v>
      </c>
      <c r="I348" s="7" t="str">
        <f t="shared" si="57"/>
        <v>aishwary.pathak@br.pak.ba</v>
      </c>
      <c r="J348" s="6" t="s">
        <v>1543</v>
      </c>
      <c r="K348" s="6">
        <v>47</v>
      </c>
      <c r="L348" s="7" t="str">
        <f t="shared" si="58"/>
        <v>br.pak.ba</v>
      </c>
      <c r="M348" s="7" t="str">
        <f t="shared" si="59"/>
        <v>P.Aishwary</v>
      </c>
      <c r="N348" s="6">
        <f t="shared" si="60"/>
        <v>0</v>
      </c>
      <c r="O348" s="6">
        <f t="shared" si="61"/>
        <v>0</v>
      </c>
      <c r="P348" s="6" t="str">
        <f t="shared" si="62"/>
        <v>N</v>
      </c>
      <c r="Q348" s="6">
        <f t="shared" si="63"/>
        <v>14</v>
      </c>
      <c r="R348" s="6" t="str">
        <f t="shared" si="64"/>
        <v>2019</v>
      </c>
      <c r="S348" s="6" t="str">
        <f t="shared" si="65"/>
        <v>May</v>
      </c>
    </row>
    <row r="349" spans="1:19" x14ac:dyDescent="0.25">
      <c r="A349" s="6">
        <v>1326</v>
      </c>
      <c r="B349" s="6" t="str">
        <f t="shared" si="55"/>
        <v>NIKBRA01326</v>
      </c>
      <c r="C349" s="7" t="s">
        <v>143</v>
      </c>
      <c r="D349" s="7" t="s">
        <v>1372</v>
      </c>
      <c r="E349" s="7" t="str">
        <f t="shared" si="56"/>
        <v>NITIN BHANDARI</v>
      </c>
      <c r="F349" s="7" t="s">
        <v>10</v>
      </c>
      <c r="G349" s="22">
        <v>45047</v>
      </c>
      <c r="H349" s="8">
        <v>33135</v>
      </c>
      <c r="I349" s="7" t="str">
        <f t="shared" si="57"/>
        <v>nitin.bhandari@br.bhi.ba</v>
      </c>
      <c r="J349" s="6" t="s">
        <v>1543</v>
      </c>
      <c r="K349" s="6">
        <v>70</v>
      </c>
      <c r="L349" s="7" t="str">
        <f t="shared" si="58"/>
        <v>br.bhi.ba</v>
      </c>
      <c r="M349" s="7" t="str">
        <f t="shared" si="59"/>
        <v>B.Nitin</v>
      </c>
      <c r="N349" s="6">
        <f t="shared" si="60"/>
        <v>0</v>
      </c>
      <c r="O349" s="6">
        <f t="shared" si="61"/>
        <v>0</v>
      </c>
      <c r="P349" s="6" t="str">
        <f t="shared" si="62"/>
        <v>N</v>
      </c>
      <c r="Q349" s="6">
        <f t="shared" si="63"/>
        <v>13</v>
      </c>
      <c r="R349" s="6" t="str">
        <f t="shared" si="64"/>
        <v>2023</v>
      </c>
      <c r="S349" s="6" t="str">
        <f t="shared" si="65"/>
        <v>May</v>
      </c>
    </row>
    <row r="350" spans="1:19" x14ac:dyDescent="0.25">
      <c r="A350" s="6">
        <v>1336</v>
      </c>
      <c r="B350" s="6" t="str">
        <f t="shared" si="55"/>
        <v>NIKBRA01336</v>
      </c>
      <c r="C350" s="7" t="s">
        <v>514</v>
      </c>
      <c r="D350" s="7" t="s">
        <v>1379</v>
      </c>
      <c r="E350" s="7" t="str">
        <f t="shared" si="56"/>
        <v>DAVE SAMIR</v>
      </c>
      <c r="F350" s="7" t="s">
        <v>10</v>
      </c>
      <c r="G350" s="22">
        <v>44599</v>
      </c>
      <c r="H350" s="8">
        <v>31219</v>
      </c>
      <c r="I350" s="7" t="str">
        <f t="shared" si="57"/>
        <v>dave.samir@br.sar.ba</v>
      </c>
      <c r="J350" s="6" t="s">
        <v>1542</v>
      </c>
      <c r="K350" s="6">
        <v>51</v>
      </c>
      <c r="L350" s="7" t="str">
        <f t="shared" si="58"/>
        <v>br.sar.ba</v>
      </c>
      <c r="M350" s="7" t="str">
        <f t="shared" si="59"/>
        <v>S.Dave</v>
      </c>
      <c r="N350" s="6">
        <f t="shared" si="60"/>
        <v>4</v>
      </c>
      <c r="O350" s="6">
        <f t="shared" si="61"/>
        <v>0</v>
      </c>
      <c r="P350" s="6" t="str">
        <f t="shared" si="62"/>
        <v>N</v>
      </c>
      <c r="Q350" s="6">
        <f t="shared" si="63"/>
        <v>9</v>
      </c>
      <c r="R350" s="6" t="str">
        <f t="shared" si="64"/>
        <v>2022</v>
      </c>
      <c r="S350" s="6" t="str">
        <f t="shared" si="65"/>
        <v>Feb</v>
      </c>
    </row>
    <row r="351" spans="1:19" x14ac:dyDescent="0.25">
      <c r="A351" s="6">
        <v>1347</v>
      </c>
      <c r="B351" s="6" t="str">
        <f t="shared" si="55"/>
        <v>NIKBRA01347</v>
      </c>
      <c r="C351" s="7" t="s">
        <v>139</v>
      </c>
      <c r="D351" s="7" t="s">
        <v>1390</v>
      </c>
      <c r="E351" s="7" t="str">
        <f t="shared" si="56"/>
        <v>MEENAKSHI MADAN</v>
      </c>
      <c r="F351" s="7" t="s">
        <v>10</v>
      </c>
      <c r="G351" s="22">
        <v>44734</v>
      </c>
      <c r="H351" s="8">
        <v>89016</v>
      </c>
      <c r="I351" s="7" t="str">
        <f t="shared" si="57"/>
        <v>meenakshi.madan@br.man.ba</v>
      </c>
      <c r="J351" s="6" t="s">
        <v>1539</v>
      </c>
      <c r="K351" s="6">
        <v>87</v>
      </c>
      <c r="L351" s="7" t="str">
        <f t="shared" si="58"/>
        <v>br.man.ba</v>
      </c>
      <c r="M351" s="7" t="str">
        <f t="shared" si="59"/>
        <v>M.Meenakshi</v>
      </c>
      <c r="N351" s="6">
        <f t="shared" si="60"/>
        <v>2</v>
      </c>
      <c r="O351" s="6">
        <f t="shared" si="61"/>
        <v>0</v>
      </c>
      <c r="P351" s="6" t="str">
        <f t="shared" si="62"/>
        <v>N</v>
      </c>
      <c r="Q351" s="6">
        <f t="shared" si="63"/>
        <v>14</v>
      </c>
      <c r="R351" s="6" t="str">
        <f t="shared" si="64"/>
        <v>2022</v>
      </c>
      <c r="S351" s="6" t="str">
        <f t="shared" si="65"/>
        <v>Jun</v>
      </c>
    </row>
    <row r="352" spans="1:19" x14ac:dyDescent="0.25">
      <c r="A352" s="6">
        <v>1371</v>
      </c>
      <c r="B352" s="6" t="str">
        <f t="shared" si="55"/>
        <v>NIKBRA01371</v>
      </c>
      <c r="C352" s="7" t="s">
        <v>668</v>
      </c>
      <c r="D352" s="7" t="s">
        <v>1410</v>
      </c>
      <c r="E352" s="7" t="str">
        <f t="shared" si="56"/>
        <v>DIPALI SISODIYA</v>
      </c>
      <c r="F352" s="7" t="s">
        <v>10</v>
      </c>
      <c r="G352" s="22">
        <v>44730</v>
      </c>
      <c r="H352" s="8">
        <v>44627</v>
      </c>
      <c r="I352" s="7" t="str">
        <f t="shared" si="57"/>
        <v>dipali.sisodiya@br.sia.ba</v>
      </c>
      <c r="J352" s="6" t="s">
        <v>1539</v>
      </c>
      <c r="K352" s="6">
        <v>46</v>
      </c>
      <c r="L352" s="7" t="str">
        <f t="shared" si="58"/>
        <v>br.sia.ba</v>
      </c>
      <c r="M352" s="7" t="str">
        <f t="shared" si="59"/>
        <v>S.Dipali</v>
      </c>
      <c r="N352" s="6">
        <f t="shared" si="60"/>
        <v>0</v>
      </c>
      <c r="O352" s="6">
        <f t="shared" si="61"/>
        <v>0</v>
      </c>
      <c r="P352" s="6" t="str">
        <f t="shared" si="62"/>
        <v>N</v>
      </c>
      <c r="Q352" s="6">
        <f t="shared" si="63"/>
        <v>14</v>
      </c>
      <c r="R352" s="6" t="str">
        <f t="shared" si="64"/>
        <v>2022</v>
      </c>
      <c r="S352" s="6" t="str">
        <f t="shared" si="65"/>
        <v>Jun</v>
      </c>
    </row>
    <row r="353" spans="1:19" x14ac:dyDescent="0.25">
      <c r="A353" s="6">
        <v>1372</v>
      </c>
      <c r="B353" s="6" t="str">
        <f t="shared" si="55"/>
        <v>NIKBRA01372</v>
      </c>
      <c r="C353" s="7" t="s">
        <v>1411</v>
      </c>
      <c r="D353" s="7" t="s">
        <v>1412</v>
      </c>
      <c r="E353" s="7" t="str">
        <f t="shared" si="56"/>
        <v>RIKITA JOGESH</v>
      </c>
      <c r="F353" s="7" t="s">
        <v>10</v>
      </c>
      <c r="G353" s="22">
        <v>44760</v>
      </c>
      <c r="H353" s="8">
        <v>49884</v>
      </c>
      <c r="I353" s="7" t="str">
        <f t="shared" si="57"/>
        <v>rikita.jogesh@br.joh.ba</v>
      </c>
      <c r="J353" s="6" t="s">
        <v>1535</v>
      </c>
      <c r="K353" s="6">
        <v>63</v>
      </c>
      <c r="L353" s="7" t="str">
        <f t="shared" si="58"/>
        <v>br.joh.ba</v>
      </c>
      <c r="M353" s="7" t="str">
        <f t="shared" si="59"/>
        <v>J.Rikita</v>
      </c>
      <c r="N353" s="6">
        <f t="shared" si="60"/>
        <v>0</v>
      </c>
      <c r="O353" s="6">
        <f t="shared" si="61"/>
        <v>4</v>
      </c>
      <c r="P353" s="6" t="str">
        <f t="shared" si="62"/>
        <v>N</v>
      </c>
      <c r="Q353" s="6">
        <f t="shared" si="63"/>
        <v>12</v>
      </c>
      <c r="R353" s="6" t="str">
        <f t="shared" si="64"/>
        <v>2022</v>
      </c>
      <c r="S353" s="6" t="str">
        <f t="shared" si="65"/>
        <v>Jul</v>
      </c>
    </row>
    <row r="354" spans="1:19" x14ac:dyDescent="0.25">
      <c r="A354" s="6">
        <v>1380</v>
      </c>
      <c r="B354" s="6" t="str">
        <f t="shared" si="55"/>
        <v>NIKBRA01380</v>
      </c>
      <c r="C354" s="7" t="s">
        <v>258</v>
      </c>
      <c r="D354" s="7" t="s">
        <v>221</v>
      </c>
      <c r="E354" s="7" t="str">
        <f t="shared" si="56"/>
        <v>MAHESH DILIP</v>
      </c>
      <c r="F354" s="7" t="s">
        <v>10</v>
      </c>
      <c r="G354" s="22">
        <v>45031</v>
      </c>
      <c r="H354" s="8">
        <v>53690</v>
      </c>
      <c r="I354" s="7" t="str">
        <f t="shared" si="57"/>
        <v>mahesh.dilip@br.dip.ba</v>
      </c>
      <c r="J354" s="6" t="s">
        <v>1550</v>
      </c>
      <c r="K354" s="6">
        <v>54</v>
      </c>
      <c r="L354" s="7" t="str">
        <f t="shared" si="58"/>
        <v>br.dip.ba</v>
      </c>
      <c r="M354" s="7" t="str">
        <f t="shared" si="59"/>
        <v>D.Mahesh</v>
      </c>
      <c r="N354" s="6">
        <f t="shared" si="60"/>
        <v>4</v>
      </c>
      <c r="O354" s="6">
        <f t="shared" si="61"/>
        <v>0</v>
      </c>
      <c r="P354" s="6" t="str">
        <f t="shared" si="62"/>
        <v>N</v>
      </c>
      <c r="Q354" s="6">
        <f t="shared" si="63"/>
        <v>11</v>
      </c>
      <c r="R354" s="6" t="str">
        <f t="shared" si="64"/>
        <v>2023</v>
      </c>
      <c r="S354" s="6" t="str">
        <f t="shared" si="65"/>
        <v>Apr</v>
      </c>
    </row>
    <row r="355" spans="1:19" x14ac:dyDescent="0.25">
      <c r="A355" s="6">
        <v>1387</v>
      </c>
      <c r="B355" s="6" t="str">
        <f t="shared" si="55"/>
        <v>NIKBRA01387</v>
      </c>
      <c r="C355" s="7" t="s">
        <v>1427</v>
      </c>
      <c r="D355" s="7" t="s">
        <v>1428</v>
      </c>
      <c r="E355" s="7" t="str">
        <f t="shared" si="56"/>
        <v>YASHANA PATIDAR</v>
      </c>
      <c r="F355" s="7" t="s">
        <v>10</v>
      </c>
      <c r="G355" s="22">
        <v>45062</v>
      </c>
      <c r="H355" s="8">
        <v>73707</v>
      </c>
      <c r="I355" s="7" t="str">
        <f t="shared" si="57"/>
        <v>yashana.patidar@br.par.ba</v>
      </c>
      <c r="J355" s="6" t="s">
        <v>1544</v>
      </c>
      <c r="K355" s="6">
        <v>74</v>
      </c>
      <c r="L355" s="7" t="str">
        <f t="shared" si="58"/>
        <v>br.par.ba</v>
      </c>
      <c r="M355" s="7" t="str">
        <f t="shared" si="59"/>
        <v>P.Yashana</v>
      </c>
      <c r="N355" s="6">
        <f t="shared" si="60"/>
        <v>0</v>
      </c>
      <c r="O355" s="6">
        <f t="shared" si="61"/>
        <v>0</v>
      </c>
      <c r="P355" s="6" t="str">
        <f t="shared" si="62"/>
        <v>N</v>
      </c>
      <c r="Q355" s="6">
        <f t="shared" si="63"/>
        <v>14</v>
      </c>
      <c r="R355" s="6" t="str">
        <f t="shared" si="64"/>
        <v>2023</v>
      </c>
      <c r="S355" s="6" t="str">
        <f t="shared" si="65"/>
        <v>May</v>
      </c>
    </row>
    <row r="356" spans="1:19" x14ac:dyDescent="0.25">
      <c r="A356" s="6">
        <v>1398</v>
      </c>
      <c r="B356" s="6" t="str">
        <f t="shared" si="55"/>
        <v>NIKBRA01398</v>
      </c>
      <c r="C356" s="7" t="s">
        <v>695</v>
      </c>
      <c r="D356" s="7" t="s">
        <v>55</v>
      </c>
      <c r="E356" s="7" t="str">
        <f t="shared" si="56"/>
        <v>SWAPNIL SHARMA</v>
      </c>
      <c r="F356" s="7" t="s">
        <v>10</v>
      </c>
      <c r="G356" s="22">
        <v>43115</v>
      </c>
      <c r="H356" s="8">
        <v>55888</v>
      </c>
      <c r="I356" s="7" t="str">
        <f t="shared" si="57"/>
        <v>swapnil.sharma@br.sha.ba</v>
      </c>
      <c r="J356" s="6" t="s">
        <v>1535</v>
      </c>
      <c r="K356" s="6">
        <v>61</v>
      </c>
      <c r="L356" s="7" t="str">
        <f t="shared" si="58"/>
        <v>br.sha.ba</v>
      </c>
      <c r="M356" s="7" t="str">
        <f t="shared" si="59"/>
        <v>S.Swapnil</v>
      </c>
      <c r="N356" s="6">
        <f t="shared" si="60"/>
        <v>0</v>
      </c>
      <c r="O356" s="6">
        <f t="shared" si="61"/>
        <v>0</v>
      </c>
      <c r="P356" s="6" t="str">
        <f t="shared" si="62"/>
        <v>N</v>
      </c>
      <c r="Q356" s="6">
        <f t="shared" si="63"/>
        <v>13</v>
      </c>
      <c r="R356" s="6" t="str">
        <f t="shared" si="64"/>
        <v>2018</v>
      </c>
      <c r="S356" s="6" t="str">
        <f t="shared" si="65"/>
        <v>Jan</v>
      </c>
    </row>
    <row r="357" spans="1:19" x14ac:dyDescent="0.25">
      <c r="A357" s="6">
        <v>1399</v>
      </c>
      <c r="B357" s="6" t="str">
        <f t="shared" si="55"/>
        <v>NIKBRA01399</v>
      </c>
      <c r="C357" s="7" t="s">
        <v>683</v>
      </c>
      <c r="D357" s="7" t="s">
        <v>1437</v>
      </c>
      <c r="E357" s="7" t="str">
        <f t="shared" si="56"/>
        <v>PRATEEK GAUR</v>
      </c>
      <c r="F357" s="7" t="s">
        <v>10</v>
      </c>
      <c r="G357" s="22">
        <v>44725</v>
      </c>
      <c r="H357" s="8">
        <v>76873</v>
      </c>
      <c r="I357" s="7" t="str">
        <f t="shared" si="57"/>
        <v>prateek.gaur@br.gar.ba</v>
      </c>
      <c r="J357" s="6" t="s">
        <v>1550</v>
      </c>
      <c r="K357" s="6">
        <v>72</v>
      </c>
      <c r="L357" s="7" t="str">
        <f t="shared" si="58"/>
        <v>br.gar.ba</v>
      </c>
      <c r="M357" s="7" t="str">
        <f t="shared" si="59"/>
        <v>G.Prateek</v>
      </c>
      <c r="N357" s="6">
        <f t="shared" si="60"/>
        <v>5</v>
      </c>
      <c r="O357" s="6">
        <f t="shared" si="61"/>
        <v>0</v>
      </c>
      <c r="P357" s="6" t="str">
        <f t="shared" si="62"/>
        <v>N</v>
      </c>
      <c r="Q357" s="6">
        <f t="shared" si="63"/>
        <v>11</v>
      </c>
      <c r="R357" s="6" t="str">
        <f t="shared" si="64"/>
        <v>2022</v>
      </c>
      <c r="S357" s="6" t="str">
        <f t="shared" si="65"/>
        <v>Jun</v>
      </c>
    </row>
    <row r="358" spans="1:19" x14ac:dyDescent="0.25">
      <c r="A358" s="6">
        <v>1412</v>
      </c>
      <c r="B358" s="6" t="str">
        <f t="shared" si="55"/>
        <v>NIKBRA01412</v>
      </c>
      <c r="C358" s="7" t="s">
        <v>209</v>
      </c>
      <c r="D358" s="7" t="s">
        <v>189</v>
      </c>
      <c r="E358" s="7" t="str">
        <f t="shared" si="56"/>
        <v>GAURAV GANDHI</v>
      </c>
      <c r="F358" s="7" t="s">
        <v>10</v>
      </c>
      <c r="G358" s="22">
        <v>44967</v>
      </c>
      <c r="H358" s="8">
        <v>74255</v>
      </c>
      <c r="I358" s="7" t="str">
        <f t="shared" si="57"/>
        <v>gaurav.gandhi@br.gai.ba</v>
      </c>
      <c r="J358" s="6" t="s">
        <v>1534</v>
      </c>
      <c r="K358" s="6">
        <v>85</v>
      </c>
      <c r="L358" s="7" t="str">
        <f t="shared" si="58"/>
        <v>br.gai.ba</v>
      </c>
      <c r="M358" s="7" t="str">
        <f t="shared" si="59"/>
        <v>G.Gaurav</v>
      </c>
      <c r="N358" s="6">
        <f t="shared" si="60"/>
        <v>0</v>
      </c>
      <c r="O358" s="6">
        <f t="shared" si="61"/>
        <v>0</v>
      </c>
      <c r="P358" s="6" t="str">
        <f t="shared" si="62"/>
        <v>N</v>
      </c>
      <c r="Q358" s="6">
        <f t="shared" si="63"/>
        <v>12</v>
      </c>
      <c r="R358" s="6" t="str">
        <f t="shared" si="64"/>
        <v>2023</v>
      </c>
      <c r="S358" s="6" t="str">
        <f t="shared" si="65"/>
        <v>Feb</v>
      </c>
    </row>
    <row r="359" spans="1:19" x14ac:dyDescent="0.25">
      <c r="A359" s="6">
        <v>1424</v>
      </c>
      <c r="B359" s="6" t="str">
        <f t="shared" si="55"/>
        <v>NIKBRA01424</v>
      </c>
      <c r="C359" s="7" t="s">
        <v>453</v>
      </c>
      <c r="D359" s="7" t="s">
        <v>852</v>
      </c>
      <c r="E359" s="7" t="str">
        <f t="shared" si="56"/>
        <v>VISHNU DAYAL</v>
      </c>
      <c r="F359" s="7" t="s">
        <v>10</v>
      </c>
      <c r="G359" s="22">
        <v>44634</v>
      </c>
      <c r="H359" s="8">
        <v>78858</v>
      </c>
      <c r="I359" s="7" t="str">
        <f t="shared" si="57"/>
        <v>vishnu.dayal@br.dal.ba</v>
      </c>
      <c r="J359" s="6" t="s">
        <v>1539</v>
      </c>
      <c r="K359" s="6">
        <v>70</v>
      </c>
      <c r="L359" s="7" t="str">
        <f t="shared" si="58"/>
        <v>br.dal.ba</v>
      </c>
      <c r="M359" s="7" t="str">
        <f t="shared" si="59"/>
        <v>D.Vishnu</v>
      </c>
      <c r="N359" s="6">
        <f t="shared" si="60"/>
        <v>0</v>
      </c>
      <c r="O359" s="6">
        <f t="shared" si="61"/>
        <v>0</v>
      </c>
      <c r="P359" s="6" t="str">
        <f t="shared" si="62"/>
        <v>N</v>
      </c>
      <c r="Q359" s="6">
        <f t="shared" si="63"/>
        <v>11</v>
      </c>
      <c r="R359" s="6" t="str">
        <f t="shared" si="64"/>
        <v>2022</v>
      </c>
      <c r="S359" s="6" t="str">
        <f t="shared" si="65"/>
        <v>Mar</v>
      </c>
    </row>
    <row r="360" spans="1:19" x14ac:dyDescent="0.25">
      <c r="A360" s="6">
        <v>1439</v>
      </c>
      <c r="B360" s="6" t="str">
        <f t="shared" si="55"/>
        <v>NIKBRA01439</v>
      </c>
      <c r="C360" s="7" t="s">
        <v>309</v>
      </c>
      <c r="D360" s="7" t="s">
        <v>1146</v>
      </c>
      <c r="E360" s="7" t="str">
        <f t="shared" si="56"/>
        <v>SUMIT MADHAV</v>
      </c>
      <c r="F360" s="7" t="s">
        <v>10</v>
      </c>
      <c r="G360" s="22">
        <v>44809</v>
      </c>
      <c r="H360" s="8">
        <v>91823</v>
      </c>
      <c r="I360" s="7" t="str">
        <f t="shared" si="57"/>
        <v>sumit.madhav@br.mav.ba</v>
      </c>
      <c r="J360" s="6" t="s">
        <v>1543</v>
      </c>
      <c r="K360" s="6">
        <v>65</v>
      </c>
      <c r="L360" s="7" t="str">
        <f t="shared" si="58"/>
        <v>br.mav.ba</v>
      </c>
      <c r="M360" s="7" t="str">
        <f t="shared" si="59"/>
        <v>M.Sumit</v>
      </c>
      <c r="N360" s="6">
        <f t="shared" si="60"/>
        <v>0</v>
      </c>
      <c r="O360" s="6">
        <f t="shared" si="61"/>
        <v>0</v>
      </c>
      <c r="P360" s="6" t="str">
        <f t="shared" si="62"/>
        <v>N</v>
      </c>
      <c r="Q360" s="6">
        <f t="shared" si="63"/>
        <v>11</v>
      </c>
      <c r="R360" s="6" t="str">
        <f t="shared" si="64"/>
        <v>2022</v>
      </c>
      <c r="S360" s="6" t="str">
        <f t="shared" si="65"/>
        <v>Sep</v>
      </c>
    </row>
    <row r="361" spans="1:19" x14ac:dyDescent="0.25">
      <c r="A361" s="6">
        <v>1445</v>
      </c>
      <c r="B361" s="6" t="str">
        <f t="shared" si="55"/>
        <v>NIKBRA01445</v>
      </c>
      <c r="C361" s="7" t="s">
        <v>1483</v>
      </c>
      <c r="D361" s="7" t="s">
        <v>1484</v>
      </c>
      <c r="E361" s="7" t="str">
        <f t="shared" si="56"/>
        <v>Jayendra Sakhare</v>
      </c>
      <c r="F361" s="7" t="s">
        <v>10</v>
      </c>
      <c r="G361" s="22">
        <v>42583</v>
      </c>
      <c r="H361" s="8">
        <v>84814</v>
      </c>
      <c r="I361" s="7" t="str">
        <f t="shared" si="57"/>
        <v>jayendra.sakhare@br.sae.ba</v>
      </c>
      <c r="J361" s="6" t="s">
        <v>1536</v>
      </c>
      <c r="K361" s="6">
        <v>83</v>
      </c>
      <c r="L361" s="7" t="str">
        <f t="shared" si="58"/>
        <v>br.sae.ba</v>
      </c>
      <c r="M361" s="7" t="str">
        <f t="shared" si="59"/>
        <v>S.Jayendra</v>
      </c>
      <c r="N361" s="6">
        <f t="shared" si="60"/>
        <v>4</v>
      </c>
      <c r="O361" s="6">
        <f t="shared" si="61"/>
        <v>7</v>
      </c>
      <c r="P361" s="6" t="str">
        <f t="shared" si="62"/>
        <v>Y</v>
      </c>
      <c r="Q361" s="6">
        <f t="shared" si="63"/>
        <v>15</v>
      </c>
      <c r="R361" s="6" t="str">
        <f t="shared" si="64"/>
        <v>2016</v>
      </c>
      <c r="S361" s="6" t="str">
        <f t="shared" si="65"/>
        <v>Aug</v>
      </c>
    </row>
    <row r="362" spans="1:19" x14ac:dyDescent="0.25">
      <c r="A362" s="6">
        <v>1453</v>
      </c>
      <c r="B362" s="6" t="str">
        <f t="shared" si="55"/>
        <v>NIKBRA01453</v>
      </c>
      <c r="C362" s="7" t="s">
        <v>188</v>
      </c>
      <c r="D362" s="7" t="s">
        <v>1493</v>
      </c>
      <c r="E362" s="7" t="str">
        <f t="shared" si="56"/>
        <v>JAY KAMLESHKUMAR</v>
      </c>
      <c r="F362" s="7" t="s">
        <v>10</v>
      </c>
      <c r="G362" s="22">
        <v>45356</v>
      </c>
      <c r="H362" s="8">
        <v>38469</v>
      </c>
      <c r="I362" s="7" t="str">
        <f t="shared" si="57"/>
        <v>jay.kamleshkumar@br.kar.ba</v>
      </c>
      <c r="J362" s="6" t="s">
        <v>1544</v>
      </c>
      <c r="K362" s="6">
        <v>36</v>
      </c>
      <c r="L362" s="7" t="str">
        <f t="shared" si="58"/>
        <v>br.kar.ba</v>
      </c>
      <c r="M362" s="7" t="str">
        <f t="shared" si="59"/>
        <v>K.Jay</v>
      </c>
      <c r="N362" s="6">
        <f t="shared" si="60"/>
        <v>0</v>
      </c>
      <c r="O362" s="6">
        <f t="shared" si="61"/>
        <v>5</v>
      </c>
      <c r="P362" s="6" t="str">
        <f t="shared" si="62"/>
        <v>N</v>
      </c>
      <c r="Q362" s="6">
        <f t="shared" si="63"/>
        <v>15</v>
      </c>
      <c r="R362" s="6" t="str">
        <f t="shared" si="64"/>
        <v>2024</v>
      </c>
      <c r="S362" s="6" t="str">
        <f t="shared" si="65"/>
        <v>Mar</v>
      </c>
    </row>
    <row r="363" spans="1:19" x14ac:dyDescent="0.25">
      <c r="A363" s="6">
        <v>1459</v>
      </c>
      <c r="B363" s="6" t="str">
        <f t="shared" si="55"/>
        <v>NIKBRA01459</v>
      </c>
      <c r="C363" s="7" t="s">
        <v>1501</v>
      </c>
      <c r="D363" s="7" t="s">
        <v>1502</v>
      </c>
      <c r="E363" s="7" t="str">
        <f t="shared" si="56"/>
        <v>JAYKUMAR BALDEVBHAI</v>
      </c>
      <c r="F363" s="7" t="s">
        <v>10</v>
      </c>
      <c r="G363" s="22">
        <v>44809</v>
      </c>
      <c r="H363" s="8">
        <v>90356</v>
      </c>
      <c r="I363" s="7" t="str">
        <f t="shared" si="57"/>
        <v>jaykumar.baldevbhai@br.bai.ba</v>
      </c>
      <c r="J363" s="6" t="s">
        <v>1542</v>
      </c>
      <c r="K363" s="6">
        <v>50</v>
      </c>
      <c r="L363" s="7" t="str">
        <f t="shared" si="58"/>
        <v>br.bai.ba</v>
      </c>
      <c r="M363" s="7" t="str">
        <f t="shared" si="59"/>
        <v>B.Jaykumar</v>
      </c>
      <c r="N363" s="6">
        <f t="shared" si="60"/>
        <v>0</v>
      </c>
      <c r="O363" s="6">
        <f t="shared" si="61"/>
        <v>5</v>
      </c>
      <c r="P363" s="6" t="str">
        <f t="shared" si="62"/>
        <v>N</v>
      </c>
      <c r="Q363" s="6">
        <f t="shared" si="63"/>
        <v>18</v>
      </c>
      <c r="R363" s="6" t="str">
        <f t="shared" si="64"/>
        <v>2022</v>
      </c>
      <c r="S363" s="6" t="str">
        <f t="shared" si="65"/>
        <v>Sep</v>
      </c>
    </row>
    <row r="364" spans="1:19" x14ac:dyDescent="0.25">
      <c r="A364" s="6">
        <v>1488</v>
      </c>
      <c r="B364" s="6" t="str">
        <f t="shared" si="55"/>
        <v>NIKBRA01488</v>
      </c>
      <c r="C364" s="7" t="s">
        <v>843</v>
      </c>
      <c r="D364" s="7" t="s">
        <v>140</v>
      </c>
      <c r="E364" s="7" t="str">
        <f t="shared" si="56"/>
        <v>NIKHIL MISHRA</v>
      </c>
      <c r="F364" s="7" t="s">
        <v>10</v>
      </c>
      <c r="G364" s="22">
        <v>41955</v>
      </c>
      <c r="H364" s="8">
        <v>96284</v>
      </c>
      <c r="I364" s="7" t="str">
        <f t="shared" si="57"/>
        <v>nikhil.mishra@br.mia.ba</v>
      </c>
      <c r="J364" s="6" t="s">
        <v>1539</v>
      </c>
      <c r="K364" s="6">
        <v>58</v>
      </c>
      <c r="L364" s="7" t="str">
        <f t="shared" si="58"/>
        <v>br.mia.ba</v>
      </c>
      <c r="M364" s="7" t="str">
        <f t="shared" si="59"/>
        <v>M.Nikhil</v>
      </c>
      <c r="N364" s="6"/>
      <c r="O364" s="6">
        <f t="shared" ref="O364:O427" si="66">IFERROR(SEARCH("e",D364),0)</f>
        <v>0</v>
      </c>
      <c r="P364" s="6" t="str">
        <f t="shared" si="62"/>
        <v>N</v>
      </c>
      <c r="Q364" s="6">
        <f t="shared" si="63"/>
        <v>12</v>
      </c>
      <c r="R364" s="6" t="str">
        <f t="shared" si="64"/>
        <v>2014</v>
      </c>
      <c r="S364" s="6" t="str">
        <f t="shared" si="65"/>
        <v>Nov</v>
      </c>
    </row>
    <row r="365" spans="1:19" x14ac:dyDescent="0.25">
      <c r="A365" s="6">
        <v>1489</v>
      </c>
      <c r="B365" s="6" t="str">
        <f t="shared" si="55"/>
        <v>NIKBRA01489</v>
      </c>
      <c r="C365" s="7" t="s">
        <v>99</v>
      </c>
      <c r="D365" s="7" t="s">
        <v>100</v>
      </c>
      <c r="E365" s="7" t="str">
        <f t="shared" si="56"/>
        <v>DANNY THAKUR</v>
      </c>
      <c r="F365" s="7" t="s">
        <v>10</v>
      </c>
      <c r="G365" s="22">
        <v>39671</v>
      </c>
      <c r="H365" s="8">
        <v>98905</v>
      </c>
      <c r="I365" s="7" t="str">
        <f t="shared" si="57"/>
        <v>danny.thakur@br.thr.ba</v>
      </c>
      <c r="J365" s="6" t="s">
        <v>1547</v>
      </c>
      <c r="K365" s="6">
        <v>47</v>
      </c>
      <c r="L365" s="7" t="str">
        <f t="shared" si="58"/>
        <v>br.thr.ba</v>
      </c>
      <c r="M365" s="7" t="str">
        <f t="shared" si="59"/>
        <v>T.Danny</v>
      </c>
      <c r="N365" s="6"/>
      <c r="O365" s="6">
        <f t="shared" si="66"/>
        <v>0</v>
      </c>
      <c r="P365" s="6" t="str">
        <f t="shared" si="62"/>
        <v>N</v>
      </c>
      <c r="Q365" s="6">
        <f t="shared" si="63"/>
        <v>11</v>
      </c>
      <c r="R365" s="6" t="str">
        <f t="shared" si="64"/>
        <v>2008</v>
      </c>
      <c r="S365" s="6" t="str">
        <f t="shared" si="65"/>
        <v>Aug</v>
      </c>
    </row>
    <row r="366" spans="1:19" x14ac:dyDescent="0.25">
      <c r="A366" s="6">
        <v>3</v>
      </c>
      <c r="B366" s="6" t="str">
        <f t="shared" si="55"/>
        <v>NIKDIG00003</v>
      </c>
      <c r="C366" s="7" t="s">
        <v>52</v>
      </c>
      <c r="D366" s="7" t="s">
        <v>53</v>
      </c>
      <c r="E366" s="7" t="str">
        <f t="shared" si="56"/>
        <v>LALIT PANWAR</v>
      </c>
      <c r="F366" s="7" t="s">
        <v>11</v>
      </c>
      <c r="G366" s="22">
        <v>38243</v>
      </c>
      <c r="H366" s="8">
        <v>72066</v>
      </c>
      <c r="I366" s="7" t="str">
        <f t="shared" si="57"/>
        <v>lalit.panwar@di.par.ba</v>
      </c>
      <c r="J366" s="6" t="s">
        <v>1533</v>
      </c>
      <c r="K366" s="6">
        <v>65</v>
      </c>
      <c r="L366" s="7" t="str">
        <f t="shared" si="58"/>
        <v>di.par.ba</v>
      </c>
      <c r="M366" s="7" t="str">
        <f t="shared" si="59"/>
        <v>P.Lalit</v>
      </c>
      <c r="N366" s="6">
        <f t="shared" ref="N366:N429" si="67">IFERROR(SEARCH("e",C366),0)</f>
        <v>0</v>
      </c>
      <c r="O366" s="6">
        <f t="shared" si="66"/>
        <v>0</v>
      </c>
      <c r="P366" s="6" t="str">
        <f t="shared" si="62"/>
        <v>N</v>
      </c>
      <c r="Q366" s="6">
        <f t="shared" si="63"/>
        <v>11</v>
      </c>
      <c r="R366" s="6" t="str">
        <f t="shared" si="64"/>
        <v>2004</v>
      </c>
      <c r="S366" s="6" t="str">
        <f t="shared" si="65"/>
        <v>Sep</v>
      </c>
    </row>
    <row r="367" spans="1:19" x14ac:dyDescent="0.25">
      <c r="A367" s="6">
        <v>9</v>
      </c>
      <c r="B367" s="6" t="str">
        <f t="shared" si="55"/>
        <v>NIKDIG00009</v>
      </c>
      <c r="C367" s="7" t="s">
        <v>30</v>
      </c>
      <c r="D367" s="7" t="s">
        <v>62</v>
      </c>
      <c r="E367" s="7" t="str">
        <f t="shared" si="56"/>
        <v>SUDEEP JAIN</v>
      </c>
      <c r="F367" s="7" t="s">
        <v>11</v>
      </c>
      <c r="G367" s="22">
        <v>39027</v>
      </c>
      <c r="H367" s="8">
        <v>48773</v>
      </c>
      <c r="I367" s="7" t="str">
        <f t="shared" si="57"/>
        <v>sudeep.jain@di.jan.ba</v>
      </c>
      <c r="J367" s="6" t="s">
        <v>1549</v>
      </c>
      <c r="K367" s="6">
        <v>51</v>
      </c>
      <c r="L367" s="7" t="str">
        <f t="shared" si="58"/>
        <v>di.jan.ba</v>
      </c>
      <c r="M367" s="7" t="str">
        <f t="shared" si="59"/>
        <v>J.Sudeep</v>
      </c>
      <c r="N367" s="6">
        <f t="shared" si="67"/>
        <v>4</v>
      </c>
      <c r="O367" s="6">
        <f t="shared" si="66"/>
        <v>0</v>
      </c>
      <c r="P367" s="6" t="str">
        <f t="shared" si="62"/>
        <v>N</v>
      </c>
      <c r="Q367" s="6">
        <f t="shared" si="63"/>
        <v>10</v>
      </c>
      <c r="R367" s="6" t="str">
        <f t="shared" si="64"/>
        <v>2006</v>
      </c>
      <c r="S367" s="6" t="str">
        <f t="shared" si="65"/>
        <v>Nov</v>
      </c>
    </row>
    <row r="368" spans="1:19" x14ac:dyDescent="0.25">
      <c r="A368" s="6">
        <v>16</v>
      </c>
      <c r="B368" s="6" t="str">
        <f t="shared" si="55"/>
        <v>NIKDIG00016</v>
      </c>
      <c r="C368" s="7" t="s">
        <v>75</v>
      </c>
      <c r="D368" s="7" t="s">
        <v>76</v>
      </c>
      <c r="E368" s="7" t="str">
        <f t="shared" si="56"/>
        <v>KRUPA TRIVEDI</v>
      </c>
      <c r="F368" s="7" t="s">
        <v>11</v>
      </c>
      <c r="G368" s="22">
        <v>39210</v>
      </c>
      <c r="H368" s="8">
        <v>61891</v>
      </c>
      <c r="I368" s="7" t="str">
        <f t="shared" si="57"/>
        <v>krupa.trivedi@di.tri.ba</v>
      </c>
      <c r="J368" s="6" t="s">
        <v>1538</v>
      </c>
      <c r="K368" s="6">
        <v>81</v>
      </c>
      <c r="L368" s="7" t="str">
        <f t="shared" si="58"/>
        <v>di.tri.ba</v>
      </c>
      <c r="M368" s="7" t="str">
        <f t="shared" si="59"/>
        <v>T.Krupa</v>
      </c>
      <c r="N368" s="6">
        <f t="shared" si="67"/>
        <v>0</v>
      </c>
      <c r="O368" s="6">
        <f t="shared" si="66"/>
        <v>5</v>
      </c>
      <c r="P368" s="6" t="str">
        <f t="shared" si="62"/>
        <v>N</v>
      </c>
      <c r="Q368" s="6">
        <f t="shared" si="63"/>
        <v>12</v>
      </c>
      <c r="R368" s="6" t="str">
        <f t="shared" si="64"/>
        <v>2007</v>
      </c>
      <c r="S368" s="6" t="str">
        <f t="shared" si="65"/>
        <v>May</v>
      </c>
    </row>
    <row r="369" spans="1:19" x14ac:dyDescent="0.25">
      <c r="A369" s="6">
        <v>23</v>
      </c>
      <c r="B369" s="6" t="str">
        <f t="shared" si="55"/>
        <v>NIKDIG00023</v>
      </c>
      <c r="C369" s="7" t="s">
        <v>85</v>
      </c>
      <c r="D369" s="7" t="s">
        <v>68</v>
      </c>
      <c r="E369" s="7" t="str">
        <f t="shared" si="56"/>
        <v>RAJESH KUMAR</v>
      </c>
      <c r="F369" s="7" t="s">
        <v>11</v>
      </c>
      <c r="G369" s="22">
        <v>39325</v>
      </c>
      <c r="H369" s="8">
        <v>105304</v>
      </c>
      <c r="I369" s="7" t="str">
        <f t="shared" si="57"/>
        <v>rajesh.kumar@di.kur.ba</v>
      </c>
      <c r="J369" s="6" t="s">
        <v>1548</v>
      </c>
      <c r="K369" s="6">
        <v>82</v>
      </c>
      <c r="L369" s="7" t="str">
        <f t="shared" si="58"/>
        <v>di.kur.ba</v>
      </c>
      <c r="M369" s="7" t="str">
        <f t="shared" si="59"/>
        <v>K.Rajesh</v>
      </c>
      <c r="N369" s="6">
        <f t="shared" si="67"/>
        <v>4</v>
      </c>
      <c r="O369" s="6">
        <f t="shared" si="66"/>
        <v>0</v>
      </c>
      <c r="P369" s="6" t="str">
        <f t="shared" si="62"/>
        <v>N</v>
      </c>
      <c r="Q369" s="6">
        <f t="shared" si="63"/>
        <v>11</v>
      </c>
      <c r="R369" s="6" t="str">
        <f t="shared" si="64"/>
        <v>2007</v>
      </c>
      <c r="S369" s="6" t="str">
        <f t="shared" si="65"/>
        <v>Aug</v>
      </c>
    </row>
    <row r="370" spans="1:19" x14ac:dyDescent="0.25">
      <c r="A370" s="6">
        <v>47</v>
      </c>
      <c r="B370" s="6" t="str">
        <f t="shared" si="55"/>
        <v>NIKDIG00047</v>
      </c>
      <c r="C370" s="7" t="s">
        <v>120</v>
      </c>
      <c r="D370" s="7" t="s">
        <v>70</v>
      </c>
      <c r="E370" s="7" t="str">
        <f t="shared" si="56"/>
        <v>MAHENDRA SINGH</v>
      </c>
      <c r="F370" s="7" t="s">
        <v>11</v>
      </c>
      <c r="G370" s="22">
        <v>40557</v>
      </c>
      <c r="H370" s="8">
        <v>41809</v>
      </c>
      <c r="I370" s="7" t="str">
        <f t="shared" si="57"/>
        <v>mahendra.singh@di.sih.ba</v>
      </c>
      <c r="J370" s="6" t="s">
        <v>1545</v>
      </c>
      <c r="K370" s="6">
        <v>76</v>
      </c>
      <c r="L370" s="7" t="str">
        <f t="shared" si="58"/>
        <v>di.sih.ba</v>
      </c>
      <c r="M370" s="7" t="str">
        <f t="shared" si="59"/>
        <v>S.Mahendra</v>
      </c>
      <c r="N370" s="6">
        <f t="shared" si="67"/>
        <v>4</v>
      </c>
      <c r="O370" s="6">
        <f t="shared" si="66"/>
        <v>0</v>
      </c>
      <c r="P370" s="6" t="str">
        <f t="shared" si="62"/>
        <v>N</v>
      </c>
      <c r="Q370" s="6">
        <f t="shared" si="63"/>
        <v>13</v>
      </c>
      <c r="R370" s="6" t="str">
        <f t="shared" si="64"/>
        <v>2011</v>
      </c>
      <c r="S370" s="6" t="str">
        <f t="shared" si="65"/>
        <v>Jan</v>
      </c>
    </row>
    <row r="371" spans="1:19" x14ac:dyDescent="0.25">
      <c r="A371" s="6">
        <v>48</v>
      </c>
      <c r="B371" s="6" t="str">
        <f t="shared" si="55"/>
        <v>NIKDIG00048</v>
      </c>
      <c r="C371" s="7" t="s">
        <v>121</v>
      </c>
      <c r="D371" s="7" t="s">
        <v>122</v>
      </c>
      <c r="E371" s="7" t="str">
        <f t="shared" si="56"/>
        <v>RICHA SHRIVASTAVA</v>
      </c>
      <c r="F371" s="7" t="s">
        <v>11</v>
      </c>
      <c r="G371" s="22">
        <v>40563</v>
      </c>
      <c r="H371" s="8">
        <v>102203</v>
      </c>
      <c r="I371" s="7" t="str">
        <f t="shared" si="57"/>
        <v>richa.shrivastava@di.sha.ba</v>
      </c>
      <c r="J371" s="6" t="s">
        <v>1543</v>
      </c>
      <c r="K371" s="6">
        <v>65</v>
      </c>
      <c r="L371" s="7" t="str">
        <f t="shared" si="58"/>
        <v>di.sha.ba</v>
      </c>
      <c r="M371" s="7" t="str">
        <f t="shared" si="59"/>
        <v>S.Richa</v>
      </c>
      <c r="N371" s="6">
        <f t="shared" si="67"/>
        <v>0</v>
      </c>
      <c r="O371" s="6">
        <f t="shared" si="66"/>
        <v>0</v>
      </c>
      <c r="P371" s="6" t="str">
        <f t="shared" si="62"/>
        <v>N</v>
      </c>
      <c r="Q371" s="6">
        <f t="shared" si="63"/>
        <v>16</v>
      </c>
      <c r="R371" s="6" t="str">
        <f t="shared" si="64"/>
        <v>2011</v>
      </c>
      <c r="S371" s="6" t="str">
        <f t="shared" si="65"/>
        <v>Jan</v>
      </c>
    </row>
    <row r="372" spans="1:19" x14ac:dyDescent="0.25">
      <c r="A372" s="6">
        <v>53</v>
      </c>
      <c r="B372" s="6" t="str">
        <f t="shared" si="55"/>
        <v>NIKDIG00053</v>
      </c>
      <c r="C372" s="7" t="s">
        <v>128</v>
      </c>
      <c r="D372" s="7" t="s">
        <v>129</v>
      </c>
      <c r="E372" s="7" t="str">
        <f t="shared" si="56"/>
        <v>PRAVEEN GIRI</v>
      </c>
      <c r="F372" s="7" t="s">
        <v>11</v>
      </c>
      <c r="G372" s="22">
        <v>40735</v>
      </c>
      <c r="H372" s="8">
        <v>59382</v>
      </c>
      <c r="I372" s="7" t="str">
        <f t="shared" si="57"/>
        <v>praveen.giri@di.gii.ba</v>
      </c>
      <c r="J372" s="6" t="s">
        <v>1546</v>
      </c>
      <c r="K372" s="6">
        <v>41</v>
      </c>
      <c r="L372" s="7" t="str">
        <f t="shared" si="58"/>
        <v>di.gii.ba</v>
      </c>
      <c r="M372" s="7" t="str">
        <f t="shared" si="59"/>
        <v>G.Praveen</v>
      </c>
      <c r="N372" s="6">
        <f t="shared" si="67"/>
        <v>5</v>
      </c>
      <c r="O372" s="6">
        <f t="shared" si="66"/>
        <v>0</v>
      </c>
      <c r="P372" s="6" t="str">
        <f t="shared" si="62"/>
        <v>N</v>
      </c>
      <c r="Q372" s="6">
        <f t="shared" si="63"/>
        <v>11</v>
      </c>
      <c r="R372" s="6" t="str">
        <f t="shared" si="64"/>
        <v>2011</v>
      </c>
      <c r="S372" s="6" t="str">
        <f t="shared" si="65"/>
        <v>Jul</v>
      </c>
    </row>
    <row r="373" spans="1:19" x14ac:dyDescent="0.25">
      <c r="A373" s="6">
        <v>57</v>
      </c>
      <c r="B373" s="6" t="str">
        <f t="shared" si="55"/>
        <v>NIKDIG00057</v>
      </c>
      <c r="C373" s="7" t="s">
        <v>134</v>
      </c>
      <c r="D373" s="7" t="s">
        <v>135</v>
      </c>
      <c r="E373" s="7" t="str">
        <f t="shared" si="56"/>
        <v>ABHINAV BALI</v>
      </c>
      <c r="F373" s="7" t="s">
        <v>11</v>
      </c>
      <c r="G373" s="22">
        <v>41008</v>
      </c>
      <c r="H373" s="8">
        <v>54525</v>
      </c>
      <c r="I373" s="7" t="str">
        <f t="shared" si="57"/>
        <v>abhinav.bali@di.bai.ba</v>
      </c>
      <c r="J373" s="6" t="s">
        <v>1550</v>
      </c>
      <c r="K373" s="6">
        <v>46</v>
      </c>
      <c r="L373" s="7" t="str">
        <f t="shared" si="58"/>
        <v>di.bai.ba</v>
      </c>
      <c r="M373" s="7" t="str">
        <f t="shared" si="59"/>
        <v>B.Abhinav</v>
      </c>
      <c r="N373" s="6">
        <f t="shared" si="67"/>
        <v>0</v>
      </c>
      <c r="O373" s="6">
        <f t="shared" si="66"/>
        <v>0</v>
      </c>
      <c r="P373" s="6" t="str">
        <f t="shared" si="62"/>
        <v>N</v>
      </c>
      <c r="Q373" s="6">
        <f t="shared" si="63"/>
        <v>11</v>
      </c>
      <c r="R373" s="6" t="str">
        <f t="shared" si="64"/>
        <v>2012</v>
      </c>
      <c r="S373" s="6" t="str">
        <f t="shared" si="65"/>
        <v>Apr</v>
      </c>
    </row>
    <row r="374" spans="1:19" x14ac:dyDescent="0.25">
      <c r="A374" s="6">
        <v>64</v>
      </c>
      <c r="B374" s="6" t="str">
        <f t="shared" si="55"/>
        <v>NIKDIG00064</v>
      </c>
      <c r="C374" s="7" t="s">
        <v>144</v>
      </c>
      <c r="D374" s="7" t="s">
        <v>145</v>
      </c>
      <c r="E374" s="7" t="str">
        <f t="shared" si="56"/>
        <v>DEVESH NAGADIA</v>
      </c>
      <c r="F374" s="7" t="s">
        <v>11</v>
      </c>
      <c r="G374" s="22">
        <v>41344</v>
      </c>
      <c r="H374" s="8">
        <v>47760</v>
      </c>
      <c r="I374" s="7" t="str">
        <f t="shared" si="57"/>
        <v>devesh.nagadia@di.naa.ba</v>
      </c>
      <c r="J374" s="6" t="s">
        <v>1545</v>
      </c>
      <c r="K374" s="6">
        <v>90</v>
      </c>
      <c r="L374" s="7" t="str">
        <f t="shared" si="58"/>
        <v>di.naa.ba</v>
      </c>
      <c r="M374" s="7" t="str">
        <f t="shared" si="59"/>
        <v>N.Devesh</v>
      </c>
      <c r="N374" s="6">
        <f t="shared" si="67"/>
        <v>2</v>
      </c>
      <c r="O374" s="6">
        <f t="shared" si="66"/>
        <v>0</v>
      </c>
      <c r="P374" s="6" t="str">
        <f t="shared" si="62"/>
        <v>N</v>
      </c>
      <c r="Q374" s="6">
        <f t="shared" si="63"/>
        <v>13</v>
      </c>
      <c r="R374" s="6" t="str">
        <f t="shared" si="64"/>
        <v>2013</v>
      </c>
      <c r="S374" s="6" t="str">
        <f t="shared" si="65"/>
        <v>Mar</v>
      </c>
    </row>
    <row r="375" spans="1:19" x14ac:dyDescent="0.25">
      <c r="A375" s="6">
        <v>75</v>
      </c>
      <c r="B375" s="6" t="str">
        <f t="shared" si="55"/>
        <v>NIKDIG00075</v>
      </c>
      <c r="C375" s="7" t="s">
        <v>157</v>
      </c>
      <c r="D375" s="7" t="s">
        <v>158</v>
      </c>
      <c r="E375" s="7" t="str">
        <f t="shared" si="56"/>
        <v>PULKITA KALLA</v>
      </c>
      <c r="F375" s="7" t="s">
        <v>11</v>
      </c>
      <c r="G375" s="22">
        <v>41748</v>
      </c>
      <c r="H375" s="8">
        <v>85468</v>
      </c>
      <c r="I375" s="7" t="str">
        <f t="shared" si="57"/>
        <v>pulkita.kalla@di.kaa.ba</v>
      </c>
      <c r="J375" s="6" t="s">
        <v>1543</v>
      </c>
      <c r="K375" s="6">
        <v>83</v>
      </c>
      <c r="L375" s="7" t="str">
        <f t="shared" si="58"/>
        <v>di.kaa.ba</v>
      </c>
      <c r="M375" s="7" t="str">
        <f t="shared" si="59"/>
        <v>K.Pulkita</v>
      </c>
      <c r="N375" s="6">
        <f t="shared" si="67"/>
        <v>0</v>
      </c>
      <c r="O375" s="6">
        <f t="shared" si="66"/>
        <v>0</v>
      </c>
      <c r="P375" s="6" t="str">
        <f t="shared" si="62"/>
        <v>N</v>
      </c>
      <c r="Q375" s="6">
        <f t="shared" si="63"/>
        <v>12</v>
      </c>
      <c r="R375" s="6" t="str">
        <f t="shared" si="64"/>
        <v>2014</v>
      </c>
      <c r="S375" s="6" t="str">
        <f t="shared" si="65"/>
        <v>Apr</v>
      </c>
    </row>
    <row r="376" spans="1:19" x14ac:dyDescent="0.25">
      <c r="A376" s="6">
        <v>79</v>
      </c>
      <c r="B376" s="6" t="str">
        <f t="shared" si="55"/>
        <v>NIKDIG00079</v>
      </c>
      <c r="C376" s="7" t="s">
        <v>163</v>
      </c>
      <c r="D376" s="7" t="s">
        <v>55</v>
      </c>
      <c r="E376" s="7" t="str">
        <f t="shared" si="56"/>
        <v>MANJEEV SHARMA</v>
      </c>
      <c r="F376" s="7" t="s">
        <v>11</v>
      </c>
      <c r="G376" s="22">
        <v>41883</v>
      </c>
      <c r="H376" s="8">
        <v>48208</v>
      </c>
      <c r="I376" s="7" t="str">
        <f t="shared" si="57"/>
        <v>manjeev.sharma@di.sha.ba</v>
      </c>
      <c r="J376" s="6" t="s">
        <v>1534</v>
      </c>
      <c r="K376" s="6">
        <v>51</v>
      </c>
      <c r="L376" s="7" t="str">
        <f t="shared" si="58"/>
        <v>di.sha.ba</v>
      </c>
      <c r="M376" s="7" t="str">
        <f t="shared" si="59"/>
        <v>S.Manjeev</v>
      </c>
      <c r="N376" s="6">
        <f t="shared" si="67"/>
        <v>5</v>
      </c>
      <c r="O376" s="6">
        <f t="shared" si="66"/>
        <v>0</v>
      </c>
      <c r="P376" s="6" t="str">
        <f t="shared" si="62"/>
        <v>N</v>
      </c>
      <c r="Q376" s="6">
        <f t="shared" si="63"/>
        <v>13</v>
      </c>
      <c r="R376" s="6" t="str">
        <f t="shared" si="64"/>
        <v>2014</v>
      </c>
      <c r="S376" s="6" t="str">
        <f t="shared" si="65"/>
        <v>Sep</v>
      </c>
    </row>
    <row r="377" spans="1:19" x14ac:dyDescent="0.25">
      <c r="A377" s="6">
        <v>122</v>
      </c>
      <c r="B377" s="6" t="str">
        <f t="shared" si="55"/>
        <v>NIKDIG00122</v>
      </c>
      <c r="C377" s="7" t="s">
        <v>219</v>
      </c>
      <c r="D377" s="7" t="s">
        <v>211</v>
      </c>
      <c r="E377" s="7" t="str">
        <f t="shared" si="56"/>
        <v>SACHIN ASHOK</v>
      </c>
      <c r="F377" s="7" t="s">
        <v>11</v>
      </c>
      <c r="G377" s="22">
        <v>42583</v>
      </c>
      <c r="H377" s="8">
        <v>34562</v>
      </c>
      <c r="I377" s="7" t="str">
        <f t="shared" si="57"/>
        <v>sachin.ashok@di.ask.ba</v>
      </c>
      <c r="J377" s="6" t="s">
        <v>1532</v>
      </c>
      <c r="K377" s="6">
        <v>82</v>
      </c>
      <c r="L377" s="7" t="str">
        <f t="shared" si="58"/>
        <v>di.ask.ba</v>
      </c>
      <c r="M377" s="7" t="str">
        <f t="shared" si="59"/>
        <v>A.Sachin</v>
      </c>
      <c r="N377" s="6">
        <f t="shared" si="67"/>
        <v>0</v>
      </c>
      <c r="O377" s="6">
        <f t="shared" si="66"/>
        <v>0</v>
      </c>
      <c r="P377" s="6" t="str">
        <f t="shared" si="62"/>
        <v>N</v>
      </c>
      <c r="Q377" s="6">
        <f t="shared" si="63"/>
        <v>11</v>
      </c>
      <c r="R377" s="6" t="str">
        <f t="shared" si="64"/>
        <v>2016</v>
      </c>
      <c r="S377" s="6" t="str">
        <f t="shared" si="65"/>
        <v>Aug</v>
      </c>
    </row>
    <row r="378" spans="1:19" x14ac:dyDescent="0.25">
      <c r="A378" s="6">
        <v>126</v>
      </c>
      <c r="B378" s="6" t="str">
        <f t="shared" si="55"/>
        <v>NIKDIG00126</v>
      </c>
      <c r="C378" s="7" t="s">
        <v>226</v>
      </c>
      <c r="D378" s="7" t="s">
        <v>227</v>
      </c>
      <c r="E378" s="7" t="str">
        <f t="shared" si="56"/>
        <v>SAMKEET SATISH</v>
      </c>
      <c r="F378" s="7" t="s">
        <v>11</v>
      </c>
      <c r="G378" s="22">
        <v>42625</v>
      </c>
      <c r="H378" s="8">
        <v>40384</v>
      </c>
      <c r="I378" s="7" t="str">
        <f t="shared" si="57"/>
        <v>samkeet.satish@di.sah.ba</v>
      </c>
      <c r="J378" s="6" t="s">
        <v>1545</v>
      </c>
      <c r="K378" s="6">
        <v>86</v>
      </c>
      <c r="L378" s="7" t="str">
        <f t="shared" si="58"/>
        <v>di.sah.ba</v>
      </c>
      <c r="M378" s="7" t="str">
        <f t="shared" si="59"/>
        <v>S.Samkeet</v>
      </c>
      <c r="N378" s="6">
        <f t="shared" si="67"/>
        <v>5</v>
      </c>
      <c r="O378" s="6">
        <f t="shared" si="66"/>
        <v>0</v>
      </c>
      <c r="P378" s="6" t="str">
        <f t="shared" si="62"/>
        <v>N</v>
      </c>
      <c r="Q378" s="6">
        <f t="shared" si="63"/>
        <v>13</v>
      </c>
      <c r="R378" s="6" t="str">
        <f t="shared" si="64"/>
        <v>2016</v>
      </c>
      <c r="S378" s="6" t="str">
        <f t="shared" si="65"/>
        <v>Sep</v>
      </c>
    </row>
    <row r="379" spans="1:19" x14ac:dyDescent="0.25">
      <c r="A379" s="6">
        <v>129</v>
      </c>
      <c r="B379" s="6" t="str">
        <f t="shared" si="55"/>
        <v>NIKDIG00129</v>
      </c>
      <c r="C379" s="7" t="s">
        <v>143</v>
      </c>
      <c r="D379" s="7" t="s">
        <v>231</v>
      </c>
      <c r="E379" s="7" t="str">
        <f t="shared" si="56"/>
        <v>NITIN PANDYA</v>
      </c>
      <c r="F379" s="7" t="s">
        <v>11</v>
      </c>
      <c r="G379" s="22">
        <v>42646</v>
      </c>
      <c r="H379" s="8">
        <v>87733</v>
      </c>
      <c r="I379" s="7" t="str">
        <f t="shared" si="57"/>
        <v>nitin.pandya@di.paa.ba</v>
      </c>
      <c r="J379" s="6" t="s">
        <v>1536</v>
      </c>
      <c r="K379" s="6">
        <v>60</v>
      </c>
      <c r="L379" s="7" t="str">
        <f t="shared" si="58"/>
        <v>di.paa.ba</v>
      </c>
      <c r="M379" s="7" t="str">
        <f t="shared" si="59"/>
        <v>P.Nitin</v>
      </c>
      <c r="N379" s="6">
        <f t="shared" si="67"/>
        <v>0</v>
      </c>
      <c r="O379" s="6">
        <f t="shared" si="66"/>
        <v>0</v>
      </c>
      <c r="P379" s="6" t="str">
        <f t="shared" si="62"/>
        <v>N</v>
      </c>
      <c r="Q379" s="6">
        <f t="shared" si="63"/>
        <v>11</v>
      </c>
      <c r="R379" s="6" t="str">
        <f t="shared" si="64"/>
        <v>2016</v>
      </c>
      <c r="S379" s="6" t="str">
        <f t="shared" si="65"/>
        <v>Oct</v>
      </c>
    </row>
    <row r="380" spans="1:19" x14ac:dyDescent="0.25">
      <c r="A380" s="6">
        <v>132</v>
      </c>
      <c r="B380" s="6" t="str">
        <f t="shared" si="55"/>
        <v>NIKDIG00132</v>
      </c>
      <c r="C380" s="7" t="s">
        <v>236</v>
      </c>
      <c r="D380" s="7" t="s">
        <v>237</v>
      </c>
      <c r="E380" s="7" t="str">
        <f t="shared" si="56"/>
        <v>SUHEL AHMED</v>
      </c>
      <c r="F380" s="7" t="s">
        <v>11</v>
      </c>
      <c r="G380" s="22">
        <v>42676</v>
      </c>
      <c r="H380" s="8">
        <v>47142</v>
      </c>
      <c r="I380" s="7" t="str">
        <f t="shared" si="57"/>
        <v>suhel.ahmed@di.ahd.ba</v>
      </c>
      <c r="J380" s="6" t="s">
        <v>1542</v>
      </c>
      <c r="K380" s="6">
        <v>43</v>
      </c>
      <c r="L380" s="7" t="str">
        <f t="shared" si="58"/>
        <v>di.ahd.ba</v>
      </c>
      <c r="M380" s="7" t="str">
        <f t="shared" si="59"/>
        <v>A.Suhel</v>
      </c>
      <c r="N380" s="6">
        <f t="shared" si="67"/>
        <v>4</v>
      </c>
      <c r="O380" s="6">
        <f t="shared" si="66"/>
        <v>4</v>
      </c>
      <c r="P380" s="6" t="str">
        <f t="shared" si="62"/>
        <v>Y</v>
      </c>
      <c r="Q380" s="6">
        <f t="shared" si="63"/>
        <v>10</v>
      </c>
      <c r="R380" s="6" t="str">
        <f t="shared" si="64"/>
        <v>2016</v>
      </c>
      <c r="S380" s="6" t="str">
        <f t="shared" si="65"/>
        <v>Nov</v>
      </c>
    </row>
    <row r="381" spans="1:19" x14ac:dyDescent="0.25">
      <c r="A381" s="6">
        <v>154</v>
      </c>
      <c r="B381" s="6" t="str">
        <f t="shared" si="55"/>
        <v>NIKDIG00154</v>
      </c>
      <c r="C381" s="7" t="s">
        <v>111</v>
      </c>
      <c r="D381" s="7" t="s">
        <v>55</v>
      </c>
      <c r="E381" s="7" t="str">
        <f t="shared" si="56"/>
        <v>BHARAT SHARMA</v>
      </c>
      <c r="F381" s="7" t="s">
        <v>11</v>
      </c>
      <c r="G381" s="22">
        <v>42997</v>
      </c>
      <c r="H381" s="8">
        <v>47600</v>
      </c>
      <c r="I381" s="7" t="str">
        <f t="shared" si="57"/>
        <v>bharat.sharma@di.sha.ba</v>
      </c>
      <c r="J381" s="6" t="s">
        <v>1540</v>
      </c>
      <c r="K381" s="6">
        <v>67</v>
      </c>
      <c r="L381" s="7" t="str">
        <f t="shared" si="58"/>
        <v>di.sha.ba</v>
      </c>
      <c r="M381" s="7" t="str">
        <f t="shared" si="59"/>
        <v>S.Bharat</v>
      </c>
      <c r="N381" s="6">
        <f t="shared" si="67"/>
        <v>0</v>
      </c>
      <c r="O381" s="6">
        <f t="shared" si="66"/>
        <v>0</v>
      </c>
      <c r="P381" s="6" t="str">
        <f t="shared" si="62"/>
        <v>N</v>
      </c>
      <c r="Q381" s="6">
        <f t="shared" si="63"/>
        <v>12</v>
      </c>
      <c r="R381" s="6" t="str">
        <f t="shared" si="64"/>
        <v>2017</v>
      </c>
      <c r="S381" s="6" t="str">
        <f t="shared" si="65"/>
        <v>Sep</v>
      </c>
    </row>
    <row r="382" spans="1:19" x14ac:dyDescent="0.25">
      <c r="A382" s="6">
        <v>159</v>
      </c>
      <c r="B382" s="6" t="str">
        <f t="shared" si="55"/>
        <v>NIKDIG00159</v>
      </c>
      <c r="C382" s="7" t="s">
        <v>267</v>
      </c>
      <c r="D382" s="7" t="s">
        <v>76</v>
      </c>
      <c r="E382" s="7" t="str">
        <f t="shared" si="56"/>
        <v>HARSH TRIVEDI</v>
      </c>
      <c r="F382" s="7" t="s">
        <v>11</v>
      </c>
      <c r="G382" s="22">
        <v>43132</v>
      </c>
      <c r="H382" s="8">
        <v>32637</v>
      </c>
      <c r="I382" s="7" t="str">
        <f t="shared" si="57"/>
        <v>harsh.trivedi@di.tri.ba</v>
      </c>
      <c r="J382" s="6" t="s">
        <v>1545</v>
      </c>
      <c r="K382" s="6">
        <v>54</v>
      </c>
      <c r="L382" s="7" t="str">
        <f t="shared" si="58"/>
        <v>di.tri.ba</v>
      </c>
      <c r="M382" s="7" t="str">
        <f t="shared" si="59"/>
        <v>T.Harsh</v>
      </c>
      <c r="N382" s="6">
        <f t="shared" si="67"/>
        <v>0</v>
      </c>
      <c r="O382" s="6">
        <f t="shared" si="66"/>
        <v>5</v>
      </c>
      <c r="P382" s="6" t="str">
        <f t="shared" si="62"/>
        <v>N</v>
      </c>
      <c r="Q382" s="6">
        <f t="shared" si="63"/>
        <v>12</v>
      </c>
      <c r="R382" s="6" t="str">
        <f t="shared" si="64"/>
        <v>2018</v>
      </c>
      <c r="S382" s="6" t="str">
        <f t="shared" si="65"/>
        <v>Feb</v>
      </c>
    </row>
    <row r="383" spans="1:19" x14ac:dyDescent="0.25">
      <c r="A383" s="6">
        <v>169</v>
      </c>
      <c r="B383" s="6" t="str">
        <f t="shared" si="55"/>
        <v>NIKDIG00169</v>
      </c>
      <c r="C383" s="7" t="s">
        <v>281</v>
      </c>
      <c r="D383" s="7" t="s">
        <v>199</v>
      </c>
      <c r="E383" s="7" t="str">
        <f t="shared" si="56"/>
        <v>KAVYA BHATT</v>
      </c>
      <c r="F383" s="7" t="s">
        <v>11</v>
      </c>
      <c r="G383" s="22">
        <v>43238</v>
      </c>
      <c r="H383" s="8">
        <v>50362</v>
      </c>
      <c r="I383" s="7" t="str">
        <f t="shared" si="57"/>
        <v>kavya.bhatt@di.bht.ba</v>
      </c>
      <c r="J383" s="6" t="s">
        <v>1538</v>
      </c>
      <c r="K383" s="6">
        <v>40</v>
      </c>
      <c r="L383" s="7" t="str">
        <f t="shared" si="58"/>
        <v>di.bht.ba</v>
      </c>
      <c r="M383" s="7" t="str">
        <f t="shared" si="59"/>
        <v>B.Kavya</v>
      </c>
      <c r="N383" s="6">
        <f t="shared" si="67"/>
        <v>0</v>
      </c>
      <c r="O383" s="6">
        <f t="shared" si="66"/>
        <v>0</v>
      </c>
      <c r="P383" s="6" t="str">
        <f t="shared" si="62"/>
        <v>N</v>
      </c>
      <c r="Q383" s="6">
        <f t="shared" si="63"/>
        <v>10</v>
      </c>
      <c r="R383" s="6" t="str">
        <f t="shared" si="64"/>
        <v>2018</v>
      </c>
      <c r="S383" s="6" t="str">
        <f t="shared" si="65"/>
        <v>May</v>
      </c>
    </row>
    <row r="384" spans="1:19" x14ac:dyDescent="0.25">
      <c r="A384" s="6">
        <v>171</v>
      </c>
      <c r="B384" s="6" t="str">
        <f t="shared" si="55"/>
        <v>NIKDIG00171</v>
      </c>
      <c r="C384" s="7" t="s">
        <v>171</v>
      </c>
      <c r="D384" s="7" t="s">
        <v>68</v>
      </c>
      <c r="E384" s="7" t="str">
        <f t="shared" si="56"/>
        <v>RITESH KUMAR</v>
      </c>
      <c r="F384" s="7" t="s">
        <v>11</v>
      </c>
      <c r="G384" s="22">
        <v>43328</v>
      </c>
      <c r="H384" s="8">
        <v>89522</v>
      </c>
      <c r="I384" s="7" t="str">
        <f t="shared" si="57"/>
        <v>ritesh.kumar@di.kur.ba</v>
      </c>
      <c r="J384" s="6" t="s">
        <v>1546</v>
      </c>
      <c r="K384" s="6">
        <v>71</v>
      </c>
      <c r="L384" s="7" t="str">
        <f t="shared" si="58"/>
        <v>di.kur.ba</v>
      </c>
      <c r="M384" s="7" t="str">
        <f t="shared" si="59"/>
        <v>K.Ritesh</v>
      </c>
      <c r="N384" s="6">
        <f t="shared" si="67"/>
        <v>4</v>
      </c>
      <c r="O384" s="6">
        <f t="shared" si="66"/>
        <v>0</v>
      </c>
      <c r="P384" s="6" t="str">
        <f t="shared" si="62"/>
        <v>N</v>
      </c>
      <c r="Q384" s="6">
        <f t="shared" si="63"/>
        <v>11</v>
      </c>
      <c r="R384" s="6" t="str">
        <f t="shared" si="64"/>
        <v>2018</v>
      </c>
      <c r="S384" s="6" t="str">
        <f t="shared" si="65"/>
        <v>Aug</v>
      </c>
    </row>
    <row r="385" spans="1:19" x14ac:dyDescent="0.25">
      <c r="A385" s="6">
        <v>175</v>
      </c>
      <c r="B385" s="6" t="str">
        <f t="shared" si="55"/>
        <v>NIKDIG00175</v>
      </c>
      <c r="C385" s="7" t="s">
        <v>285</v>
      </c>
      <c r="D385" s="7" t="s">
        <v>131</v>
      </c>
      <c r="E385" s="7" t="str">
        <f t="shared" si="56"/>
        <v>ANSHU RANA</v>
      </c>
      <c r="F385" s="7" t="s">
        <v>11</v>
      </c>
      <c r="G385" s="22">
        <v>43383</v>
      </c>
      <c r="H385" s="8">
        <v>56310</v>
      </c>
      <c r="I385" s="7" t="str">
        <f t="shared" si="57"/>
        <v>anshu.rana@di.raa.ba</v>
      </c>
      <c r="J385" s="6" t="s">
        <v>1542</v>
      </c>
      <c r="K385" s="6">
        <v>36</v>
      </c>
      <c r="L385" s="7" t="str">
        <f t="shared" si="58"/>
        <v>di.raa.ba</v>
      </c>
      <c r="M385" s="7" t="str">
        <f t="shared" si="59"/>
        <v>R.Anshu</v>
      </c>
      <c r="N385" s="6">
        <f t="shared" si="67"/>
        <v>0</v>
      </c>
      <c r="O385" s="6">
        <f t="shared" si="66"/>
        <v>0</v>
      </c>
      <c r="P385" s="6" t="str">
        <f t="shared" si="62"/>
        <v>N</v>
      </c>
      <c r="Q385" s="6">
        <f t="shared" si="63"/>
        <v>9</v>
      </c>
      <c r="R385" s="6" t="str">
        <f t="shared" si="64"/>
        <v>2018</v>
      </c>
      <c r="S385" s="6" t="str">
        <f t="shared" si="65"/>
        <v>Oct</v>
      </c>
    </row>
    <row r="386" spans="1:19" x14ac:dyDescent="0.25">
      <c r="A386" s="6">
        <v>179</v>
      </c>
      <c r="B386" s="6" t="str">
        <f t="shared" ref="B386:B449" si="68">_xlfn.TEXTJOIN("",TRUE,"NIK",UPPER(LEFT(SUBSTITUTE(SUBSTITUTE(F386," ",""),"&amp;",""),3)),TEXT(A386,"00000"))</f>
        <v>NIKDIG00179</v>
      </c>
      <c r="C386" s="7" t="s">
        <v>107</v>
      </c>
      <c r="D386" s="7" t="s">
        <v>175</v>
      </c>
      <c r="E386" s="7" t="str">
        <f t="shared" ref="E386:E449" si="69">_xlfn.TEXTJOIN(" ",TRUE,C386,D386)</f>
        <v>PRATAP UPADHYAY</v>
      </c>
      <c r="F386" s="7" t="s">
        <v>11</v>
      </c>
      <c r="G386" s="22">
        <v>43418</v>
      </c>
      <c r="H386" s="8">
        <v>77994</v>
      </c>
      <c r="I386" s="7" t="str">
        <f t="shared" ref="I386:I449" si="70">LOWER(C386&amp;"."&amp;D386&amp;"@"&amp;LEFT(SUBSTITUTE(F386," ",""),2))&amp;LOWER("."&amp;LEFT(D386,2))&amp;LOWER(RIGHT(D386,1))&amp;".ba"</f>
        <v>pratap.upadhyay@di.upy.ba</v>
      </c>
      <c r="J386" s="6" t="s">
        <v>1533</v>
      </c>
      <c r="K386" s="6">
        <v>65</v>
      </c>
      <c r="L386" s="7" t="str">
        <f t="shared" ref="L386:L449" si="71">RIGHT(I386,LEN(I386)-FIND("@",I386))</f>
        <v>di.upy.ba</v>
      </c>
      <c r="M386" s="7" t="str">
        <f t="shared" ref="M386:M449" si="72">UPPER(LEFT(D386,1))&amp;"."&amp;PROPER(C386)</f>
        <v>U.Pratap</v>
      </c>
      <c r="N386" s="6">
        <f t="shared" si="67"/>
        <v>0</v>
      </c>
      <c r="O386" s="6">
        <f t="shared" si="66"/>
        <v>0</v>
      </c>
      <c r="P386" s="6" t="str">
        <f t="shared" ref="P386:P449" si="73">IF(AND(N386&gt;=1,O386&gt;=1),"Y","N")</f>
        <v>N</v>
      </c>
      <c r="Q386" s="6">
        <f t="shared" ref="Q386:Q449" si="74">LEN(SUBSTITUTE(E386, " ", ""))</f>
        <v>14</v>
      </c>
      <c r="R386" s="6" t="str">
        <f t="shared" ref="R386:R449" si="75">TEXT(G386,"YYYY")</f>
        <v>2018</v>
      </c>
      <c r="S386" s="6" t="str">
        <f t="shared" ref="S386:S449" si="76">TEXT(G386,"MMM")</f>
        <v>Nov</v>
      </c>
    </row>
    <row r="387" spans="1:19" x14ac:dyDescent="0.25">
      <c r="A387" s="6">
        <v>185</v>
      </c>
      <c r="B387" s="6" t="str">
        <f t="shared" si="68"/>
        <v>NIKDIG00185</v>
      </c>
      <c r="C387" s="7" t="s">
        <v>288</v>
      </c>
      <c r="D387" s="7" t="s">
        <v>48</v>
      </c>
      <c r="E387" s="7" t="str">
        <f t="shared" si="69"/>
        <v>PIYUSH SANJAY</v>
      </c>
      <c r="F387" s="7" t="s">
        <v>11</v>
      </c>
      <c r="G387" s="22">
        <v>43678</v>
      </c>
      <c r="H387" s="8">
        <v>58330</v>
      </c>
      <c r="I387" s="7" t="str">
        <f t="shared" si="70"/>
        <v>piyush.sanjay@di.say.ba</v>
      </c>
      <c r="J387" s="6" t="s">
        <v>1551</v>
      </c>
      <c r="K387" s="6">
        <v>57</v>
      </c>
      <c r="L387" s="7" t="str">
        <f t="shared" si="71"/>
        <v>di.say.ba</v>
      </c>
      <c r="M387" s="7" t="str">
        <f t="shared" si="72"/>
        <v>S.Piyush</v>
      </c>
      <c r="N387" s="6">
        <f t="shared" si="67"/>
        <v>0</v>
      </c>
      <c r="O387" s="6">
        <f t="shared" si="66"/>
        <v>0</v>
      </c>
      <c r="P387" s="6" t="str">
        <f t="shared" si="73"/>
        <v>N</v>
      </c>
      <c r="Q387" s="6">
        <f t="shared" si="74"/>
        <v>12</v>
      </c>
      <c r="R387" s="6" t="str">
        <f t="shared" si="75"/>
        <v>2019</v>
      </c>
      <c r="S387" s="6" t="str">
        <f t="shared" si="76"/>
        <v>Aug</v>
      </c>
    </row>
    <row r="388" spans="1:19" x14ac:dyDescent="0.25">
      <c r="A388" s="6">
        <v>203</v>
      </c>
      <c r="B388" s="6" t="str">
        <f t="shared" si="68"/>
        <v>NIKDIG00203</v>
      </c>
      <c r="C388" s="7" t="s">
        <v>320</v>
      </c>
      <c r="D388" s="7" t="s">
        <v>321</v>
      </c>
      <c r="E388" s="7" t="str">
        <f t="shared" si="69"/>
        <v>VISHAL NANDKISHOR</v>
      </c>
      <c r="F388" s="7" t="s">
        <v>11</v>
      </c>
      <c r="G388" s="22">
        <v>44236</v>
      </c>
      <c r="H388" s="8">
        <v>87265</v>
      </c>
      <c r="I388" s="7" t="str">
        <f t="shared" si="70"/>
        <v>vishal.nandkishor@di.nar.ba</v>
      </c>
      <c r="J388" s="6" t="s">
        <v>1550</v>
      </c>
      <c r="K388" s="6">
        <v>68</v>
      </c>
      <c r="L388" s="7" t="str">
        <f t="shared" si="71"/>
        <v>di.nar.ba</v>
      </c>
      <c r="M388" s="7" t="str">
        <f t="shared" si="72"/>
        <v>N.Vishal</v>
      </c>
      <c r="N388" s="6">
        <f t="shared" si="67"/>
        <v>0</v>
      </c>
      <c r="O388" s="6">
        <f t="shared" si="66"/>
        <v>0</v>
      </c>
      <c r="P388" s="6" t="str">
        <f t="shared" si="73"/>
        <v>N</v>
      </c>
      <c r="Q388" s="6">
        <f t="shared" si="74"/>
        <v>16</v>
      </c>
      <c r="R388" s="6" t="str">
        <f t="shared" si="75"/>
        <v>2021</v>
      </c>
      <c r="S388" s="6" t="str">
        <f t="shared" si="76"/>
        <v>Feb</v>
      </c>
    </row>
    <row r="389" spans="1:19" x14ac:dyDescent="0.25">
      <c r="A389" s="6">
        <v>210</v>
      </c>
      <c r="B389" s="6" t="str">
        <f t="shared" si="68"/>
        <v>NIKDIG00210</v>
      </c>
      <c r="C389" s="7" t="s">
        <v>330</v>
      </c>
      <c r="D389" s="7" t="s">
        <v>331</v>
      </c>
      <c r="E389" s="7" t="str">
        <f t="shared" si="69"/>
        <v>SAIYAD JISHAN</v>
      </c>
      <c r="F389" s="7" t="s">
        <v>11</v>
      </c>
      <c r="G389" s="22">
        <v>44349</v>
      </c>
      <c r="H389" s="8">
        <v>50002</v>
      </c>
      <c r="I389" s="7" t="str">
        <f t="shared" si="70"/>
        <v>saiyad.jishan@di.jin.ba</v>
      </c>
      <c r="J389" s="6" t="s">
        <v>1542</v>
      </c>
      <c r="K389" s="6">
        <v>37</v>
      </c>
      <c r="L389" s="7" t="str">
        <f t="shared" si="71"/>
        <v>di.jin.ba</v>
      </c>
      <c r="M389" s="7" t="str">
        <f t="shared" si="72"/>
        <v>J.Saiyad</v>
      </c>
      <c r="N389" s="6">
        <f t="shared" si="67"/>
        <v>0</v>
      </c>
      <c r="O389" s="6">
        <f t="shared" si="66"/>
        <v>0</v>
      </c>
      <c r="P389" s="6" t="str">
        <f t="shared" si="73"/>
        <v>N</v>
      </c>
      <c r="Q389" s="6">
        <f t="shared" si="74"/>
        <v>12</v>
      </c>
      <c r="R389" s="6" t="str">
        <f t="shared" si="75"/>
        <v>2021</v>
      </c>
      <c r="S389" s="6" t="str">
        <f t="shared" si="76"/>
        <v>Jun</v>
      </c>
    </row>
    <row r="390" spans="1:19" x14ac:dyDescent="0.25">
      <c r="A390" s="6">
        <v>238</v>
      </c>
      <c r="B390" s="6" t="str">
        <f t="shared" si="68"/>
        <v>NIKDIG00238</v>
      </c>
      <c r="C390" s="7" t="s">
        <v>363</v>
      </c>
      <c r="D390" s="7" t="s">
        <v>364</v>
      </c>
      <c r="E390" s="7" t="str">
        <f t="shared" si="69"/>
        <v>MEDHA VARI</v>
      </c>
      <c r="F390" s="7" t="s">
        <v>11</v>
      </c>
      <c r="G390" s="22">
        <v>44593</v>
      </c>
      <c r="H390" s="8">
        <v>49799</v>
      </c>
      <c r="I390" s="7" t="str">
        <f t="shared" si="70"/>
        <v>medha.vari@di.vai.ba</v>
      </c>
      <c r="J390" s="6" t="s">
        <v>1534</v>
      </c>
      <c r="K390" s="6">
        <v>41</v>
      </c>
      <c r="L390" s="7" t="str">
        <f t="shared" si="71"/>
        <v>di.vai.ba</v>
      </c>
      <c r="M390" s="7" t="str">
        <f t="shared" si="72"/>
        <v>V.Medha</v>
      </c>
      <c r="N390" s="6">
        <f t="shared" si="67"/>
        <v>2</v>
      </c>
      <c r="O390" s="6">
        <f t="shared" si="66"/>
        <v>0</v>
      </c>
      <c r="P390" s="6" t="str">
        <f t="shared" si="73"/>
        <v>N</v>
      </c>
      <c r="Q390" s="6">
        <f t="shared" si="74"/>
        <v>9</v>
      </c>
      <c r="R390" s="6" t="str">
        <f t="shared" si="75"/>
        <v>2022</v>
      </c>
      <c r="S390" s="6" t="str">
        <f t="shared" si="76"/>
        <v>Feb</v>
      </c>
    </row>
    <row r="391" spans="1:19" x14ac:dyDescent="0.25">
      <c r="A391" s="6">
        <v>245</v>
      </c>
      <c r="B391" s="6" t="str">
        <f t="shared" si="68"/>
        <v>NIKDIG00245</v>
      </c>
      <c r="C391" s="7" t="s">
        <v>377</v>
      </c>
      <c r="D391" s="7" t="s">
        <v>378</v>
      </c>
      <c r="E391" s="7" t="str">
        <f t="shared" si="69"/>
        <v>SHIVENDRA PANDEY</v>
      </c>
      <c r="F391" s="7" t="s">
        <v>11</v>
      </c>
      <c r="G391" s="22">
        <v>44634</v>
      </c>
      <c r="H391" s="8">
        <v>28252</v>
      </c>
      <c r="I391" s="7" t="str">
        <f t="shared" si="70"/>
        <v>shivendra.pandey@di.pay.ba</v>
      </c>
      <c r="J391" s="6" t="s">
        <v>1540</v>
      </c>
      <c r="K391" s="6">
        <v>86</v>
      </c>
      <c r="L391" s="7" t="str">
        <f t="shared" si="71"/>
        <v>di.pay.ba</v>
      </c>
      <c r="M391" s="7" t="str">
        <f t="shared" si="72"/>
        <v>P.Shivendra</v>
      </c>
      <c r="N391" s="6">
        <f t="shared" si="67"/>
        <v>5</v>
      </c>
      <c r="O391" s="6">
        <f t="shared" si="66"/>
        <v>5</v>
      </c>
      <c r="P391" s="6" t="str">
        <f t="shared" si="73"/>
        <v>Y</v>
      </c>
      <c r="Q391" s="6">
        <f t="shared" si="74"/>
        <v>15</v>
      </c>
      <c r="R391" s="6" t="str">
        <f t="shared" si="75"/>
        <v>2022</v>
      </c>
      <c r="S391" s="6" t="str">
        <f t="shared" si="76"/>
        <v>Mar</v>
      </c>
    </row>
    <row r="392" spans="1:19" x14ac:dyDescent="0.25">
      <c r="A392" s="6">
        <v>246</v>
      </c>
      <c r="B392" s="6" t="str">
        <f t="shared" si="68"/>
        <v>NIKDIG00246</v>
      </c>
      <c r="C392" s="7" t="s">
        <v>209</v>
      </c>
      <c r="D392" s="7" t="s">
        <v>379</v>
      </c>
      <c r="E392" s="7" t="str">
        <f t="shared" si="69"/>
        <v>GAURAV SACHDEVA</v>
      </c>
      <c r="F392" s="7" t="s">
        <v>11</v>
      </c>
      <c r="G392" s="22">
        <v>44652</v>
      </c>
      <c r="H392" s="8">
        <v>46441</v>
      </c>
      <c r="I392" s="7" t="str">
        <f t="shared" si="70"/>
        <v>gaurav.sachdeva@di.saa.ba</v>
      </c>
      <c r="J392" s="6" t="s">
        <v>1539</v>
      </c>
      <c r="K392" s="6">
        <v>46</v>
      </c>
      <c r="L392" s="7" t="str">
        <f t="shared" si="71"/>
        <v>di.saa.ba</v>
      </c>
      <c r="M392" s="7" t="str">
        <f t="shared" si="72"/>
        <v>S.Gaurav</v>
      </c>
      <c r="N392" s="6">
        <f t="shared" si="67"/>
        <v>0</v>
      </c>
      <c r="O392" s="6">
        <f t="shared" si="66"/>
        <v>6</v>
      </c>
      <c r="P392" s="6" t="str">
        <f t="shared" si="73"/>
        <v>N</v>
      </c>
      <c r="Q392" s="6">
        <f t="shared" si="74"/>
        <v>14</v>
      </c>
      <c r="R392" s="6" t="str">
        <f t="shared" si="75"/>
        <v>2022</v>
      </c>
      <c r="S392" s="6" t="str">
        <f t="shared" si="76"/>
        <v>Apr</v>
      </c>
    </row>
    <row r="393" spans="1:19" x14ac:dyDescent="0.25">
      <c r="A393" s="6">
        <v>261</v>
      </c>
      <c r="B393" s="6" t="str">
        <f t="shared" si="68"/>
        <v>NIKDIG00261</v>
      </c>
      <c r="C393" s="7" t="s">
        <v>166</v>
      </c>
      <c r="D393" s="7" t="s">
        <v>395</v>
      </c>
      <c r="E393" s="7" t="str">
        <f t="shared" si="69"/>
        <v>NEHA HANSRAJ</v>
      </c>
      <c r="F393" s="7" t="s">
        <v>11</v>
      </c>
      <c r="G393" s="22">
        <v>44743</v>
      </c>
      <c r="H393" s="8">
        <v>54535</v>
      </c>
      <c r="I393" s="7" t="str">
        <f t="shared" si="70"/>
        <v>neha.hansraj@di.haj.ba</v>
      </c>
      <c r="J393" s="6" t="s">
        <v>1533</v>
      </c>
      <c r="K393" s="6">
        <v>60</v>
      </c>
      <c r="L393" s="7" t="str">
        <f t="shared" si="71"/>
        <v>di.haj.ba</v>
      </c>
      <c r="M393" s="7" t="str">
        <f t="shared" si="72"/>
        <v>H.Neha</v>
      </c>
      <c r="N393" s="6">
        <f t="shared" si="67"/>
        <v>2</v>
      </c>
      <c r="O393" s="6">
        <f t="shared" si="66"/>
        <v>0</v>
      </c>
      <c r="P393" s="6" t="str">
        <f t="shared" si="73"/>
        <v>N</v>
      </c>
      <c r="Q393" s="6">
        <f t="shared" si="74"/>
        <v>11</v>
      </c>
      <c r="R393" s="6" t="str">
        <f t="shared" si="75"/>
        <v>2022</v>
      </c>
      <c r="S393" s="6" t="str">
        <f t="shared" si="76"/>
        <v>Jul</v>
      </c>
    </row>
    <row r="394" spans="1:19" x14ac:dyDescent="0.25">
      <c r="A394" s="6">
        <v>282</v>
      </c>
      <c r="B394" s="6" t="str">
        <f t="shared" si="68"/>
        <v>NIKDIG00282</v>
      </c>
      <c r="C394" s="7" t="s">
        <v>418</v>
      </c>
      <c r="D394" s="7" t="s">
        <v>419</v>
      </c>
      <c r="E394" s="7" t="str">
        <f t="shared" si="69"/>
        <v>KALPAN SURENDRA</v>
      </c>
      <c r="F394" s="7" t="s">
        <v>11</v>
      </c>
      <c r="G394" s="22">
        <v>44866</v>
      </c>
      <c r="H394" s="8">
        <v>63143</v>
      </c>
      <c r="I394" s="7" t="str">
        <f t="shared" si="70"/>
        <v>kalpan.surendra@di.sua.ba</v>
      </c>
      <c r="J394" s="6" t="s">
        <v>1551</v>
      </c>
      <c r="K394" s="6">
        <v>68</v>
      </c>
      <c r="L394" s="7" t="str">
        <f t="shared" si="71"/>
        <v>di.sua.ba</v>
      </c>
      <c r="M394" s="7" t="str">
        <f t="shared" si="72"/>
        <v>S.Kalpan</v>
      </c>
      <c r="N394" s="6">
        <f t="shared" si="67"/>
        <v>0</v>
      </c>
      <c r="O394" s="6">
        <f t="shared" si="66"/>
        <v>4</v>
      </c>
      <c r="P394" s="6" t="str">
        <f t="shared" si="73"/>
        <v>N</v>
      </c>
      <c r="Q394" s="6">
        <f t="shared" si="74"/>
        <v>14</v>
      </c>
      <c r="R394" s="6" t="str">
        <f t="shared" si="75"/>
        <v>2022</v>
      </c>
      <c r="S394" s="6" t="str">
        <f t="shared" si="76"/>
        <v>Nov</v>
      </c>
    </row>
    <row r="395" spans="1:19" x14ac:dyDescent="0.25">
      <c r="A395" s="6">
        <v>286</v>
      </c>
      <c r="B395" s="6" t="str">
        <f t="shared" si="68"/>
        <v>NIKDIG00286</v>
      </c>
      <c r="C395" s="7" t="s">
        <v>425</v>
      </c>
      <c r="D395" s="7" t="s">
        <v>426</v>
      </c>
      <c r="E395" s="7" t="str">
        <f t="shared" si="69"/>
        <v>VIRAL RAJESHBHAI</v>
      </c>
      <c r="F395" s="7" t="s">
        <v>11</v>
      </c>
      <c r="G395" s="22">
        <v>44902</v>
      </c>
      <c r="H395" s="8">
        <v>43358</v>
      </c>
      <c r="I395" s="7" t="str">
        <f t="shared" si="70"/>
        <v>viral.rajeshbhai@di.rai.ba</v>
      </c>
      <c r="J395" s="6" t="s">
        <v>1548</v>
      </c>
      <c r="K395" s="6">
        <v>55</v>
      </c>
      <c r="L395" s="7" t="str">
        <f t="shared" si="71"/>
        <v>di.rai.ba</v>
      </c>
      <c r="M395" s="7" t="str">
        <f t="shared" si="72"/>
        <v>R.Viral</v>
      </c>
      <c r="N395" s="6">
        <f t="shared" si="67"/>
        <v>0</v>
      </c>
      <c r="O395" s="6">
        <f t="shared" si="66"/>
        <v>4</v>
      </c>
      <c r="P395" s="6" t="str">
        <f t="shared" si="73"/>
        <v>N</v>
      </c>
      <c r="Q395" s="6">
        <f t="shared" si="74"/>
        <v>15</v>
      </c>
      <c r="R395" s="6" t="str">
        <f t="shared" si="75"/>
        <v>2022</v>
      </c>
      <c r="S395" s="6" t="str">
        <f t="shared" si="76"/>
        <v>Dec</v>
      </c>
    </row>
    <row r="396" spans="1:19" x14ac:dyDescent="0.25">
      <c r="A396" s="6">
        <v>296</v>
      </c>
      <c r="B396" s="6" t="str">
        <f t="shared" si="68"/>
        <v>NIKDIG00296</v>
      </c>
      <c r="C396" s="7" t="s">
        <v>440</v>
      </c>
      <c r="D396" s="7" t="s">
        <v>439</v>
      </c>
      <c r="E396" s="7" t="str">
        <f t="shared" si="69"/>
        <v>HARSHIL PALIWAL</v>
      </c>
      <c r="F396" s="7" t="s">
        <v>11</v>
      </c>
      <c r="G396" s="22">
        <v>44942</v>
      </c>
      <c r="H396" s="8">
        <v>92298</v>
      </c>
      <c r="I396" s="7" t="str">
        <f t="shared" si="70"/>
        <v>harshil.paliwal@di.pal.ba</v>
      </c>
      <c r="J396" s="6" t="s">
        <v>1532</v>
      </c>
      <c r="K396" s="6">
        <v>75</v>
      </c>
      <c r="L396" s="7" t="str">
        <f t="shared" si="71"/>
        <v>di.pal.ba</v>
      </c>
      <c r="M396" s="7" t="str">
        <f t="shared" si="72"/>
        <v>P.Harshil</v>
      </c>
      <c r="N396" s="6">
        <f t="shared" si="67"/>
        <v>0</v>
      </c>
      <c r="O396" s="6">
        <f t="shared" si="66"/>
        <v>0</v>
      </c>
      <c r="P396" s="6" t="str">
        <f t="shared" si="73"/>
        <v>N</v>
      </c>
      <c r="Q396" s="6">
        <f t="shared" si="74"/>
        <v>14</v>
      </c>
      <c r="R396" s="6" t="str">
        <f t="shared" si="75"/>
        <v>2023</v>
      </c>
      <c r="S396" s="6" t="str">
        <f t="shared" si="76"/>
        <v>Jan</v>
      </c>
    </row>
    <row r="397" spans="1:19" x14ac:dyDescent="0.25">
      <c r="A397" s="6">
        <v>314</v>
      </c>
      <c r="B397" s="6" t="str">
        <f t="shared" si="68"/>
        <v>NIKDIG00314</v>
      </c>
      <c r="C397" s="7" t="s">
        <v>453</v>
      </c>
      <c r="D397" s="7" t="s">
        <v>466</v>
      </c>
      <c r="E397" s="7" t="str">
        <f t="shared" si="69"/>
        <v>VISHNU B</v>
      </c>
      <c r="F397" s="7" t="s">
        <v>11</v>
      </c>
      <c r="G397" s="22">
        <v>45026</v>
      </c>
      <c r="H397" s="8">
        <v>99120</v>
      </c>
      <c r="I397" s="7" t="str">
        <f t="shared" si="70"/>
        <v>vishnu.b@di.bb.ba</v>
      </c>
      <c r="J397" s="6" t="s">
        <v>1546</v>
      </c>
      <c r="K397" s="6">
        <v>36</v>
      </c>
      <c r="L397" s="7" t="str">
        <f t="shared" si="71"/>
        <v>di.bb.ba</v>
      </c>
      <c r="M397" s="7" t="str">
        <f t="shared" si="72"/>
        <v>B.Vishnu</v>
      </c>
      <c r="N397" s="6">
        <f t="shared" si="67"/>
        <v>0</v>
      </c>
      <c r="O397" s="6">
        <f t="shared" si="66"/>
        <v>0</v>
      </c>
      <c r="P397" s="6" t="str">
        <f t="shared" si="73"/>
        <v>N</v>
      </c>
      <c r="Q397" s="6">
        <f t="shared" si="74"/>
        <v>7</v>
      </c>
      <c r="R397" s="6" t="str">
        <f t="shared" si="75"/>
        <v>2023</v>
      </c>
      <c r="S397" s="6" t="str">
        <f t="shared" si="76"/>
        <v>Apr</v>
      </c>
    </row>
    <row r="398" spans="1:19" x14ac:dyDescent="0.25">
      <c r="A398" s="6">
        <v>318</v>
      </c>
      <c r="B398" s="6" t="str">
        <f t="shared" si="68"/>
        <v>NIKDIG00318</v>
      </c>
      <c r="C398" s="7" t="s">
        <v>472</v>
      </c>
      <c r="D398" s="7" t="s">
        <v>473</v>
      </c>
      <c r="E398" s="7" t="str">
        <f t="shared" si="69"/>
        <v>MOHD SHAMEEM</v>
      </c>
      <c r="F398" s="7" t="s">
        <v>11</v>
      </c>
      <c r="G398" s="22">
        <v>45047</v>
      </c>
      <c r="H398" s="8">
        <v>53036</v>
      </c>
      <c r="I398" s="7" t="str">
        <f t="shared" si="70"/>
        <v>mohd.shameem@di.shm.ba</v>
      </c>
      <c r="J398" s="6" t="s">
        <v>1550</v>
      </c>
      <c r="K398" s="6">
        <v>47</v>
      </c>
      <c r="L398" s="7" t="str">
        <f t="shared" si="71"/>
        <v>di.shm.ba</v>
      </c>
      <c r="M398" s="7" t="str">
        <f t="shared" si="72"/>
        <v>S.Mohd</v>
      </c>
      <c r="N398" s="6">
        <f t="shared" si="67"/>
        <v>0</v>
      </c>
      <c r="O398" s="6">
        <f t="shared" si="66"/>
        <v>5</v>
      </c>
      <c r="P398" s="6" t="str">
        <f t="shared" si="73"/>
        <v>N</v>
      </c>
      <c r="Q398" s="6">
        <f t="shared" si="74"/>
        <v>11</v>
      </c>
      <c r="R398" s="6" t="str">
        <f t="shared" si="75"/>
        <v>2023</v>
      </c>
      <c r="S398" s="6" t="str">
        <f t="shared" si="76"/>
        <v>May</v>
      </c>
    </row>
    <row r="399" spans="1:19" x14ac:dyDescent="0.25">
      <c r="A399" s="6">
        <v>326</v>
      </c>
      <c r="B399" s="6" t="str">
        <f t="shared" si="68"/>
        <v>NIKDIG00326</v>
      </c>
      <c r="C399" s="7" t="s">
        <v>483</v>
      </c>
      <c r="D399" s="7" t="s">
        <v>84</v>
      </c>
      <c r="E399" s="7" t="str">
        <f t="shared" si="69"/>
        <v>PRIT PRAKASH</v>
      </c>
      <c r="F399" s="7" t="s">
        <v>11</v>
      </c>
      <c r="G399" s="22">
        <v>45093</v>
      </c>
      <c r="H399" s="8">
        <v>90091</v>
      </c>
      <c r="I399" s="7" t="str">
        <f t="shared" si="70"/>
        <v>prit.prakash@di.prh.ba</v>
      </c>
      <c r="J399" s="6" t="s">
        <v>1535</v>
      </c>
      <c r="K399" s="6">
        <v>41</v>
      </c>
      <c r="L399" s="7" t="str">
        <f t="shared" si="71"/>
        <v>di.prh.ba</v>
      </c>
      <c r="M399" s="7" t="str">
        <f t="shared" si="72"/>
        <v>P.Prit</v>
      </c>
      <c r="N399" s="6">
        <f t="shared" si="67"/>
        <v>0</v>
      </c>
      <c r="O399" s="6">
        <f t="shared" si="66"/>
        <v>0</v>
      </c>
      <c r="P399" s="6" t="str">
        <f t="shared" si="73"/>
        <v>N</v>
      </c>
      <c r="Q399" s="6">
        <f t="shared" si="74"/>
        <v>11</v>
      </c>
      <c r="R399" s="6" t="str">
        <f t="shared" si="75"/>
        <v>2023</v>
      </c>
      <c r="S399" s="6" t="str">
        <f t="shared" si="76"/>
        <v>Jun</v>
      </c>
    </row>
    <row r="400" spans="1:19" x14ac:dyDescent="0.25">
      <c r="A400" s="6">
        <v>355</v>
      </c>
      <c r="B400" s="6" t="str">
        <f t="shared" si="68"/>
        <v>NIKDIG00355</v>
      </c>
      <c r="C400" s="7" t="s">
        <v>521</v>
      </c>
      <c r="D400" s="7" t="s">
        <v>365</v>
      </c>
      <c r="E400" s="7" t="str">
        <f t="shared" si="69"/>
        <v>BHAWNA SHYAM</v>
      </c>
      <c r="F400" s="7" t="s">
        <v>11</v>
      </c>
      <c r="G400" s="22">
        <v>45231</v>
      </c>
      <c r="H400" s="8">
        <v>37613</v>
      </c>
      <c r="I400" s="7" t="str">
        <f t="shared" si="70"/>
        <v>bhawna.shyam@di.shm.ba</v>
      </c>
      <c r="J400" s="6" t="s">
        <v>1545</v>
      </c>
      <c r="K400" s="6">
        <v>52</v>
      </c>
      <c r="L400" s="7" t="str">
        <f t="shared" si="71"/>
        <v>di.shm.ba</v>
      </c>
      <c r="M400" s="7" t="str">
        <f t="shared" si="72"/>
        <v>S.Bhawna</v>
      </c>
      <c r="N400" s="6">
        <f t="shared" si="67"/>
        <v>0</v>
      </c>
      <c r="O400" s="6">
        <f t="shared" si="66"/>
        <v>0</v>
      </c>
      <c r="P400" s="6" t="str">
        <f t="shared" si="73"/>
        <v>N</v>
      </c>
      <c r="Q400" s="6">
        <f t="shared" si="74"/>
        <v>11</v>
      </c>
      <c r="R400" s="6" t="str">
        <f t="shared" si="75"/>
        <v>2023</v>
      </c>
      <c r="S400" s="6" t="str">
        <f t="shared" si="76"/>
        <v>Nov</v>
      </c>
    </row>
    <row r="401" spans="1:19" x14ac:dyDescent="0.25">
      <c r="A401" s="6">
        <v>362</v>
      </c>
      <c r="B401" s="6" t="str">
        <f t="shared" si="68"/>
        <v>NIKDIG00362</v>
      </c>
      <c r="C401" s="7" t="s">
        <v>525</v>
      </c>
      <c r="D401" s="7" t="s">
        <v>526</v>
      </c>
      <c r="E401" s="7" t="str">
        <f t="shared" si="69"/>
        <v>ISHIKA SINHA</v>
      </c>
      <c r="F401" s="7" t="s">
        <v>11</v>
      </c>
      <c r="G401" s="22">
        <v>45271</v>
      </c>
      <c r="H401" s="8">
        <v>101106</v>
      </c>
      <c r="I401" s="7" t="str">
        <f t="shared" si="70"/>
        <v>ishika.sinha@di.sia.ba</v>
      </c>
      <c r="J401" s="6" t="s">
        <v>1540</v>
      </c>
      <c r="K401" s="6">
        <v>79</v>
      </c>
      <c r="L401" s="7" t="str">
        <f t="shared" si="71"/>
        <v>di.sia.ba</v>
      </c>
      <c r="M401" s="7" t="str">
        <f t="shared" si="72"/>
        <v>S.Ishika</v>
      </c>
      <c r="N401" s="6">
        <f t="shared" si="67"/>
        <v>0</v>
      </c>
      <c r="O401" s="6">
        <f t="shared" si="66"/>
        <v>0</v>
      </c>
      <c r="P401" s="6" t="str">
        <f t="shared" si="73"/>
        <v>N</v>
      </c>
      <c r="Q401" s="6">
        <f t="shared" si="74"/>
        <v>11</v>
      </c>
      <c r="R401" s="6" t="str">
        <f t="shared" si="75"/>
        <v>2023</v>
      </c>
      <c r="S401" s="6" t="str">
        <f t="shared" si="76"/>
        <v>Dec</v>
      </c>
    </row>
    <row r="402" spans="1:19" x14ac:dyDescent="0.25">
      <c r="A402" s="6">
        <v>380</v>
      </c>
      <c r="B402" s="6" t="str">
        <f t="shared" si="68"/>
        <v>NIKDIG00380</v>
      </c>
      <c r="C402" s="7" t="s">
        <v>551</v>
      </c>
      <c r="D402" s="7" t="s">
        <v>552</v>
      </c>
      <c r="E402" s="7" t="str">
        <f t="shared" si="69"/>
        <v>KULDEEP KACHROO</v>
      </c>
      <c r="F402" s="7" t="s">
        <v>11</v>
      </c>
      <c r="G402" s="22">
        <v>45352</v>
      </c>
      <c r="H402" s="8">
        <v>94481</v>
      </c>
      <c r="I402" s="7" t="str">
        <f t="shared" si="70"/>
        <v>kuldeep.kachroo@di.kao.ba</v>
      </c>
      <c r="J402" s="6" t="s">
        <v>1549</v>
      </c>
      <c r="K402" s="6">
        <v>56</v>
      </c>
      <c r="L402" s="7" t="str">
        <f t="shared" si="71"/>
        <v>di.kao.ba</v>
      </c>
      <c r="M402" s="7" t="str">
        <f t="shared" si="72"/>
        <v>K.Kuldeep</v>
      </c>
      <c r="N402" s="6">
        <f t="shared" si="67"/>
        <v>5</v>
      </c>
      <c r="O402" s="6">
        <f t="shared" si="66"/>
        <v>0</v>
      </c>
      <c r="P402" s="6" t="str">
        <f t="shared" si="73"/>
        <v>N</v>
      </c>
      <c r="Q402" s="6">
        <f t="shared" si="74"/>
        <v>14</v>
      </c>
      <c r="R402" s="6" t="str">
        <f t="shared" si="75"/>
        <v>2024</v>
      </c>
      <c r="S402" s="6" t="str">
        <f t="shared" si="76"/>
        <v>Mar</v>
      </c>
    </row>
    <row r="403" spans="1:19" x14ac:dyDescent="0.25">
      <c r="A403" s="6">
        <v>386</v>
      </c>
      <c r="B403" s="6" t="str">
        <f t="shared" si="68"/>
        <v>NIKDIG00386</v>
      </c>
      <c r="C403" s="7" t="s">
        <v>558</v>
      </c>
      <c r="D403" s="7" t="s">
        <v>310</v>
      </c>
      <c r="E403" s="7" t="str">
        <f t="shared" si="69"/>
        <v>PRIYA KHANDELWAL</v>
      </c>
      <c r="F403" s="7" t="s">
        <v>11</v>
      </c>
      <c r="G403" s="22">
        <v>45383</v>
      </c>
      <c r="H403" s="8">
        <v>82972</v>
      </c>
      <c r="I403" s="7" t="str">
        <f t="shared" si="70"/>
        <v>priya.khandelwal@di.khl.ba</v>
      </c>
      <c r="J403" s="6" t="s">
        <v>1537</v>
      </c>
      <c r="K403" s="6">
        <v>40</v>
      </c>
      <c r="L403" s="7" t="str">
        <f t="shared" si="71"/>
        <v>di.khl.ba</v>
      </c>
      <c r="M403" s="7" t="str">
        <f t="shared" si="72"/>
        <v>K.Priya</v>
      </c>
      <c r="N403" s="6">
        <f t="shared" si="67"/>
        <v>0</v>
      </c>
      <c r="O403" s="6">
        <f t="shared" si="66"/>
        <v>6</v>
      </c>
      <c r="P403" s="6" t="str">
        <f t="shared" si="73"/>
        <v>N</v>
      </c>
      <c r="Q403" s="6">
        <f t="shared" si="74"/>
        <v>15</v>
      </c>
      <c r="R403" s="6" t="str">
        <f t="shared" si="75"/>
        <v>2024</v>
      </c>
      <c r="S403" s="6" t="str">
        <f t="shared" si="76"/>
        <v>Apr</v>
      </c>
    </row>
    <row r="404" spans="1:19" x14ac:dyDescent="0.25">
      <c r="A404" s="6">
        <v>392</v>
      </c>
      <c r="B404" s="6" t="str">
        <f t="shared" si="68"/>
        <v>NIKDIG00392</v>
      </c>
      <c r="C404" s="7" t="s">
        <v>306</v>
      </c>
      <c r="D404" s="7" t="s">
        <v>48</v>
      </c>
      <c r="E404" s="7" t="str">
        <f t="shared" si="69"/>
        <v>SIDDHARTH SANJAY</v>
      </c>
      <c r="F404" s="7" t="s">
        <v>11</v>
      </c>
      <c r="G404" s="22">
        <v>45392</v>
      </c>
      <c r="H404" s="8">
        <v>109563</v>
      </c>
      <c r="I404" s="7" t="str">
        <f t="shared" si="70"/>
        <v>siddharth.sanjay@di.say.ba</v>
      </c>
      <c r="J404" s="6" t="s">
        <v>1545</v>
      </c>
      <c r="K404" s="6">
        <v>42</v>
      </c>
      <c r="L404" s="7" t="str">
        <f t="shared" si="71"/>
        <v>di.say.ba</v>
      </c>
      <c r="M404" s="7" t="str">
        <f t="shared" si="72"/>
        <v>S.Siddharth</v>
      </c>
      <c r="N404" s="6">
        <f t="shared" si="67"/>
        <v>0</v>
      </c>
      <c r="O404" s="6">
        <f t="shared" si="66"/>
        <v>0</v>
      </c>
      <c r="P404" s="6" t="str">
        <f t="shared" si="73"/>
        <v>N</v>
      </c>
      <c r="Q404" s="6">
        <f t="shared" si="74"/>
        <v>15</v>
      </c>
      <c r="R404" s="6" t="str">
        <f t="shared" si="75"/>
        <v>2024</v>
      </c>
      <c r="S404" s="6" t="str">
        <f t="shared" si="76"/>
        <v>Apr</v>
      </c>
    </row>
    <row r="405" spans="1:19" x14ac:dyDescent="0.25">
      <c r="A405" s="6">
        <v>395</v>
      </c>
      <c r="B405" s="6" t="str">
        <f t="shared" si="68"/>
        <v>NIKDIG00395</v>
      </c>
      <c r="C405" s="7" t="s">
        <v>566</v>
      </c>
      <c r="D405" s="7" t="s">
        <v>567</v>
      </c>
      <c r="E405" s="7" t="str">
        <f t="shared" si="69"/>
        <v>AAYZAH KASHISH</v>
      </c>
      <c r="F405" s="7" t="s">
        <v>11</v>
      </c>
      <c r="G405" s="22">
        <v>45399</v>
      </c>
      <c r="H405" s="8">
        <v>41275</v>
      </c>
      <c r="I405" s="7" t="str">
        <f t="shared" si="70"/>
        <v>aayzah.kashish@di.kah.ba</v>
      </c>
      <c r="J405" s="6" t="s">
        <v>1550</v>
      </c>
      <c r="K405" s="6">
        <v>69</v>
      </c>
      <c r="L405" s="7" t="str">
        <f t="shared" si="71"/>
        <v>di.kah.ba</v>
      </c>
      <c r="M405" s="7" t="str">
        <f t="shared" si="72"/>
        <v>K.Aayzah</v>
      </c>
      <c r="N405" s="6">
        <f t="shared" si="67"/>
        <v>0</v>
      </c>
      <c r="O405" s="6">
        <f t="shared" si="66"/>
        <v>0</v>
      </c>
      <c r="P405" s="6" t="str">
        <f t="shared" si="73"/>
        <v>N</v>
      </c>
      <c r="Q405" s="6">
        <f t="shared" si="74"/>
        <v>13</v>
      </c>
      <c r="R405" s="6" t="str">
        <f t="shared" si="75"/>
        <v>2024</v>
      </c>
      <c r="S405" s="6" t="str">
        <f t="shared" si="76"/>
        <v>Apr</v>
      </c>
    </row>
    <row r="406" spans="1:19" x14ac:dyDescent="0.25">
      <c r="A406" s="6">
        <v>402</v>
      </c>
      <c r="B406" s="6" t="str">
        <f t="shared" si="68"/>
        <v>NIKDIG00402</v>
      </c>
      <c r="C406" s="7" t="s">
        <v>576</v>
      </c>
      <c r="D406" s="7" t="s">
        <v>577</v>
      </c>
      <c r="E406" s="7" t="str">
        <f t="shared" si="69"/>
        <v>SHIKHA UNIYAL</v>
      </c>
      <c r="F406" s="7" t="s">
        <v>11</v>
      </c>
      <c r="G406" s="22">
        <v>45425</v>
      </c>
      <c r="H406" s="8">
        <v>44995</v>
      </c>
      <c r="I406" s="7" t="str">
        <f t="shared" si="70"/>
        <v>shikha.uniyal@di.unl.ba</v>
      </c>
      <c r="J406" s="6" t="s">
        <v>1545</v>
      </c>
      <c r="K406" s="6">
        <v>87</v>
      </c>
      <c r="L406" s="7" t="str">
        <f t="shared" si="71"/>
        <v>di.unl.ba</v>
      </c>
      <c r="M406" s="7" t="str">
        <f t="shared" si="72"/>
        <v>U.Shikha</v>
      </c>
      <c r="N406" s="6">
        <f t="shared" si="67"/>
        <v>0</v>
      </c>
      <c r="O406" s="6">
        <f t="shared" si="66"/>
        <v>0</v>
      </c>
      <c r="P406" s="6" t="str">
        <f t="shared" si="73"/>
        <v>N</v>
      </c>
      <c r="Q406" s="6">
        <f t="shared" si="74"/>
        <v>12</v>
      </c>
      <c r="R406" s="6" t="str">
        <f t="shared" si="75"/>
        <v>2024</v>
      </c>
      <c r="S406" s="6" t="str">
        <f t="shared" si="76"/>
        <v>May</v>
      </c>
    </row>
    <row r="407" spans="1:19" x14ac:dyDescent="0.25">
      <c r="A407" s="6">
        <v>409</v>
      </c>
      <c r="B407" s="6" t="str">
        <f t="shared" si="68"/>
        <v>NIKDIG00409</v>
      </c>
      <c r="C407" s="7" t="s">
        <v>40</v>
      </c>
      <c r="D407" s="7" t="s">
        <v>586</v>
      </c>
      <c r="E407" s="7" t="str">
        <f t="shared" si="69"/>
        <v>SHUBHAM RAJENDRA</v>
      </c>
      <c r="F407" s="7" t="s">
        <v>11</v>
      </c>
      <c r="G407" s="22">
        <v>45453</v>
      </c>
      <c r="H407" s="8">
        <v>96207</v>
      </c>
      <c r="I407" s="7" t="str">
        <f t="shared" si="70"/>
        <v>shubham.rajendra@di.raa.ba</v>
      </c>
      <c r="J407" s="6" t="s">
        <v>1545</v>
      </c>
      <c r="K407" s="6">
        <v>89</v>
      </c>
      <c r="L407" s="7" t="str">
        <f t="shared" si="71"/>
        <v>di.raa.ba</v>
      </c>
      <c r="M407" s="7" t="str">
        <f t="shared" si="72"/>
        <v>R.Shubham</v>
      </c>
      <c r="N407" s="6">
        <f t="shared" si="67"/>
        <v>0</v>
      </c>
      <c r="O407" s="6">
        <f t="shared" si="66"/>
        <v>4</v>
      </c>
      <c r="P407" s="6" t="str">
        <f t="shared" si="73"/>
        <v>N</v>
      </c>
      <c r="Q407" s="6">
        <f t="shared" si="74"/>
        <v>15</v>
      </c>
      <c r="R407" s="6" t="str">
        <f t="shared" si="75"/>
        <v>2024</v>
      </c>
      <c r="S407" s="6" t="str">
        <f t="shared" si="76"/>
        <v>Jun</v>
      </c>
    </row>
    <row r="408" spans="1:19" x14ac:dyDescent="0.25">
      <c r="A408" s="6">
        <v>419</v>
      </c>
      <c r="B408" s="6" t="str">
        <f t="shared" si="68"/>
        <v>NIKDIG00419</v>
      </c>
      <c r="C408" s="7" t="s">
        <v>209</v>
      </c>
      <c r="D408" s="7" t="s">
        <v>191</v>
      </c>
      <c r="E408" s="7" t="str">
        <f t="shared" si="69"/>
        <v>GAURAV ANIL</v>
      </c>
      <c r="F408" s="7" t="s">
        <v>11</v>
      </c>
      <c r="G408" s="22">
        <v>45483</v>
      </c>
      <c r="H408" s="8">
        <v>25002</v>
      </c>
      <c r="I408" s="7" t="str">
        <f t="shared" si="70"/>
        <v>gaurav.anil@di.anl.ba</v>
      </c>
      <c r="J408" s="6" t="s">
        <v>1543</v>
      </c>
      <c r="K408" s="6">
        <v>39</v>
      </c>
      <c r="L408" s="7" t="str">
        <f t="shared" si="71"/>
        <v>di.anl.ba</v>
      </c>
      <c r="M408" s="7" t="str">
        <f t="shared" si="72"/>
        <v>A.Gaurav</v>
      </c>
      <c r="N408" s="6">
        <f t="shared" si="67"/>
        <v>0</v>
      </c>
      <c r="O408" s="6">
        <f t="shared" si="66"/>
        <v>0</v>
      </c>
      <c r="P408" s="6" t="str">
        <f t="shared" si="73"/>
        <v>N</v>
      </c>
      <c r="Q408" s="6">
        <f t="shared" si="74"/>
        <v>10</v>
      </c>
      <c r="R408" s="6" t="str">
        <f t="shared" si="75"/>
        <v>2024</v>
      </c>
      <c r="S408" s="6" t="str">
        <f t="shared" si="76"/>
        <v>Jul</v>
      </c>
    </row>
    <row r="409" spans="1:19" x14ac:dyDescent="0.25">
      <c r="A409" s="6">
        <v>427</v>
      </c>
      <c r="B409" s="6" t="str">
        <f t="shared" si="68"/>
        <v>NIKDIG00427</v>
      </c>
      <c r="C409" s="7" t="s">
        <v>37</v>
      </c>
      <c r="D409" s="7" t="s">
        <v>604</v>
      </c>
      <c r="E409" s="7" t="str">
        <f t="shared" si="69"/>
        <v>SOURABH SIDDESHWAR</v>
      </c>
      <c r="F409" s="7" t="s">
        <v>11</v>
      </c>
      <c r="G409" s="22">
        <v>45506</v>
      </c>
      <c r="H409" s="8">
        <v>74618</v>
      </c>
      <c r="I409" s="7" t="str">
        <f t="shared" si="70"/>
        <v>sourabh.siddeshwar@di.sir.ba</v>
      </c>
      <c r="J409" s="6" t="s">
        <v>1546</v>
      </c>
      <c r="K409" s="6">
        <v>62</v>
      </c>
      <c r="L409" s="7" t="str">
        <f t="shared" si="71"/>
        <v>di.sir.ba</v>
      </c>
      <c r="M409" s="7" t="str">
        <f t="shared" si="72"/>
        <v>S.Sourabh</v>
      </c>
      <c r="N409" s="6">
        <f t="shared" si="67"/>
        <v>0</v>
      </c>
      <c r="O409" s="6">
        <f t="shared" si="66"/>
        <v>5</v>
      </c>
      <c r="P409" s="6" t="str">
        <f t="shared" si="73"/>
        <v>N</v>
      </c>
      <c r="Q409" s="6">
        <f t="shared" si="74"/>
        <v>17</v>
      </c>
      <c r="R409" s="6" t="str">
        <f t="shared" si="75"/>
        <v>2024</v>
      </c>
      <c r="S409" s="6" t="str">
        <f t="shared" si="76"/>
        <v>Aug</v>
      </c>
    </row>
    <row r="410" spans="1:19" x14ac:dyDescent="0.25">
      <c r="A410" s="6">
        <v>431</v>
      </c>
      <c r="B410" s="6" t="str">
        <f t="shared" si="68"/>
        <v>NIKDIG00431</v>
      </c>
      <c r="C410" s="7" t="s">
        <v>607</v>
      </c>
      <c r="D410" s="7" t="s">
        <v>85</v>
      </c>
      <c r="E410" s="7" t="str">
        <f t="shared" si="69"/>
        <v>RUSHABH RAJESH</v>
      </c>
      <c r="F410" s="7" t="s">
        <v>11</v>
      </c>
      <c r="G410" s="22">
        <v>45516</v>
      </c>
      <c r="H410" s="8">
        <v>57589</v>
      </c>
      <c r="I410" s="7" t="str">
        <f t="shared" si="70"/>
        <v>rushabh.rajesh@di.rah.ba</v>
      </c>
      <c r="J410" s="6" t="s">
        <v>1532</v>
      </c>
      <c r="K410" s="6">
        <v>50</v>
      </c>
      <c r="L410" s="7" t="str">
        <f t="shared" si="71"/>
        <v>di.rah.ba</v>
      </c>
      <c r="M410" s="7" t="str">
        <f t="shared" si="72"/>
        <v>R.Rushabh</v>
      </c>
      <c r="N410" s="6">
        <f t="shared" si="67"/>
        <v>0</v>
      </c>
      <c r="O410" s="6">
        <f t="shared" si="66"/>
        <v>4</v>
      </c>
      <c r="P410" s="6" t="str">
        <f t="shared" si="73"/>
        <v>N</v>
      </c>
      <c r="Q410" s="6">
        <f t="shared" si="74"/>
        <v>13</v>
      </c>
      <c r="R410" s="6" t="str">
        <f t="shared" si="75"/>
        <v>2024</v>
      </c>
      <c r="S410" s="6" t="str">
        <f t="shared" si="76"/>
        <v>Aug</v>
      </c>
    </row>
    <row r="411" spans="1:19" x14ac:dyDescent="0.25">
      <c r="A411" s="6">
        <v>435</v>
      </c>
      <c r="B411" s="6" t="str">
        <f t="shared" si="68"/>
        <v>NIKDIG00435</v>
      </c>
      <c r="C411" s="7" t="s">
        <v>612</v>
      </c>
      <c r="D411" s="7" t="s">
        <v>65</v>
      </c>
      <c r="E411" s="7" t="str">
        <f t="shared" si="69"/>
        <v>AVANI RAHUL</v>
      </c>
      <c r="F411" s="7" t="s">
        <v>11</v>
      </c>
      <c r="G411" s="22">
        <v>45520</v>
      </c>
      <c r="H411" s="8">
        <v>40033</v>
      </c>
      <c r="I411" s="7" t="str">
        <f t="shared" si="70"/>
        <v>avani.rahul@di.ral.ba</v>
      </c>
      <c r="J411" s="6" t="s">
        <v>1545</v>
      </c>
      <c r="K411" s="6">
        <v>84</v>
      </c>
      <c r="L411" s="7" t="str">
        <f t="shared" si="71"/>
        <v>di.ral.ba</v>
      </c>
      <c r="M411" s="7" t="str">
        <f t="shared" si="72"/>
        <v>R.Avani</v>
      </c>
      <c r="N411" s="6">
        <f t="shared" si="67"/>
        <v>0</v>
      </c>
      <c r="O411" s="6">
        <f t="shared" si="66"/>
        <v>0</v>
      </c>
      <c r="P411" s="6" t="str">
        <f t="shared" si="73"/>
        <v>N</v>
      </c>
      <c r="Q411" s="6">
        <f t="shared" si="74"/>
        <v>10</v>
      </c>
      <c r="R411" s="6" t="str">
        <f t="shared" si="75"/>
        <v>2024</v>
      </c>
      <c r="S411" s="6" t="str">
        <f t="shared" si="76"/>
        <v>Aug</v>
      </c>
    </row>
    <row r="412" spans="1:19" x14ac:dyDescent="0.25">
      <c r="A412" s="6">
        <v>448</v>
      </c>
      <c r="B412" s="6" t="str">
        <f t="shared" si="68"/>
        <v>NIKDIG00448</v>
      </c>
      <c r="C412" s="7" t="s">
        <v>630</v>
      </c>
      <c r="D412" s="7" t="s">
        <v>631</v>
      </c>
      <c r="E412" s="7" t="str">
        <f t="shared" si="69"/>
        <v>TANU NIGAM</v>
      </c>
      <c r="F412" s="7" t="s">
        <v>11</v>
      </c>
      <c r="G412" s="22">
        <v>45551</v>
      </c>
      <c r="H412" s="8">
        <v>44306</v>
      </c>
      <c r="I412" s="7" t="str">
        <f t="shared" si="70"/>
        <v>tanu.nigam@di.nim.ba</v>
      </c>
      <c r="J412" s="6" t="s">
        <v>1544</v>
      </c>
      <c r="K412" s="6">
        <v>52</v>
      </c>
      <c r="L412" s="7" t="str">
        <f t="shared" si="71"/>
        <v>di.nim.ba</v>
      </c>
      <c r="M412" s="7" t="str">
        <f t="shared" si="72"/>
        <v>N.Tanu</v>
      </c>
      <c r="N412" s="6">
        <f t="shared" si="67"/>
        <v>0</v>
      </c>
      <c r="O412" s="6">
        <f t="shared" si="66"/>
        <v>0</v>
      </c>
      <c r="P412" s="6" t="str">
        <f t="shared" si="73"/>
        <v>N</v>
      </c>
      <c r="Q412" s="6">
        <f t="shared" si="74"/>
        <v>9</v>
      </c>
      <c r="R412" s="6" t="str">
        <f t="shared" si="75"/>
        <v>2024</v>
      </c>
      <c r="S412" s="6" t="str">
        <f t="shared" si="76"/>
        <v>Sep</v>
      </c>
    </row>
    <row r="413" spans="1:19" x14ac:dyDescent="0.25">
      <c r="A413" s="6">
        <v>458</v>
      </c>
      <c r="B413" s="6" t="str">
        <f t="shared" si="68"/>
        <v>NIKDIG00458</v>
      </c>
      <c r="C413" s="7" t="s">
        <v>638</v>
      </c>
      <c r="D413" s="7" t="s">
        <v>639</v>
      </c>
      <c r="E413" s="7" t="str">
        <f t="shared" si="69"/>
        <v>ANWESHA HOM</v>
      </c>
      <c r="F413" s="7" t="s">
        <v>11</v>
      </c>
      <c r="G413" s="22">
        <v>45579</v>
      </c>
      <c r="H413" s="8">
        <v>65739</v>
      </c>
      <c r="I413" s="7" t="str">
        <f t="shared" si="70"/>
        <v>anwesha.hom@di.hom.ba</v>
      </c>
      <c r="J413" s="6" t="s">
        <v>1551</v>
      </c>
      <c r="K413" s="6">
        <v>64</v>
      </c>
      <c r="L413" s="7" t="str">
        <f t="shared" si="71"/>
        <v>di.hom.ba</v>
      </c>
      <c r="M413" s="7" t="str">
        <f t="shared" si="72"/>
        <v>H.Anwesha</v>
      </c>
      <c r="N413" s="6">
        <f t="shared" si="67"/>
        <v>4</v>
      </c>
      <c r="O413" s="6">
        <f t="shared" si="66"/>
        <v>0</v>
      </c>
      <c r="P413" s="6" t="str">
        <f t="shared" si="73"/>
        <v>N</v>
      </c>
      <c r="Q413" s="6">
        <f t="shared" si="74"/>
        <v>10</v>
      </c>
      <c r="R413" s="6" t="str">
        <f t="shared" si="75"/>
        <v>2024</v>
      </c>
      <c r="S413" s="6" t="str">
        <f t="shared" si="76"/>
        <v>Oct</v>
      </c>
    </row>
    <row r="414" spans="1:19" x14ac:dyDescent="0.25">
      <c r="A414" s="6">
        <v>470</v>
      </c>
      <c r="B414" s="6" t="str">
        <f t="shared" si="68"/>
        <v>NIKDIG00470</v>
      </c>
      <c r="C414" s="7" t="s">
        <v>52</v>
      </c>
      <c r="D414" s="7" t="s">
        <v>351</v>
      </c>
      <c r="E414" s="7" t="str">
        <f t="shared" si="69"/>
        <v>LALIT .</v>
      </c>
      <c r="F414" s="7" t="s">
        <v>11</v>
      </c>
      <c r="G414" s="22">
        <v>45614</v>
      </c>
      <c r="H414" s="8">
        <v>96577</v>
      </c>
      <c r="I414" s="7" t="str">
        <f t="shared" si="70"/>
        <v>lalit..@di....ba</v>
      </c>
      <c r="J414" s="6" t="s">
        <v>1545</v>
      </c>
      <c r="K414" s="6">
        <v>70</v>
      </c>
      <c r="L414" s="7" t="str">
        <f t="shared" si="71"/>
        <v>di....ba</v>
      </c>
      <c r="M414" s="7" t="str">
        <f t="shared" si="72"/>
        <v>..Lalit</v>
      </c>
      <c r="N414" s="6">
        <f t="shared" si="67"/>
        <v>0</v>
      </c>
      <c r="O414" s="6">
        <f t="shared" si="66"/>
        <v>0</v>
      </c>
      <c r="P414" s="6" t="str">
        <f t="shared" si="73"/>
        <v>N</v>
      </c>
      <c r="Q414" s="6">
        <f t="shared" si="74"/>
        <v>6</v>
      </c>
      <c r="R414" s="6" t="str">
        <f t="shared" si="75"/>
        <v>2024</v>
      </c>
      <c r="S414" s="6" t="str">
        <f t="shared" si="76"/>
        <v>Nov</v>
      </c>
    </row>
    <row r="415" spans="1:19" x14ac:dyDescent="0.25">
      <c r="A415" s="6">
        <v>474</v>
      </c>
      <c r="B415" s="6" t="str">
        <f t="shared" si="68"/>
        <v>NIKDIG00474</v>
      </c>
      <c r="C415" s="7" t="s">
        <v>657</v>
      </c>
      <c r="D415" s="7" t="s">
        <v>658</v>
      </c>
      <c r="E415" s="7" t="str">
        <f t="shared" si="69"/>
        <v>VISHMAY JAGDISHBHAI</v>
      </c>
      <c r="F415" s="7" t="s">
        <v>11</v>
      </c>
      <c r="G415" s="22">
        <v>45628</v>
      </c>
      <c r="H415" s="8">
        <v>108925</v>
      </c>
      <c r="I415" s="7" t="str">
        <f t="shared" si="70"/>
        <v>vishmay.jagdishbhai@di.jai.ba</v>
      </c>
      <c r="J415" s="6" t="s">
        <v>1551</v>
      </c>
      <c r="K415" s="6">
        <v>36</v>
      </c>
      <c r="L415" s="7" t="str">
        <f t="shared" si="71"/>
        <v>di.jai.ba</v>
      </c>
      <c r="M415" s="7" t="str">
        <f t="shared" si="72"/>
        <v>J.Vishmay</v>
      </c>
      <c r="N415" s="6">
        <f t="shared" si="67"/>
        <v>0</v>
      </c>
      <c r="O415" s="6">
        <f t="shared" si="66"/>
        <v>0</v>
      </c>
      <c r="P415" s="6" t="str">
        <f t="shared" si="73"/>
        <v>N</v>
      </c>
      <c r="Q415" s="6">
        <f t="shared" si="74"/>
        <v>18</v>
      </c>
      <c r="R415" s="6" t="str">
        <f t="shared" si="75"/>
        <v>2024</v>
      </c>
      <c r="S415" s="6" t="str">
        <f t="shared" si="76"/>
        <v>Dec</v>
      </c>
    </row>
    <row r="416" spans="1:19" x14ac:dyDescent="0.25">
      <c r="A416" s="6">
        <v>495</v>
      </c>
      <c r="B416" s="6" t="str">
        <f t="shared" si="68"/>
        <v>NIKDIG00495</v>
      </c>
      <c r="C416" s="7" t="s">
        <v>681</v>
      </c>
      <c r="D416" s="7" t="s">
        <v>682</v>
      </c>
      <c r="E416" s="7" t="str">
        <f t="shared" si="69"/>
        <v>PUNITA SAWHNEY</v>
      </c>
      <c r="F416" s="7" t="s">
        <v>11</v>
      </c>
      <c r="G416" s="22">
        <v>41673</v>
      </c>
      <c r="H416" s="8">
        <v>49125</v>
      </c>
      <c r="I416" s="7" t="str">
        <f t="shared" si="70"/>
        <v>punita.sawhney@di.say.ba</v>
      </c>
      <c r="J416" s="6" t="s">
        <v>1546</v>
      </c>
      <c r="K416" s="6">
        <v>43</v>
      </c>
      <c r="L416" s="7" t="str">
        <f t="shared" si="71"/>
        <v>di.say.ba</v>
      </c>
      <c r="M416" s="7" t="str">
        <f t="shared" si="72"/>
        <v>S.Punita</v>
      </c>
      <c r="N416" s="6">
        <f t="shared" si="67"/>
        <v>0</v>
      </c>
      <c r="O416" s="6">
        <f t="shared" si="66"/>
        <v>6</v>
      </c>
      <c r="P416" s="6" t="str">
        <f t="shared" si="73"/>
        <v>N</v>
      </c>
      <c r="Q416" s="6">
        <f t="shared" si="74"/>
        <v>13</v>
      </c>
      <c r="R416" s="6" t="str">
        <f t="shared" si="75"/>
        <v>2014</v>
      </c>
      <c r="S416" s="6" t="str">
        <f t="shared" si="76"/>
        <v>Feb</v>
      </c>
    </row>
    <row r="417" spans="1:19" x14ac:dyDescent="0.25">
      <c r="A417" s="6">
        <v>496</v>
      </c>
      <c r="B417" s="6" t="str">
        <f t="shared" si="68"/>
        <v>NIKDIG00496</v>
      </c>
      <c r="C417" s="7" t="s">
        <v>254</v>
      </c>
      <c r="D417" s="7" t="s">
        <v>227</v>
      </c>
      <c r="E417" s="7" t="str">
        <f t="shared" si="69"/>
        <v>SUHAS SATISH</v>
      </c>
      <c r="F417" s="7" t="s">
        <v>11</v>
      </c>
      <c r="G417" s="22">
        <v>42583</v>
      </c>
      <c r="H417" s="8">
        <v>55339</v>
      </c>
      <c r="I417" s="7" t="str">
        <f t="shared" si="70"/>
        <v>suhas.satish@di.sah.ba</v>
      </c>
      <c r="J417" s="6" t="s">
        <v>1545</v>
      </c>
      <c r="K417" s="6">
        <v>56</v>
      </c>
      <c r="L417" s="7" t="str">
        <f t="shared" si="71"/>
        <v>di.sah.ba</v>
      </c>
      <c r="M417" s="7" t="str">
        <f t="shared" si="72"/>
        <v>S.Suhas</v>
      </c>
      <c r="N417" s="6">
        <f t="shared" si="67"/>
        <v>0</v>
      </c>
      <c r="O417" s="6">
        <f t="shared" si="66"/>
        <v>0</v>
      </c>
      <c r="P417" s="6" t="str">
        <f t="shared" si="73"/>
        <v>N</v>
      </c>
      <c r="Q417" s="6">
        <f t="shared" si="74"/>
        <v>11</v>
      </c>
      <c r="R417" s="6" t="str">
        <f t="shared" si="75"/>
        <v>2016</v>
      </c>
      <c r="S417" s="6" t="str">
        <f t="shared" si="76"/>
        <v>Aug</v>
      </c>
    </row>
    <row r="418" spans="1:19" x14ac:dyDescent="0.25">
      <c r="A418" s="6">
        <v>499</v>
      </c>
      <c r="B418" s="6" t="str">
        <f t="shared" si="68"/>
        <v>NIKDIG00499</v>
      </c>
      <c r="C418" s="7" t="s">
        <v>685</v>
      </c>
      <c r="D418" s="7" t="s">
        <v>686</v>
      </c>
      <c r="E418" s="7" t="str">
        <f t="shared" si="69"/>
        <v>DEVENDRA L.S.</v>
      </c>
      <c r="F418" s="7" t="s">
        <v>11</v>
      </c>
      <c r="G418" s="22">
        <v>39313</v>
      </c>
      <c r="H418" s="8">
        <v>37616</v>
      </c>
      <c r="I418" s="7" t="str">
        <f t="shared" si="70"/>
        <v>devendra.l.s.@di.l...ba</v>
      </c>
      <c r="J418" s="6" t="s">
        <v>1545</v>
      </c>
      <c r="K418" s="6">
        <v>44</v>
      </c>
      <c r="L418" s="7" t="str">
        <f t="shared" si="71"/>
        <v>di.l...ba</v>
      </c>
      <c r="M418" s="7" t="str">
        <f t="shared" si="72"/>
        <v>L.Devendra</v>
      </c>
      <c r="N418" s="6">
        <f t="shared" si="67"/>
        <v>2</v>
      </c>
      <c r="O418" s="6">
        <f t="shared" si="66"/>
        <v>0</v>
      </c>
      <c r="P418" s="6" t="str">
        <f t="shared" si="73"/>
        <v>N</v>
      </c>
      <c r="Q418" s="6">
        <f t="shared" si="74"/>
        <v>12</v>
      </c>
      <c r="R418" s="6" t="str">
        <f t="shared" si="75"/>
        <v>2007</v>
      </c>
      <c r="S418" s="6" t="str">
        <f t="shared" si="76"/>
        <v>Aug</v>
      </c>
    </row>
    <row r="419" spans="1:19" x14ac:dyDescent="0.25">
      <c r="A419" s="6">
        <v>503</v>
      </c>
      <c r="B419" s="6" t="str">
        <f t="shared" si="68"/>
        <v>NIKDIG00503</v>
      </c>
      <c r="C419" s="7" t="s">
        <v>688</v>
      </c>
      <c r="D419" s="7" t="s">
        <v>55</v>
      </c>
      <c r="E419" s="7" t="str">
        <f t="shared" si="69"/>
        <v>DUSHYANT SHARMA</v>
      </c>
      <c r="F419" s="7" t="s">
        <v>11</v>
      </c>
      <c r="G419" s="22">
        <v>41010</v>
      </c>
      <c r="H419" s="8">
        <v>68767</v>
      </c>
      <c r="I419" s="7" t="str">
        <f t="shared" si="70"/>
        <v>dushyant.sharma@di.sha.ba</v>
      </c>
      <c r="J419" s="6" t="s">
        <v>1539</v>
      </c>
      <c r="K419" s="6">
        <v>37</v>
      </c>
      <c r="L419" s="7" t="str">
        <f t="shared" si="71"/>
        <v>di.sha.ba</v>
      </c>
      <c r="M419" s="7" t="str">
        <f t="shared" si="72"/>
        <v>S.Dushyant</v>
      </c>
      <c r="N419" s="6">
        <f t="shared" si="67"/>
        <v>0</v>
      </c>
      <c r="O419" s="6">
        <f t="shared" si="66"/>
        <v>0</v>
      </c>
      <c r="P419" s="6" t="str">
        <f t="shared" si="73"/>
        <v>N</v>
      </c>
      <c r="Q419" s="6">
        <f t="shared" si="74"/>
        <v>14</v>
      </c>
      <c r="R419" s="6" t="str">
        <f t="shared" si="75"/>
        <v>2012</v>
      </c>
      <c r="S419" s="6" t="str">
        <f t="shared" si="76"/>
        <v>Apr</v>
      </c>
    </row>
    <row r="420" spans="1:19" x14ac:dyDescent="0.25">
      <c r="A420" s="6">
        <v>504</v>
      </c>
      <c r="B420" s="6" t="str">
        <f t="shared" si="68"/>
        <v>NIKDIG00504</v>
      </c>
      <c r="C420" s="7" t="s">
        <v>335</v>
      </c>
      <c r="D420" s="7" t="s">
        <v>55</v>
      </c>
      <c r="E420" s="7" t="str">
        <f t="shared" si="69"/>
        <v>RAMNIWAS SHARMA</v>
      </c>
      <c r="F420" s="7" t="s">
        <v>11</v>
      </c>
      <c r="G420" s="22">
        <v>42565</v>
      </c>
      <c r="H420" s="8">
        <v>76107</v>
      </c>
      <c r="I420" s="7" t="str">
        <f t="shared" si="70"/>
        <v>ramniwas.sharma@di.sha.ba</v>
      </c>
      <c r="J420" s="6" t="s">
        <v>1546</v>
      </c>
      <c r="K420" s="6">
        <v>47</v>
      </c>
      <c r="L420" s="7" t="str">
        <f t="shared" si="71"/>
        <v>di.sha.ba</v>
      </c>
      <c r="M420" s="7" t="str">
        <f t="shared" si="72"/>
        <v>S.Ramniwas</v>
      </c>
      <c r="N420" s="6">
        <f t="shared" si="67"/>
        <v>0</v>
      </c>
      <c r="O420" s="6">
        <f t="shared" si="66"/>
        <v>0</v>
      </c>
      <c r="P420" s="6" t="str">
        <f t="shared" si="73"/>
        <v>N</v>
      </c>
      <c r="Q420" s="6">
        <f t="shared" si="74"/>
        <v>14</v>
      </c>
      <c r="R420" s="6" t="str">
        <f t="shared" si="75"/>
        <v>2016</v>
      </c>
      <c r="S420" s="6" t="str">
        <f t="shared" si="76"/>
        <v>Jul</v>
      </c>
    </row>
    <row r="421" spans="1:19" x14ac:dyDescent="0.25">
      <c r="A421" s="6">
        <v>511</v>
      </c>
      <c r="B421" s="6" t="str">
        <f t="shared" si="68"/>
        <v>NIKDIG00511</v>
      </c>
      <c r="C421" s="7" t="s">
        <v>695</v>
      </c>
      <c r="D421" s="7" t="s">
        <v>550</v>
      </c>
      <c r="E421" s="7" t="str">
        <f t="shared" si="69"/>
        <v>SWAPNIL PRAMOD</v>
      </c>
      <c r="F421" s="7" t="s">
        <v>11</v>
      </c>
      <c r="G421" s="22">
        <v>42390</v>
      </c>
      <c r="H421" s="8">
        <v>96136</v>
      </c>
      <c r="I421" s="7" t="str">
        <f t="shared" si="70"/>
        <v>swapnil.pramod@di.prd.ba</v>
      </c>
      <c r="J421" s="6" t="s">
        <v>1545</v>
      </c>
      <c r="K421" s="6">
        <v>77</v>
      </c>
      <c r="L421" s="7" t="str">
        <f t="shared" si="71"/>
        <v>di.prd.ba</v>
      </c>
      <c r="M421" s="7" t="str">
        <f t="shared" si="72"/>
        <v>P.Swapnil</v>
      </c>
      <c r="N421" s="6">
        <f t="shared" si="67"/>
        <v>0</v>
      </c>
      <c r="O421" s="6">
        <f t="shared" si="66"/>
        <v>0</v>
      </c>
      <c r="P421" s="6" t="str">
        <f t="shared" si="73"/>
        <v>N</v>
      </c>
      <c r="Q421" s="6">
        <f t="shared" si="74"/>
        <v>13</v>
      </c>
      <c r="R421" s="6" t="str">
        <f t="shared" si="75"/>
        <v>2016</v>
      </c>
      <c r="S421" s="6" t="str">
        <f t="shared" si="76"/>
        <v>Jan</v>
      </c>
    </row>
    <row r="422" spans="1:19" x14ac:dyDescent="0.25">
      <c r="A422" s="6">
        <v>512</v>
      </c>
      <c r="B422" s="6" t="str">
        <f t="shared" si="68"/>
        <v>NIKDIG00512</v>
      </c>
      <c r="C422" s="7" t="s">
        <v>696</v>
      </c>
      <c r="D422" s="7" t="s">
        <v>697</v>
      </c>
      <c r="E422" s="7" t="str">
        <f t="shared" si="69"/>
        <v>DIVYESH M</v>
      </c>
      <c r="F422" s="7" t="s">
        <v>11</v>
      </c>
      <c r="G422" s="22">
        <v>41296</v>
      </c>
      <c r="H422" s="8">
        <v>60934</v>
      </c>
      <c r="I422" s="7" t="str">
        <f t="shared" si="70"/>
        <v>divyesh.m@di.mm.ba</v>
      </c>
      <c r="J422" s="6" t="s">
        <v>1534</v>
      </c>
      <c r="K422" s="6">
        <v>45</v>
      </c>
      <c r="L422" s="7" t="str">
        <f t="shared" si="71"/>
        <v>di.mm.ba</v>
      </c>
      <c r="M422" s="7" t="str">
        <f t="shared" si="72"/>
        <v>M.Divyesh</v>
      </c>
      <c r="N422" s="6">
        <f t="shared" si="67"/>
        <v>5</v>
      </c>
      <c r="O422" s="6">
        <f t="shared" si="66"/>
        <v>0</v>
      </c>
      <c r="P422" s="6" t="str">
        <f t="shared" si="73"/>
        <v>N</v>
      </c>
      <c r="Q422" s="6">
        <f t="shared" si="74"/>
        <v>8</v>
      </c>
      <c r="R422" s="6" t="str">
        <f t="shared" si="75"/>
        <v>2013</v>
      </c>
      <c r="S422" s="6" t="str">
        <f t="shared" si="76"/>
        <v>Jan</v>
      </c>
    </row>
    <row r="423" spans="1:19" x14ac:dyDescent="0.25">
      <c r="A423" s="6">
        <v>545</v>
      </c>
      <c r="B423" s="6" t="str">
        <f t="shared" si="68"/>
        <v>NIKDIG00545</v>
      </c>
      <c r="C423" s="7" t="s">
        <v>728</v>
      </c>
      <c r="D423" s="7" t="s">
        <v>729</v>
      </c>
      <c r="E423" s="7" t="str">
        <f t="shared" si="69"/>
        <v>KANDARP ARYA</v>
      </c>
      <c r="F423" s="7" t="s">
        <v>11</v>
      </c>
      <c r="G423" s="22">
        <v>42751</v>
      </c>
      <c r="H423" s="8">
        <v>101214</v>
      </c>
      <c r="I423" s="7" t="str">
        <f t="shared" si="70"/>
        <v>kandarp.arya@di.ara.ba</v>
      </c>
      <c r="J423" s="6" t="s">
        <v>1547</v>
      </c>
      <c r="K423" s="6">
        <v>63</v>
      </c>
      <c r="L423" s="7" t="str">
        <f t="shared" si="71"/>
        <v>di.ara.ba</v>
      </c>
      <c r="M423" s="7" t="str">
        <f t="shared" si="72"/>
        <v>A.Kandarp</v>
      </c>
      <c r="N423" s="6">
        <f t="shared" si="67"/>
        <v>0</v>
      </c>
      <c r="O423" s="6">
        <f t="shared" si="66"/>
        <v>0</v>
      </c>
      <c r="P423" s="6" t="str">
        <f t="shared" si="73"/>
        <v>N</v>
      </c>
      <c r="Q423" s="6">
        <f t="shared" si="74"/>
        <v>11</v>
      </c>
      <c r="R423" s="6" t="str">
        <f t="shared" si="75"/>
        <v>2017</v>
      </c>
      <c r="S423" s="6" t="str">
        <f t="shared" si="76"/>
        <v>Jan</v>
      </c>
    </row>
    <row r="424" spans="1:19" x14ac:dyDescent="0.25">
      <c r="A424" s="6">
        <v>556</v>
      </c>
      <c r="B424" s="6" t="str">
        <f t="shared" si="68"/>
        <v>NIKDIG00556</v>
      </c>
      <c r="C424" s="7" t="s">
        <v>735</v>
      </c>
      <c r="D424" s="7" t="s">
        <v>55</v>
      </c>
      <c r="E424" s="7" t="str">
        <f t="shared" si="69"/>
        <v>HARSHA SHARMA</v>
      </c>
      <c r="F424" s="7" t="s">
        <v>11</v>
      </c>
      <c r="G424" s="22">
        <v>42844</v>
      </c>
      <c r="H424" s="8">
        <v>84555</v>
      </c>
      <c r="I424" s="7" t="str">
        <f t="shared" si="70"/>
        <v>harsha.sharma@di.sha.ba</v>
      </c>
      <c r="J424" s="6" t="s">
        <v>1532</v>
      </c>
      <c r="K424" s="6">
        <v>52</v>
      </c>
      <c r="L424" s="7" t="str">
        <f t="shared" si="71"/>
        <v>di.sha.ba</v>
      </c>
      <c r="M424" s="7" t="str">
        <f t="shared" si="72"/>
        <v>S.Harsha</v>
      </c>
      <c r="N424" s="6">
        <f t="shared" si="67"/>
        <v>0</v>
      </c>
      <c r="O424" s="6">
        <f t="shared" si="66"/>
        <v>0</v>
      </c>
      <c r="P424" s="6" t="str">
        <f t="shared" si="73"/>
        <v>N</v>
      </c>
      <c r="Q424" s="6">
        <f t="shared" si="74"/>
        <v>12</v>
      </c>
      <c r="R424" s="6" t="str">
        <f t="shared" si="75"/>
        <v>2017</v>
      </c>
      <c r="S424" s="6" t="str">
        <f t="shared" si="76"/>
        <v>Apr</v>
      </c>
    </row>
    <row r="425" spans="1:19" x14ac:dyDescent="0.25">
      <c r="A425" s="6">
        <v>564</v>
      </c>
      <c r="B425" s="6" t="str">
        <f t="shared" si="68"/>
        <v>NIKDIG00564</v>
      </c>
      <c r="C425" s="7" t="s">
        <v>742</v>
      </c>
      <c r="D425" s="7" t="s">
        <v>156</v>
      </c>
      <c r="E425" s="7" t="str">
        <f t="shared" si="69"/>
        <v>MUKUNDA R</v>
      </c>
      <c r="F425" s="7" t="s">
        <v>11</v>
      </c>
      <c r="G425" s="22">
        <v>42653</v>
      </c>
      <c r="H425" s="8">
        <v>26589</v>
      </c>
      <c r="I425" s="7" t="str">
        <f t="shared" si="70"/>
        <v>mukunda.r@di.rr.ba</v>
      </c>
      <c r="J425" s="6" t="s">
        <v>1535</v>
      </c>
      <c r="K425" s="6">
        <v>38</v>
      </c>
      <c r="L425" s="7" t="str">
        <f t="shared" si="71"/>
        <v>di.rr.ba</v>
      </c>
      <c r="M425" s="7" t="str">
        <f t="shared" si="72"/>
        <v>R.Mukunda</v>
      </c>
      <c r="N425" s="6">
        <f t="shared" si="67"/>
        <v>0</v>
      </c>
      <c r="O425" s="6">
        <f t="shared" si="66"/>
        <v>0</v>
      </c>
      <c r="P425" s="6" t="str">
        <f t="shared" si="73"/>
        <v>N</v>
      </c>
      <c r="Q425" s="6">
        <f t="shared" si="74"/>
        <v>8</v>
      </c>
      <c r="R425" s="6" t="str">
        <f t="shared" si="75"/>
        <v>2016</v>
      </c>
      <c r="S425" s="6" t="str">
        <f t="shared" si="76"/>
        <v>Oct</v>
      </c>
    </row>
    <row r="426" spans="1:19" x14ac:dyDescent="0.25">
      <c r="A426" s="6">
        <v>565</v>
      </c>
      <c r="B426" s="6" t="str">
        <f t="shared" si="68"/>
        <v>NIKDIG00565</v>
      </c>
      <c r="C426" s="7" t="s">
        <v>743</v>
      </c>
      <c r="D426" s="7" t="s">
        <v>314</v>
      </c>
      <c r="E426" s="7" t="str">
        <f t="shared" si="69"/>
        <v>DISHA SOLANKI</v>
      </c>
      <c r="F426" s="7" t="s">
        <v>11</v>
      </c>
      <c r="G426" s="22">
        <v>42226</v>
      </c>
      <c r="H426" s="8">
        <v>69928</v>
      </c>
      <c r="I426" s="7" t="str">
        <f t="shared" si="70"/>
        <v>disha.solanki@di.soi.ba</v>
      </c>
      <c r="J426" s="6" t="s">
        <v>1537</v>
      </c>
      <c r="K426" s="6">
        <v>78</v>
      </c>
      <c r="L426" s="7" t="str">
        <f t="shared" si="71"/>
        <v>di.soi.ba</v>
      </c>
      <c r="M426" s="7" t="str">
        <f t="shared" si="72"/>
        <v>S.Disha</v>
      </c>
      <c r="N426" s="6">
        <f t="shared" si="67"/>
        <v>0</v>
      </c>
      <c r="O426" s="6">
        <f t="shared" si="66"/>
        <v>0</v>
      </c>
      <c r="P426" s="6" t="str">
        <f t="shared" si="73"/>
        <v>N</v>
      </c>
      <c r="Q426" s="6">
        <f t="shared" si="74"/>
        <v>12</v>
      </c>
      <c r="R426" s="6" t="str">
        <f t="shared" si="75"/>
        <v>2015</v>
      </c>
      <c r="S426" s="6" t="str">
        <f t="shared" si="76"/>
        <v>Aug</v>
      </c>
    </row>
    <row r="427" spans="1:19" x14ac:dyDescent="0.25">
      <c r="A427" s="6">
        <v>575</v>
      </c>
      <c r="B427" s="6" t="str">
        <f t="shared" si="68"/>
        <v>NIKDIG00575</v>
      </c>
      <c r="C427" s="7" t="s">
        <v>756</v>
      </c>
      <c r="D427" s="7" t="s">
        <v>757</v>
      </c>
      <c r="E427" s="7" t="str">
        <f t="shared" si="69"/>
        <v>DILEEP DAMELE</v>
      </c>
      <c r="F427" s="7" t="s">
        <v>11</v>
      </c>
      <c r="G427" s="22">
        <v>42795</v>
      </c>
      <c r="H427" s="8">
        <v>80535</v>
      </c>
      <c r="I427" s="7" t="str">
        <f t="shared" si="70"/>
        <v>dileep.damele@di.dae.ba</v>
      </c>
      <c r="J427" s="6" t="s">
        <v>1537</v>
      </c>
      <c r="K427" s="6">
        <v>54</v>
      </c>
      <c r="L427" s="7" t="str">
        <f t="shared" si="71"/>
        <v>di.dae.ba</v>
      </c>
      <c r="M427" s="7" t="str">
        <f t="shared" si="72"/>
        <v>D.Dileep</v>
      </c>
      <c r="N427" s="6">
        <f t="shared" si="67"/>
        <v>4</v>
      </c>
      <c r="O427" s="6">
        <f t="shared" si="66"/>
        <v>4</v>
      </c>
      <c r="P427" s="6" t="str">
        <f t="shared" si="73"/>
        <v>Y</v>
      </c>
      <c r="Q427" s="6">
        <f t="shared" si="74"/>
        <v>12</v>
      </c>
      <c r="R427" s="6" t="str">
        <f t="shared" si="75"/>
        <v>2017</v>
      </c>
      <c r="S427" s="6" t="str">
        <f t="shared" si="76"/>
        <v>Mar</v>
      </c>
    </row>
    <row r="428" spans="1:19" x14ac:dyDescent="0.25">
      <c r="A428" s="6">
        <v>594</v>
      </c>
      <c r="B428" s="6" t="str">
        <f t="shared" si="68"/>
        <v>NIKDIG00594</v>
      </c>
      <c r="C428" s="7" t="s">
        <v>211</v>
      </c>
      <c r="D428" s="7" t="s">
        <v>397</v>
      </c>
      <c r="E428" s="7" t="str">
        <f t="shared" si="69"/>
        <v>ASHOK TRIPATHI</v>
      </c>
      <c r="F428" s="7" t="s">
        <v>11</v>
      </c>
      <c r="G428" s="22">
        <v>42254</v>
      </c>
      <c r="H428" s="8">
        <v>83624</v>
      </c>
      <c r="I428" s="7" t="str">
        <f t="shared" si="70"/>
        <v>ashok.tripathi@di.tri.ba</v>
      </c>
      <c r="J428" s="6" t="s">
        <v>1546</v>
      </c>
      <c r="K428" s="6">
        <v>78</v>
      </c>
      <c r="L428" s="7" t="str">
        <f t="shared" si="71"/>
        <v>di.tri.ba</v>
      </c>
      <c r="M428" s="7" t="str">
        <f t="shared" si="72"/>
        <v>T.Ashok</v>
      </c>
      <c r="N428" s="6">
        <f t="shared" si="67"/>
        <v>0</v>
      </c>
      <c r="O428" s="6">
        <f t="shared" ref="O428:O491" si="77">IFERROR(SEARCH("e",D428),0)</f>
        <v>0</v>
      </c>
      <c r="P428" s="6" t="str">
        <f t="shared" si="73"/>
        <v>N</v>
      </c>
      <c r="Q428" s="6">
        <f t="shared" si="74"/>
        <v>13</v>
      </c>
      <c r="R428" s="6" t="str">
        <f t="shared" si="75"/>
        <v>2015</v>
      </c>
      <c r="S428" s="6" t="str">
        <f t="shared" si="76"/>
        <v>Sep</v>
      </c>
    </row>
    <row r="429" spans="1:19" x14ac:dyDescent="0.25">
      <c r="A429" s="6">
        <v>598</v>
      </c>
      <c r="B429" s="6" t="str">
        <f t="shared" si="68"/>
        <v>NIKDIG00598</v>
      </c>
      <c r="C429" s="7" t="s">
        <v>23</v>
      </c>
      <c r="D429" s="7"/>
      <c r="E429" s="7" t="str">
        <f t="shared" si="69"/>
        <v>ROHIT</v>
      </c>
      <c r="F429" s="7" t="s">
        <v>11</v>
      </c>
      <c r="G429" s="22">
        <v>42473</v>
      </c>
      <c r="H429" s="8">
        <v>90600</v>
      </c>
      <c r="I429" s="7" t="str">
        <f t="shared" si="70"/>
        <v>rohit.@di..ba</v>
      </c>
      <c r="J429" s="6" t="s">
        <v>1536</v>
      </c>
      <c r="K429" s="6">
        <v>49</v>
      </c>
      <c r="L429" s="7" t="str">
        <f t="shared" si="71"/>
        <v>di..ba</v>
      </c>
      <c r="M429" s="7" t="str">
        <f t="shared" si="72"/>
        <v>.Rohit</v>
      </c>
      <c r="N429" s="6">
        <f t="shared" si="67"/>
        <v>0</v>
      </c>
      <c r="O429" s="6">
        <f t="shared" si="77"/>
        <v>0</v>
      </c>
      <c r="P429" s="6" t="str">
        <f t="shared" si="73"/>
        <v>N</v>
      </c>
      <c r="Q429" s="6">
        <f t="shared" si="74"/>
        <v>5</v>
      </c>
      <c r="R429" s="6" t="str">
        <f t="shared" si="75"/>
        <v>2016</v>
      </c>
      <c r="S429" s="6" t="str">
        <f t="shared" si="76"/>
        <v>Apr</v>
      </c>
    </row>
    <row r="430" spans="1:19" x14ac:dyDescent="0.25">
      <c r="A430" s="6">
        <v>618</v>
      </c>
      <c r="B430" s="6" t="str">
        <f t="shared" si="68"/>
        <v>NIKDIG00618</v>
      </c>
      <c r="C430" s="7" t="s">
        <v>563</v>
      </c>
      <c r="D430" s="7" t="s">
        <v>365</v>
      </c>
      <c r="E430" s="7" t="str">
        <f t="shared" si="69"/>
        <v>GAYATRI SHYAM</v>
      </c>
      <c r="F430" s="7" t="s">
        <v>11</v>
      </c>
      <c r="G430" s="22">
        <v>42424</v>
      </c>
      <c r="H430" s="8">
        <v>63086</v>
      </c>
      <c r="I430" s="7" t="str">
        <f t="shared" si="70"/>
        <v>gayatri.shyam@di.shm.ba</v>
      </c>
      <c r="J430" s="6" t="s">
        <v>1544</v>
      </c>
      <c r="K430" s="6">
        <v>65</v>
      </c>
      <c r="L430" s="7" t="str">
        <f t="shared" si="71"/>
        <v>di.shm.ba</v>
      </c>
      <c r="M430" s="7" t="str">
        <f t="shared" si="72"/>
        <v>S.Gayatri</v>
      </c>
      <c r="N430" s="6">
        <f t="shared" ref="N430:N493" si="78">IFERROR(SEARCH("e",C430),0)</f>
        <v>0</v>
      </c>
      <c r="O430" s="6">
        <f t="shared" si="77"/>
        <v>0</v>
      </c>
      <c r="P430" s="6" t="str">
        <f t="shared" si="73"/>
        <v>N</v>
      </c>
      <c r="Q430" s="6">
        <f t="shared" si="74"/>
        <v>12</v>
      </c>
      <c r="R430" s="6" t="str">
        <f t="shared" si="75"/>
        <v>2016</v>
      </c>
      <c r="S430" s="6" t="str">
        <f t="shared" si="76"/>
        <v>Feb</v>
      </c>
    </row>
    <row r="431" spans="1:19" x14ac:dyDescent="0.25">
      <c r="A431" s="6">
        <v>631</v>
      </c>
      <c r="B431" s="6" t="str">
        <f t="shared" si="68"/>
        <v>NIKDIG00631</v>
      </c>
      <c r="C431" s="7" t="s">
        <v>628</v>
      </c>
      <c r="D431" s="7" t="s">
        <v>629</v>
      </c>
      <c r="E431" s="7" t="str">
        <f t="shared" si="69"/>
        <v>TANIA DIWEDI</v>
      </c>
      <c r="F431" s="7" t="s">
        <v>11</v>
      </c>
      <c r="G431" s="22">
        <v>42527</v>
      </c>
      <c r="H431" s="8">
        <v>69331</v>
      </c>
      <c r="I431" s="7" t="str">
        <f t="shared" si="70"/>
        <v>tania.diwedi@di.dii.ba</v>
      </c>
      <c r="J431" s="6" t="s">
        <v>1550</v>
      </c>
      <c r="K431" s="6">
        <v>38</v>
      </c>
      <c r="L431" s="7" t="str">
        <f t="shared" si="71"/>
        <v>di.dii.ba</v>
      </c>
      <c r="M431" s="7" t="str">
        <f t="shared" si="72"/>
        <v>D.Tania</v>
      </c>
      <c r="N431" s="6">
        <f t="shared" si="78"/>
        <v>0</v>
      </c>
      <c r="O431" s="6">
        <f t="shared" si="77"/>
        <v>4</v>
      </c>
      <c r="P431" s="6" t="str">
        <f t="shared" si="73"/>
        <v>N</v>
      </c>
      <c r="Q431" s="6">
        <f t="shared" si="74"/>
        <v>11</v>
      </c>
      <c r="R431" s="6" t="str">
        <f t="shared" si="75"/>
        <v>2016</v>
      </c>
      <c r="S431" s="6" t="str">
        <f t="shared" si="76"/>
        <v>Jun</v>
      </c>
    </row>
    <row r="432" spans="1:19" x14ac:dyDescent="0.25">
      <c r="A432" s="6">
        <v>644</v>
      </c>
      <c r="B432" s="6" t="str">
        <f t="shared" si="68"/>
        <v>NIKDIG00644</v>
      </c>
      <c r="C432" s="7" t="s">
        <v>824</v>
      </c>
      <c r="D432" s="7" t="s">
        <v>746</v>
      </c>
      <c r="E432" s="7" t="str">
        <f t="shared" si="69"/>
        <v>PRATHAMESH NARENDRA</v>
      </c>
      <c r="F432" s="7" t="s">
        <v>11</v>
      </c>
      <c r="G432" s="22">
        <v>43040</v>
      </c>
      <c r="H432" s="8">
        <v>50342</v>
      </c>
      <c r="I432" s="7" t="str">
        <f t="shared" si="70"/>
        <v>prathamesh.narendra@di.naa.ba</v>
      </c>
      <c r="J432" s="6" t="s">
        <v>1544</v>
      </c>
      <c r="K432" s="6">
        <v>55</v>
      </c>
      <c r="L432" s="7" t="str">
        <f t="shared" si="71"/>
        <v>di.naa.ba</v>
      </c>
      <c r="M432" s="7" t="str">
        <f t="shared" si="72"/>
        <v>N.Prathamesh</v>
      </c>
      <c r="N432" s="6">
        <f t="shared" si="78"/>
        <v>8</v>
      </c>
      <c r="O432" s="6">
        <f t="shared" si="77"/>
        <v>4</v>
      </c>
      <c r="P432" s="6" t="str">
        <f t="shared" si="73"/>
        <v>Y</v>
      </c>
      <c r="Q432" s="6">
        <f t="shared" si="74"/>
        <v>18</v>
      </c>
      <c r="R432" s="6" t="str">
        <f t="shared" si="75"/>
        <v>2017</v>
      </c>
      <c r="S432" s="6" t="str">
        <f t="shared" si="76"/>
        <v>Nov</v>
      </c>
    </row>
    <row r="433" spans="1:19" x14ac:dyDescent="0.25">
      <c r="A433" s="6">
        <v>653</v>
      </c>
      <c r="B433" s="6" t="str">
        <f t="shared" si="68"/>
        <v>NIKDIG00653</v>
      </c>
      <c r="C433" s="7" t="s">
        <v>320</v>
      </c>
      <c r="D433" s="7" t="s">
        <v>832</v>
      </c>
      <c r="E433" s="7" t="str">
        <f t="shared" si="69"/>
        <v>VISHAL V.</v>
      </c>
      <c r="F433" s="7" t="s">
        <v>11</v>
      </c>
      <c r="G433" s="22">
        <v>40025</v>
      </c>
      <c r="H433" s="8">
        <v>98986</v>
      </c>
      <c r="I433" s="7" t="str">
        <f t="shared" si="70"/>
        <v>vishal.v.@di.v...ba</v>
      </c>
      <c r="J433" s="6" t="s">
        <v>1534</v>
      </c>
      <c r="K433" s="6">
        <v>55</v>
      </c>
      <c r="L433" s="7" t="str">
        <f t="shared" si="71"/>
        <v>di.v...ba</v>
      </c>
      <c r="M433" s="7" t="str">
        <f t="shared" si="72"/>
        <v>V.Vishal</v>
      </c>
      <c r="N433" s="6">
        <f t="shared" si="78"/>
        <v>0</v>
      </c>
      <c r="O433" s="6">
        <f t="shared" si="77"/>
        <v>0</v>
      </c>
      <c r="P433" s="6" t="str">
        <f t="shared" si="73"/>
        <v>N</v>
      </c>
      <c r="Q433" s="6">
        <f t="shared" si="74"/>
        <v>8</v>
      </c>
      <c r="R433" s="6" t="str">
        <f t="shared" si="75"/>
        <v>2009</v>
      </c>
      <c r="S433" s="6" t="str">
        <f t="shared" si="76"/>
        <v>Jul</v>
      </c>
    </row>
    <row r="434" spans="1:19" x14ac:dyDescent="0.25">
      <c r="A434" s="6">
        <v>667</v>
      </c>
      <c r="B434" s="6" t="str">
        <f t="shared" si="68"/>
        <v>NIKDIG00667</v>
      </c>
      <c r="C434" s="7" t="s">
        <v>194</v>
      </c>
      <c r="D434" s="7" t="s">
        <v>68</v>
      </c>
      <c r="E434" s="7" t="str">
        <f t="shared" si="69"/>
        <v>SHAILENDRA KUMAR</v>
      </c>
      <c r="F434" s="7" t="s">
        <v>11</v>
      </c>
      <c r="G434" s="22">
        <v>43052</v>
      </c>
      <c r="H434" s="8">
        <v>79484</v>
      </c>
      <c r="I434" s="7" t="str">
        <f t="shared" si="70"/>
        <v>shailendra.kumar@di.kur.ba</v>
      </c>
      <c r="J434" s="6" t="s">
        <v>1532</v>
      </c>
      <c r="K434" s="6">
        <v>79</v>
      </c>
      <c r="L434" s="7" t="str">
        <f t="shared" si="71"/>
        <v>di.kur.ba</v>
      </c>
      <c r="M434" s="7" t="str">
        <f t="shared" si="72"/>
        <v>K.Shailendra</v>
      </c>
      <c r="N434" s="6">
        <f t="shared" si="78"/>
        <v>6</v>
      </c>
      <c r="O434" s="6">
        <f t="shared" si="77"/>
        <v>0</v>
      </c>
      <c r="P434" s="6" t="str">
        <f t="shared" si="73"/>
        <v>N</v>
      </c>
      <c r="Q434" s="6">
        <f t="shared" si="74"/>
        <v>15</v>
      </c>
      <c r="R434" s="6" t="str">
        <f t="shared" si="75"/>
        <v>2017</v>
      </c>
      <c r="S434" s="6" t="str">
        <f t="shared" si="76"/>
        <v>Nov</v>
      </c>
    </row>
    <row r="435" spans="1:19" x14ac:dyDescent="0.25">
      <c r="A435" s="6">
        <v>680</v>
      </c>
      <c r="B435" s="6" t="str">
        <f t="shared" si="68"/>
        <v>NIKDIG00680</v>
      </c>
      <c r="C435" s="7" t="s">
        <v>860</v>
      </c>
      <c r="D435" s="7" t="s">
        <v>110</v>
      </c>
      <c r="E435" s="7" t="str">
        <f t="shared" si="69"/>
        <v>SAMEER ROY</v>
      </c>
      <c r="F435" s="7" t="s">
        <v>11</v>
      </c>
      <c r="G435" s="22">
        <v>41792</v>
      </c>
      <c r="H435" s="8">
        <v>45087</v>
      </c>
      <c r="I435" s="7" t="str">
        <f t="shared" si="70"/>
        <v>sameer.roy@di.roy.ba</v>
      </c>
      <c r="J435" s="6" t="s">
        <v>1532</v>
      </c>
      <c r="K435" s="6">
        <v>38</v>
      </c>
      <c r="L435" s="7" t="str">
        <f t="shared" si="71"/>
        <v>di.roy.ba</v>
      </c>
      <c r="M435" s="7" t="str">
        <f t="shared" si="72"/>
        <v>R.Sameer</v>
      </c>
      <c r="N435" s="6">
        <f t="shared" si="78"/>
        <v>4</v>
      </c>
      <c r="O435" s="6">
        <f t="shared" si="77"/>
        <v>0</v>
      </c>
      <c r="P435" s="6" t="str">
        <f t="shared" si="73"/>
        <v>N</v>
      </c>
      <c r="Q435" s="6">
        <f t="shared" si="74"/>
        <v>9</v>
      </c>
      <c r="R435" s="6" t="str">
        <f t="shared" si="75"/>
        <v>2014</v>
      </c>
      <c r="S435" s="6" t="str">
        <f t="shared" si="76"/>
        <v>Jun</v>
      </c>
    </row>
    <row r="436" spans="1:19" x14ac:dyDescent="0.25">
      <c r="A436" s="6">
        <v>681</v>
      </c>
      <c r="B436" s="6" t="str">
        <f t="shared" si="68"/>
        <v>NIKDIG00681</v>
      </c>
      <c r="C436" s="7" t="s">
        <v>861</v>
      </c>
      <c r="D436" s="7" t="s">
        <v>61</v>
      </c>
      <c r="E436" s="7" t="str">
        <f t="shared" si="69"/>
        <v>KUSHAL MEHTA</v>
      </c>
      <c r="F436" s="7" t="s">
        <v>11</v>
      </c>
      <c r="G436" s="22">
        <v>43224</v>
      </c>
      <c r="H436" s="8">
        <v>28082</v>
      </c>
      <c r="I436" s="7" t="str">
        <f t="shared" si="70"/>
        <v>kushal.mehta@di.mea.ba</v>
      </c>
      <c r="J436" s="6" t="s">
        <v>1541</v>
      </c>
      <c r="K436" s="6">
        <v>41</v>
      </c>
      <c r="L436" s="7" t="str">
        <f t="shared" si="71"/>
        <v>di.mea.ba</v>
      </c>
      <c r="M436" s="7" t="str">
        <f t="shared" si="72"/>
        <v>M.Kushal</v>
      </c>
      <c r="N436" s="6">
        <f t="shared" si="78"/>
        <v>0</v>
      </c>
      <c r="O436" s="6">
        <f t="shared" si="77"/>
        <v>2</v>
      </c>
      <c r="P436" s="6" t="str">
        <f t="shared" si="73"/>
        <v>N</v>
      </c>
      <c r="Q436" s="6">
        <f t="shared" si="74"/>
        <v>11</v>
      </c>
      <c r="R436" s="6" t="str">
        <f t="shared" si="75"/>
        <v>2018</v>
      </c>
      <c r="S436" s="6" t="str">
        <f t="shared" si="76"/>
        <v>May</v>
      </c>
    </row>
    <row r="437" spans="1:19" x14ac:dyDescent="0.25">
      <c r="A437" s="6">
        <v>684</v>
      </c>
      <c r="B437" s="6" t="str">
        <f t="shared" si="68"/>
        <v>NIKDIG00684</v>
      </c>
      <c r="C437" s="7" t="s">
        <v>862</v>
      </c>
      <c r="D437" s="7" t="s">
        <v>863</v>
      </c>
      <c r="E437" s="7" t="str">
        <f t="shared" si="69"/>
        <v>KHYAL KETUMAN</v>
      </c>
      <c r="F437" s="7" t="s">
        <v>11</v>
      </c>
      <c r="G437" s="22">
        <v>43195</v>
      </c>
      <c r="H437" s="8">
        <v>64471</v>
      </c>
      <c r="I437" s="7" t="str">
        <f t="shared" si="70"/>
        <v>khyal.ketuman@di.ken.ba</v>
      </c>
      <c r="J437" s="6" t="s">
        <v>1537</v>
      </c>
      <c r="K437" s="6">
        <v>41</v>
      </c>
      <c r="L437" s="7" t="str">
        <f t="shared" si="71"/>
        <v>di.ken.ba</v>
      </c>
      <c r="M437" s="7" t="str">
        <f t="shared" si="72"/>
        <v>K.Khyal</v>
      </c>
      <c r="N437" s="6">
        <f t="shared" si="78"/>
        <v>0</v>
      </c>
      <c r="O437" s="6">
        <f t="shared" si="77"/>
        <v>2</v>
      </c>
      <c r="P437" s="6" t="str">
        <f t="shared" si="73"/>
        <v>N</v>
      </c>
      <c r="Q437" s="6">
        <f t="shared" si="74"/>
        <v>12</v>
      </c>
      <c r="R437" s="6" t="str">
        <f t="shared" si="75"/>
        <v>2018</v>
      </c>
      <c r="S437" s="6" t="str">
        <f t="shared" si="76"/>
        <v>Apr</v>
      </c>
    </row>
    <row r="438" spans="1:19" x14ac:dyDescent="0.25">
      <c r="A438" s="6">
        <v>687</v>
      </c>
      <c r="B438" s="6" t="str">
        <f t="shared" si="68"/>
        <v>NIKDIG00687</v>
      </c>
      <c r="C438" s="7" t="s">
        <v>120</v>
      </c>
      <c r="D438" s="7" t="s">
        <v>68</v>
      </c>
      <c r="E438" s="7" t="str">
        <f t="shared" si="69"/>
        <v>MAHENDRA KUMAR</v>
      </c>
      <c r="F438" s="7" t="s">
        <v>11</v>
      </c>
      <c r="G438" s="22">
        <v>42019</v>
      </c>
      <c r="H438" s="8">
        <v>104795</v>
      </c>
      <c r="I438" s="7" t="str">
        <f t="shared" si="70"/>
        <v>mahendra.kumar@di.kur.ba</v>
      </c>
      <c r="J438" s="6" t="s">
        <v>1549</v>
      </c>
      <c r="K438" s="6">
        <v>35</v>
      </c>
      <c r="L438" s="7" t="str">
        <f t="shared" si="71"/>
        <v>di.kur.ba</v>
      </c>
      <c r="M438" s="7" t="str">
        <f t="shared" si="72"/>
        <v>K.Mahendra</v>
      </c>
      <c r="N438" s="6">
        <f t="shared" si="78"/>
        <v>4</v>
      </c>
      <c r="O438" s="6">
        <f t="shared" si="77"/>
        <v>0</v>
      </c>
      <c r="P438" s="6" t="str">
        <f t="shared" si="73"/>
        <v>N</v>
      </c>
      <c r="Q438" s="6">
        <f t="shared" si="74"/>
        <v>13</v>
      </c>
      <c r="R438" s="6" t="str">
        <f t="shared" si="75"/>
        <v>2015</v>
      </c>
      <c r="S438" s="6" t="str">
        <f t="shared" si="76"/>
        <v>Jan</v>
      </c>
    </row>
    <row r="439" spans="1:19" x14ac:dyDescent="0.25">
      <c r="A439" s="6">
        <v>706</v>
      </c>
      <c r="B439" s="6" t="str">
        <f t="shared" si="68"/>
        <v>NIKDIG00706</v>
      </c>
      <c r="C439" s="7" t="s">
        <v>882</v>
      </c>
      <c r="D439" s="7" t="s">
        <v>797</v>
      </c>
      <c r="E439" s="7" t="str">
        <f t="shared" si="69"/>
        <v>ADHISH S</v>
      </c>
      <c r="F439" s="7" t="s">
        <v>11</v>
      </c>
      <c r="G439" s="22">
        <v>42590</v>
      </c>
      <c r="H439" s="8">
        <v>42026</v>
      </c>
      <c r="I439" s="7" t="str">
        <f t="shared" si="70"/>
        <v>adhish.s@di.ss.ba</v>
      </c>
      <c r="J439" s="6" t="s">
        <v>1532</v>
      </c>
      <c r="K439" s="6">
        <v>80</v>
      </c>
      <c r="L439" s="7" t="str">
        <f t="shared" si="71"/>
        <v>di.ss.ba</v>
      </c>
      <c r="M439" s="7" t="str">
        <f t="shared" si="72"/>
        <v>S.Adhish</v>
      </c>
      <c r="N439" s="6">
        <f t="shared" si="78"/>
        <v>0</v>
      </c>
      <c r="O439" s="6">
        <f t="shared" si="77"/>
        <v>0</v>
      </c>
      <c r="P439" s="6" t="str">
        <f t="shared" si="73"/>
        <v>N</v>
      </c>
      <c r="Q439" s="6">
        <f t="shared" si="74"/>
        <v>7</v>
      </c>
      <c r="R439" s="6" t="str">
        <f t="shared" si="75"/>
        <v>2016</v>
      </c>
      <c r="S439" s="6" t="str">
        <f t="shared" si="76"/>
        <v>Aug</v>
      </c>
    </row>
    <row r="440" spans="1:19" x14ac:dyDescent="0.25">
      <c r="A440" s="6">
        <v>725</v>
      </c>
      <c r="B440" s="6" t="str">
        <f t="shared" si="68"/>
        <v>NIKDIG00725</v>
      </c>
      <c r="C440" s="7" t="s">
        <v>903</v>
      </c>
      <c r="D440" s="7" t="s">
        <v>162</v>
      </c>
      <c r="E440" s="7" t="str">
        <f t="shared" si="69"/>
        <v>NUPUR PATHAK</v>
      </c>
      <c r="F440" s="7" t="s">
        <v>11</v>
      </c>
      <c r="G440" s="22">
        <v>42415</v>
      </c>
      <c r="H440" s="8">
        <v>64570</v>
      </c>
      <c r="I440" s="7" t="str">
        <f t="shared" si="70"/>
        <v>nupur.pathak@di.pak.ba</v>
      </c>
      <c r="J440" s="6" t="s">
        <v>1544</v>
      </c>
      <c r="K440" s="6">
        <v>85</v>
      </c>
      <c r="L440" s="7" t="str">
        <f t="shared" si="71"/>
        <v>di.pak.ba</v>
      </c>
      <c r="M440" s="7" t="str">
        <f t="shared" si="72"/>
        <v>P.Nupur</v>
      </c>
      <c r="N440" s="6">
        <f t="shared" si="78"/>
        <v>0</v>
      </c>
      <c r="O440" s="6">
        <f t="shared" si="77"/>
        <v>0</v>
      </c>
      <c r="P440" s="6" t="str">
        <f t="shared" si="73"/>
        <v>N</v>
      </c>
      <c r="Q440" s="6">
        <f t="shared" si="74"/>
        <v>11</v>
      </c>
      <c r="R440" s="6" t="str">
        <f t="shared" si="75"/>
        <v>2016</v>
      </c>
      <c r="S440" s="6" t="str">
        <f t="shared" si="76"/>
        <v>Feb</v>
      </c>
    </row>
    <row r="441" spans="1:19" x14ac:dyDescent="0.25">
      <c r="A441" s="6">
        <v>726</v>
      </c>
      <c r="B441" s="6" t="str">
        <f t="shared" si="68"/>
        <v>NIKDIG00726</v>
      </c>
      <c r="C441" s="7" t="s">
        <v>146</v>
      </c>
      <c r="D441" s="7" t="s">
        <v>358</v>
      </c>
      <c r="E441" s="7" t="str">
        <f t="shared" si="69"/>
        <v>ANKIT TAMHANE</v>
      </c>
      <c r="F441" s="7" t="s">
        <v>11</v>
      </c>
      <c r="G441" s="22">
        <v>40973</v>
      </c>
      <c r="H441" s="8">
        <v>78180</v>
      </c>
      <c r="I441" s="7" t="str">
        <f t="shared" si="70"/>
        <v>ankit.tamhane@di.tae.ba</v>
      </c>
      <c r="J441" s="6" t="s">
        <v>1534</v>
      </c>
      <c r="K441" s="6">
        <v>84</v>
      </c>
      <c r="L441" s="7" t="str">
        <f t="shared" si="71"/>
        <v>di.tae.ba</v>
      </c>
      <c r="M441" s="7" t="str">
        <f t="shared" si="72"/>
        <v>T.Ankit</v>
      </c>
      <c r="N441" s="6">
        <f t="shared" si="78"/>
        <v>0</v>
      </c>
      <c r="O441" s="6">
        <f t="shared" si="77"/>
        <v>7</v>
      </c>
      <c r="P441" s="6" t="str">
        <f t="shared" si="73"/>
        <v>N</v>
      </c>
      <c r="Q441" s="6">
        <f t="shared" si="74"/>
        <v>12</v>
      </c>
      <c r="R441" s="6" t="str">
        <f t="shared" si="75"/>
        <v>2012</v>
      </c>
      <c r="S441" s="6" t="str">
        <f t="shared" si="76"/>
        <v>Mar</v>
      </c>
    </row>
    <row r="442" spans="1:19" x14ac:dyDescent="0.25">
      <c r="A442" s="6">
        <v>727</v>
      </c>
      <c r="B442" s="6" t="str">
        <f t="shared" si="68"/>
        <v>NIKDIG00727</v>
      </c>
      <c r="C442" s="7" t="s">
        <v>65</v>
      </c>
      <c r="D442" s="7" t="s">
        <v>416</v>
      </c>
      <c r="E442" s="7" t="str">
        <f t="shared" si="69"/>
        <v>RAHUL DNYANESHWAR</v>
      </c>
      <c r="F442" s="7" t="s">
        <v>11</v>
      </c>
      <c r="G442" s="22">
        <v>42604</v>
      </c>
      <c r="H442" s="8">
        <v>51234</v>
      </c>
      <c r="I442" s="7" t="str">
        <f t="shared" si="70"/>
        <v>rahul.dnyaneshwar@di.dnr.ba</v>
      </c>
      <c r="J442" s="6" t="s">
        <v>1542</v>
      </c>
      <c r="K442" s="6">
        <v>65</v>
      </c>
      <c r="L442" s="7" t="str">
        <f t="shared" si="71"/>
        <v>di.dnr.ba</v>
      </c>
      <c r="M442" s="7" t="str">
        <f t="shared" si="72"/>
        <v>D.Rahul</v>
      </c>
      <c r="N442" s="6">
        <f t="shared" si="78"/>
        <v>0</v>
      </c>
      <c r="O442" s="6">
        <f t="shared" si="77"/>
        <v>6</v>
      </c>
      <c r="P442" s="6" t="str">
        <f t="shared" si="73"/>
        <v>N</v>
      </c>
      <c r="Q442" s="6">
        <f t="shared" si="74"/>
        <v>16</v>
      </c>
      <c r="R442" s="6" t="str">
        <f t="shared" si="75"/>
        <v>2016</v>
      </c>
      <c r="S442" s="6" t="str">
        <f t="shared" si="76"/>
        <v>Aug</v>
      </c>
    </row>
    <row r="443" spans="1:19" x14ac:dyDescent="0.25">
      <c r="A443" s="6">
        <v>737</v>
      </c>
      <c r="B443" s="6" t="str">
        <f t="shared" si="68"/>
        <v>NIKDIG00737</v>
      </c>
      <c r="C443" s="7" t="s">
        <v>908</v>
      </c>
      <c r="D443" s="7" t="s">
        <v>909</v>
      </c>
      <c r="E443" s="7" t="str">
        <f t="shared" si="69"/>
        <v>DAISY SURESHKUMAR</v>
      </c>
      <c r="F443" s="7" t="s">
        <v>11</v>
      </c>
      <c r="G443" s="22">
        <v>43328</v>
      </c>
      <c r="H443" s="8">
        <v>36659</v>
      </c>
      <c r="I443" s="7" t="str">
        <f t="shared" si="70"/>
        <v>daisy.sureshkumar@di.sur.ba</v>
      </c>
      <c r="J443" s="6" t="s">
        <v>1533</v>
      </c>
      <c r="K443" s="6">
        <v>60</v>
      </c>
      <c r="L443" s="7" t="str">
        <f t="shared" si="71"/>
        <v>di.sur.ba</v>
      </c>
      <c r="M443" s="7" t="str">
        <f t="shared" si="72"/>
        <v>S.Daisy</v>
      </c>
      <c r="N443" s="6">
        <f t="shared" si="78"/>
        <v>0</v>
      </c>
      <c r="O443" s="6">
        <f t="shared" si="77"/>
        <v>4</v>
      </c>
      <c r="P443" s="6" t="str">
        <f t="shared" si="73"/>
        <v>N</v>
      </c>
      <c r="Q443" s="6">
        <f t="shared" si="74"/>
        <v>16</v>
      </c>
      <c r="R443" s="6" t="str">
        <f t="shared" si="75"/>
        <v>2018</v>
      </c>
      <c r="S443" s="6" t="str">
        <f t="shared" si="76"/>
        <v>Aug</v>
      </c>
    </row>
    <row r="444" spans="1:19" x14ac:dyDescent="0.25">
      <c r="A444" s="6">
        <v>741</v>
      </c>
      <c r="B444" s="6" t="str">
        <f t="shared" si="68"/>
        <v>NIKDIG00741</v>
      </c>
      <c r="C444" s="7" t="s">
        <v>578</v>
      </c>
      <c r="D444" s="7" t="s">
        <v>70</v>
      </c>
      <c r="E444" s="7" t="str">
        <f t="shared" si="69"/>
        <v>AISHWARYA SINGH</v>
      </c>
      <c r="F444" s="7" t="s">
        <v>11</v>
      </c>
      <c r="G444" s="22">
        <v>41379</v>
      </c>
      <c r="H444" s="8">
        <v>26613</v>
      </c>
      <c r="I444" s="7" t="str">
        <f t="shared" si="70"/>
        <v>aishwarya.singh@di.sih.ba</v>
      </c>
      <c r="J444" s="6" t="s">
        <v>1539</v>
      </c>
      <c r="K444" s="6">
        <v>74</v>
      </c>
      <c r="L444" s="7" t="str">
        <f t="shared" si="71"/>
        <v>di.sih.ba</v>
      </c>
      <c r="M444" s="7" t="str">
        <f t="shared" si="72"/>
        <v>S.Aishwarya</v>
      </c>
      <c r="N444" s="6">
        <f t="shared" si="78"/>
        <v>0</v>
      </c>
      <c r="O444" s="6">
        <f t="shared" si="77"/>
        <v>0</v>
      </c>
      <c r="P444" s="6" t="str">
        <f t="shared" si="73"/>
        <v>N</v>
      </c>
      <c r="Q444" s="6">
        <f t="shared" si="74"/>
        <v>14</v>
      </c>
      <c r="R444" s="6" t="str">
        <f t="shared" si="75"/>
        <v>2013</v>
      </c>
      <c r="S444" s="6" t="str">
        <f t="shared" si="76"/>
        <v>Apr</v>
      </c>
    </row>
    <row r="445" spans="1:19" x14ac:dyDescent="0.25">
      <c r="A445" s="6">
        <v>765</v>
      </c>
      <c r="B445" s="6" t="str">
        <f t="shared" si="68"/>
        <v>NIKDIG00765</v>
      </c>
      <c r="C445" s="7" t="s">
        <v>173</v>
      </c>
      <c r="D445" s="7" t="s">
        <v>168</v>
      </c>
      <c r="E445" s="7" t="str">
        <f t="shared" si="69"/>
        <v>VIVEK TIWARI</v>
      </c>
      <c r="F445" s="7" t="s">
        <v>11</v>
      </c>
      <c r="G445" s="22">
        <v>43318</v>
      </c>
      <c r="H445" s="8">
        <v>51833</v>
      </c>
      <c r="I445" s="7" t="str">
        <f t="shared" si="70"/>
        <v>vivek.tiwari@di.tii.ba</v>
      </c>
      <c r="J445" s="6" t="s">
        <v>1539</v>
      </c>
      <c r="K445" s="6">
        <v>57</v>
      </c>
      <c r="L445" s="7" t="str">
        <f t="shared" si="71"/>
        <v>di.tii.ba</v>
      </c>
      <c r="M445" s="7" t="str">
        <f t="shared" si="72"/>
        <v>T.Vivek</v>
      </c>
      <c r="N445" s="6">
        <f t="shared" si="78"/>
        <v>4</v>
      </c>
      <c r="O445" s="6">
        <f t="shared" si="77"/>
        <v>0</v>
      </c>
      <c r="P445" s="6" t="str">
        <f t="shared" si="73"/>
        <v>N</v>
      </c>
      <c r="Q445" s="6">
        <f t="shared" si="74"/>
        <v>11</v>
      </c>
      <c r="R445" s="6" t="str">
        <f t="shared" si="75"/>
        <v>2018</v>
      </c>
      <c r="S445" s="6" t="str">
        <f t="shared" si="76"/>
        <v>Aug</v>
      </c>
    </row>
    <row r="446" spans="1:19" x14ac:dyDescent="0.25">
      <c r="A446" s="6">
        <v>769</v>
      </c>
      <c r="B446" s="6" t="str">
        <f t="shared" si="68"/>
        <v>NIKDIG00769</v>
      </c>
      <c r="C446" s="7" t="s">
        <v>933</v>
      </c>
      <c r="D446" s="7" t="s">
        <v>561</v>
      </c>
      <c r="E446" s="7" t="str">
        <f t="shared" si="69"/>
        <v>PRATEEKSHA GURJAR</v>
      </c>
      <c r="F446" s="7" t="s">
        <v>11</v>
      </c>
      <c r="G446" s="22">
        <v>43344</v>
      </c>
      <c r="H446" s="8">
        <v>101620</v>
      </c>
      <c r="I446" s="7" t="str">
        <f t="shared" si="70"/>
        <v>prateeksha.gurjar@di.gur.ba</v>
      </c>
      <c r="J446" s="6" t="s">
        <v>1534</v>
      </c>
      <c r="K446" s="6">
        <v>86</v>
      </c>
      <c r="L446" s="7" t="str">
        <f t="shared" si="71"/>
        <v>di.gur.ba</v>
      </c>
      <c r="M446" s="7" t="str">
        <f t="shared" si="72"/>
        <v>G.Prateeksha</v>
      </c>
      <c r="N446" s="6">
        <f t="shared" si="78"/>
        <v>5</v>
      </c>
      <c r="O446" s="6">
        <f t="shared" si="77"/>
        <v>0</v>
      </c>
      <c r="P446" s="6" t="str">
        <f t="shared" si="73"/>
        <v>N</v>
      </c>
      <c r="Q446" s="6">
        <f t="shared" si="74"/>
        <v>16</v>
      </c>
      <c r="R446" s="6" t="str">
        <f t="shared" si="75"/>
        <v>2018</v>
      </c>
      <c r="S446" s="6" t="str">
        <f t="shared" si="76"/>
        <v>Sep</v>
      </c>
    </row>
    <row r="447" spans="1:19" x14ac:dyDescent="0.25">
      <c r="A447" s="6">
        <v>775</v>
      </c>
      <c r="B447" s="6" t="str">
        <f t="shared" si="68"/>
        <v>NIKDIG00775</v>
      </c>
      <c r="C447" s="7" t="s">
        <v>119</v>
      </c>
      <c r="D447" s="7" t="s">
        <v>70</v>
      </c>
      <c r="E447" s="7" t="str">
        <f t="shared" si="69"/>
        <v>VIDHI SINGH</v>
      </c>
      <c r="F447" s="7" t="s">
        <v>11</v>
      </c>
      <c r="G447" s="22">
        <v>42019</v>
      </c>
      <c r="H447" s="8">
        <v>69219</v>
      </c>
      <c r="I447" s="7" t="str">
        <f t="shared" si="70"/>
        <v>vidhi.singh@di.sih.ba</v>
      </c>
      <c r="J447" s="6" t="s">
        <v>1536</v>
      </c>
      <c r="K447" s="6">
        <v>56</v>
      </c>
      <c r="L447" s="7" t="str">
        <f t="shared" si="71"/>
        <v>di.sih.ba</v>
      </c>
      <c r="M447" s="7" t="str">
        <f t="shared" si="72"/>
        <v>S.Vidhi</v>
      </c>
      <c r="N447" s="6">
        <f t="shared" si="78"/>
        <v>0</v>
      </c>
      <c r="O447" s="6">
        <f t="shared" si="77"/>
        <v>0</v>
      </c>
      <c r="P447" s="6" t="str">
        <f t="shared" si="73"/>
        <v>N</v>
      </c>
      <c r="Q447" s="6">
        <f t="shared" si="74"/>
        <v>10</v>
      </c>
      <c r="R447" s="6" t="str">
        <f t="shared" si="75"/>
        <v>2015</v>
      </c>
      <c r="S447" s="6" t="str">
        <f t="shared" si="76"/>
        <v>Jan</v>
      </c>
    </row>
    <row r="448" spans="1:19" x14ac:dyDescent="0.25">
      <c r="A448" s="6">
        <v>776</v>
      </c>
      <c r="B448" s="6" t="str">
        <f t="shared" si="68"/>
        <v>NIKDIG00776</v>
      </c>
      <c r="C448" s="7" t="s">
        <v>560</v>
      </c>
      <c r="D448" s="7" t="s">
        <v>940</v>
      </c>
      <c r="E448" s="7" t="str">
        <f t="shared" si="69"/>
        <v>SAKSHI BIRTHRAY</v>
      </c>
      <c r="F448" s="7" t="s">
        <v>11</v>
      </c>
      <c r="G448" s="22">
        <v>42830</v>
      </c>
      <c r="H448" s="8">
        <v>107650</v>
      </c>
      <c r="I448" s="7" t="str">
        <f t="shared" si="70"/>
        <v>sakshi.birthray@di.biy.ba</v>
      </c>
      <c r="J448" s="6" t="s">
        <v>1532</v>
      </c>
      <c r="K448" s="6">
        <v>64</v>
      </c>
      <c r="L448" s="7" t="str">
        <f t="shared" si="71"/>
        <v>di.biy.ba</v>
      </c>
      <c r="M448" s="7" t="str">
        <f t="shared" si="72"/>
        <v>B.Sakshi</v>
      </c>
      <c r="N448" s="6">
        <f t="shared" si="78"/>
        <v>0</v>
      </c>
      <c r="O448" s="6">
        <f t="shared" si="77"/>
        <v>0</v>
      </c>
      <c r="P448" s="6" t="str">
        <f t="shared" si="73"/>
        <v>N</v>
      </c>
      <c r="Q448" s="6">
        <f t="shared" si="74"/>
        <v>14</v>
      </c>
      <c r="R448" s="6" t="str">
        <f t="shared" si="75"/>
        <v>2017</v>
      </c>
      <c r="S448" s="6" t="str">
        <f t="shared" si="76"/>
        <v>Apr</v>
      </c>
    </row>
    <row r="449" spans="1:19" x14ac:dyDescent="0.25">
      <c r="A449" s="6">
        <v>781</v>
      </c>
      <c r="B449" s="6" t="str">
        <f t="shared" si="68"/>
        <v>NIKDIG00781</v>
      </c>
      <c r="C449" s="7" t="s">
        <v>943</v>
      </c>
      <c r="D449" s="7" t="s">
        <v>140</v>
      </c>
      <c r="E449" s="7" t="str">
        <f t="shared" si="69"/>
        <v>AMIY MISHRA</v>
      </c>
      <c r="F449" s="7" t="s">
        <v>11</v>
      </c>
      <c r="G449" s="22">
        <v>43054</v>
      </c>
      <c r="H449" s="8">
        <v>92738</v>
      </c>
      <c r="I449" s="7" t="str">
        <f t="shared" si="70"/>
        <v>amiy.mishra@di.mia.ba</v>
      </c>
      <c r="J449" s="6" t="s">
        <v>1547</v>
      </c>
      <c r="K449" s="6">
        <v>64</v>
      </c>
      <c r="L449" s="7" t="str">
        <f t="shared" si="71"/>
        <v>di.mia.ba</v>
      </c>
      <c r="M449" s="7" t="str">
        <f t="shared" si="72"/>
        <v>M.Amiy</v>
      </c>
      <c r="N449" s="6">
        <f t="shared" si="78"/>
        <v>0</v>
      </c>
      <c r="O449" s="6">
        <f t="shared" si="77"/>
        <v>0</v>
      </c>
      <c r="P449" s="6" t="str">
        <f t="shared" si="73"/>
        <v>N</v>
      </c>
      <c r="Q449" s="6">
        <f t="shared" si="74"/>
        <v>10</v>
      </c>
      <c r="R449" s="6" t="str">
        <f t="shared" si="75"/>
        <v>2017</v>
      </c>
      <c r="S449" s="6" t="str">
        <f t="shared" si="76"/>
        <v>Nov</v>
      </c>
    </row>
    <row r="450" spans="1:19" x14ac:dyDescent="0.25">
      <c r="A450" s="6">
        <v>792</v>
      </c>
      <c r="B450" s="6" t="str">
        <f t="shared" ref="B450:B513" si="79">_xlfn.TEXTJOIN("",TRUE,"NIK",UPPER(LEFT(SUBSTITUTE(SUBSTITUTE(F450," ",""),"&amp;",""),3)),TEXT(A450,"00000"))</f>
        <v>NIKDIG00792</v>
      </c>
      <c r="C450" s="7" t="s">
        <v>953</v>
      </c>
      <c r="D450" s="7" t="s">
        <v>954</v>
      </c>
      <c r="E450" s="7" t="str">
        <f t="shared" ref="E450:E513" si="80">_xlfn.TEXTJOIN(" ",TRUE,C450,D450)</f>
        <v>PAWAN LAXMIKANT</v>
      </c>
      <c r="F450" s="7" t="s">
        <v>11</v>
      </c>
      <c r="G450" s="22">
        <v>43315</v>
      </c>
      <c r="H450" s="8">
        <v>100776</v>
      </c>
      <c r="I450" s="7" t="str">
        <f t="shared" ref="I450:I513" si="81">LOWER(C450&amp;"."&amp;D450&amp;"@"&amp;LEFT(SUBSTITUTE(F450," ",""),2))&amp;LOWER("."&amp;LEFT(D450,2))&amp;LOWER(RIGHT(D450,1))&amp;".ba"</f>
        <v>pawan.laxmikant@di.lat.ba</v>
      </c>
      <c r="J450" s="6" t="s">
        <v>1540</v>
      </c>
      <c r="K450" s="6">
        <v>44</v>
      </c>
      <c r="L450" s="7" t="str">
        <f t="shared" ref="L450:L513" si="82">RIGHT(I450,LEN(I450)-FIND("@",I450))</f>
        <v>di.lat.ba</v>
      </c>
      <c r="M450" s="7" t="str">
        <f t="shared" ref="M450:M513" si="83">UPPER(LEFT(D450,1))&amp;"."&amp;PROPER(C450)</f>
        <v>L.Pawan</v>
      </c>
      <c r="N450" s="6">
        <f t="shared" si="78"/>
        <v>0</v>
      </c>
      <c r="O450" s="6">
        <f t="shared" si="77"/>
        <v>0</v>
      </c>
      <c r="P450" s="6" t="str">
        <f t="shared" ref="P450:P513" si="84">IF(AND(N450&gt;=1,O450&gt;=1),"Y","N")</f>
        <v>N</v>
      </c>
      <c r="Q450" s="6">
        <f t="shared" ref="Q450:Q513" si="85">LEN(SUBSTITUTE(E450, " ", ""))</f>
        <v>14</v>
      </c>
      <c r="R450" s="6" t="str">
        <f t="shared" ref="R450:R513" si="86">TEXT(G450,"YYYY")</f>
        <v>2018</v>
      </c>
      <c r="S450" s="6" t="str">
        <f t="shared" ref="S450:S513" si="87">TEXT(G450,"MMM")</f>
        <v>Aug</v>
      </c>
    </row>
    <row r="451" spans="1:19" x14ac:dyDescent="0.25">
      <c r="A451" s="6">
        <v>801</v>
      </c>
      <c r="B451" s="6" t="str">
        <f t="shared" si="79"/>
        <v>NIKDIG00801</v>
      </c>
      <c r="C451" s="7" t="s">
        <v>961</v>
      </c>
      <c r="D451" s="7" t="s">
        <v>962</v>
      </c>
      <c r="E451" s="7" t="str">
        <f t="shared" si="80"/>
        <v>PRANALI YATESH</v>
      </c>
      <c r="F451" s="7" t="s">
        <v>11</v>
      </c>
      <c r="G451" s="22">
        <v>42887</v>
      </c>
      <c r="H451" s="8">
        <v>36766</v>
      </c>
      <c r="I451" s="7" t="str">
        <f t="shared" si="81"/>
        <v>pranali.yatesh@di.yah.ba</v>
      </c>
      <c r="J451" s="6" t="s">
        <v>1536</v>
      </c>
      <c r="K451" s="6">
        <v>74</v>
      </c>
      <c r="L451" s="7" t="str">
        <f t="shared" si="82"/>
        <v>di.yah.ba</v>
      </c>
      <c r="M451" s="7" t="str">
        <f t="shared" si="83"/>
        <v>Y.Pranali</v>
      </c>
      <c r="N451" s="6">
        <f t="shared" si="78"/>
        <v>0</v>
      </c>
      <c r="O451" s="6">
        <f t="shared" si="77"/>
        <v>4</v>
      </c>
      <c r="P451" s="6" t="str">
        <f t="shared" si="84"/>
        <v>N</v>
      </c>
      <c r="Q451" s="6">
        <f t="shared" si="85"/>
        <v>13</v>
      </c>
      <c r="R451" s="6" t="str">
        <f t="shared" si="86"/>
        <v>2017</v>
      </c>
      <c r="S451" s="6" t="str">
        <f t="shared" si="87"/>
        <v>Jun</v>
      </c>
    </row>
    <row r="452" spans="1:19" x14ac:dyDescent="0.25">
      <c r="A452" s="6">
        <v>810</v>
      </c>
      <c r="B452" s="6" t="str">
        <f t="shared" si="79"/>
        <v>NIKDIG00810</v>
      </c>
      <c r="C452" s="7" t="s">
        <v>972</v>
      </c>
      <c r="D452" s="7" t="s">
        <v>68</v>
      </c>
      <c r="E452" s="7" t="str">
        <f t="shared" si="80"/>
        <v>SUDHIR KUMAR</v>
      </c>
      <c r="F452" s="7" t="s">
        <v>11</v>
      </c>
      <c r="G452" s="22">
        <v>43444</v>
      </c>
      <c r="H452" s="8">
        <v>84428</v>
      </c>
      <c r="I452" s="7" t="str">
        <f t="shared" si="81"/>
        <v>sudhir.kumar@di.kur.ba</v>
      </c>
      <c r="J452" s="6" t="s">
        <v>1545</v>
      </c>
      <c r="K452" s="6">
        <v>88</v>
      </c>
      <c r="L452" s="7" t="str">
        <f t="shared" si="82"/>
        <v>di.kur.ba</v>
      </c>
      <c r="M452" s="7" t="str">
        <f t="shared" si="83"/>
        <v>K.Sudhir</v>
      </c>
      <c r="N452" s="6">
        <f t="shared" si="78"/>
        <v>0</v>
      </c>
      <c r="O452" s="6">
        <f t="shared" si="77"/>
        <v>0</v>
      </c>
      <c r="P452" s="6" t="str">
        <f t="shared" si="84"/>
        <v>N</v>
      </c>
      <c r="Q452" s="6">
        <f t="shared" si="85"/>
        <v>11</v>
      </c>
      <c r="R452" s="6" t="str">
        <f t="shared" si="86"/>
        <v>2018</v>
      </c>
      <c r="S452" s="6" t="str">
        <f t="shared" si="87"/>
        <v>Dec</v>
      </c>
    </row>
    <row r="453" spans="1:19" x14ac:dyDescent="0.25">
      <c r="A453" s="6">
        <v>814</v>
      </c>
      <c r="B453" s="6" t="str">
        <f t="shared" si="79"/>
        <v>NIKDIG00814</v>
      </c>
      <c r="C453" s="7" t="s">
        <v>977</v>
      </c>
      <c r="D453" s="7" t="s">
        <v>466</v>
      </c>
      <c r="E453" s="7" t="str">
        <f t="shared" si="80"/>
        <v>SINISH B</v>
      </c>
      <c r="F453" s="7" t="s">
        <v>11</v>
      </c>
      <c r="G453" s="22">
        <v>42628</v>
      </c>
      <c r="H453" s="8">
        <v>96946</v>
      </c>
      <c r="I453" s="7" t="str">
        <f t="shared" si="81"/>
        <v>sinish.b@di.bb.ba</v>
      </c>
      <c r="J453" s="6" t="s">
        <v>1533</v>
      </c>
      <c r="K453" s="6">
        <v>58</v>
      </c>
      <c r="L453" s="7" t="str">
        <f t="shared" si="82"/>
        <v>di.bb.ba</v>
      </c>
      <c r="M453" s="7" t="str">
        <f t="shared" si="83"/>
        <v>B.Sinish</v>
      </c>
      <c r="N453" s="6">
        <f t="shared" si="78"/>
        <v>0</v>
      </c>
      <c r="O453" s="6">
        <f t="shared" si="77"/>
        <v>0</v>
      </c>
      <c r="P453" s="6" t="str">
        <f t="shared" si="84"/>
        <v>N</v>
      </c>
      <c r="Q453" s="6">
        <f t="shared" si="85"/>
        <v>7</v>
      </c>
      <c r="R453" s="6" t="str">
        <f t="shared" si="86"/>
        <v>2016</v>
      </c>
      <c r="S453" s="6" t="str">
        <f t="shared" si="87"/>
        <v>Sep</v>
      </c>
    </row>
    <row r="454" spans="1:19" x14ac:dyDescent="0.25">
      <c r="A454" s="6">
        <v>826</v>
      </c>
      <c r="B454" s="6" t="str">
        <f t="shared" si="79"/>
        <v>NIKDIG00826</v>
      </c>
      <c r="C454" s="7" t="s">
        <v>86</v>
      </c>
      <c r="D454" s="7" t="s">
        <v>818</v>
      </c>
      <c r="E454" s="7" t="str">
        <f t="shared" si="80"/>
        <v>MANISH RATHORE</v>
      </c>
      <c r="F454" s="7" t="s">
        <v>11</v>
      </c>
      <c r="G454" s="22">
        <v>42230</v>
      </c>
      <c r="H454" s="8">
        <v>69545</v>
      </c>
      <c r="I454" s="7" t="str">
        <f t="shared" si="81"/>
        <v>manish.rathore@di.rae.ba</v>
      </c>
      <c r="J454" s="6" t="s">
        <v>1532</v>
      </c>
      <c r="K454" s="6">
        <v>90</v>
      </c>
      <c r="L454" s="7" t="str">
        <f t="shared" si="82"/>
        <v>di.rae.ba</v>
      </c>
      <c r="M454" s="7" t="str">
        <f t="shared" si="83"/>
        <v>R.Manish</v>
      </c>
      <c r="N454" s="6">
        <f t="shared" si="78"/>
        <v>0</v>
      </c>
      <c r="O454" s="6">
        <f t="shared" si="77"/>
        <v>7</v>
      </c>
      <c r="P454" s="6" t="str">
        <f t="shared" si="84"/>
        <v>N</v>
      </c>
      <c r="Q454" s="6">
        <f t="shared" si="85"/>
        <v>13</v>
      </c>
      <c r="R454" s="6" t="str">
        <f t="shared" si="86"/>
        <v>2015</v>
      </c>
      <c r="S454" s="6" t="str">
        <f t="shared" si="87"/>
        <v>Aug</v>
      </c>
    </row>
    <row r="455" spans="1:19" x14ac:dyDescent="0.25">
      <c r="A455" s="6">
        <v>854</v>
      </c>
      <c r="B455" s="6" t="str">
        <f t="shared" si="79"/>
        <v>NIKDIG00854</v>
      </c>
      <c r="C455" s="7" t="s">
        <v>119</v>
      </c>
      <c r="D455" s="7" t="s">
        <v>209</v>
      </c>
      <c r="E455" s="7" t="str">
        <f t="shared" si="80"/>
        <v>VIDHI GAURAV</v>
      </c>
      <c r="F455" s="7" t="s">
        <v>11</v>
      </c>
      <c r="G455" s="22">
        <v>43559</v>
      </c>
      <c r="H455" s="8">
        <v>70073</v>
      </c>
      <c r="I455" s="7" t="str">
        <f t="shared" si="81"/>
        <v>vidhi.gaurav@di.gav.ba</v>
      </c>
      <c r="J455" s="6" t="s">
        <v>1545</v>
      </c>
      <c r="K455" s="6">
        <v>47</v>
      </c>
      <c r="L455" s="7" t="str">
        <f t="shared" si="82"/>
        <v>di.gav.ba</v>
      </c>
      <c r="M455" s="7" t="str">
        <f t="shared" si="83"/>
        <v>G.Vidhi</v>
      </c>
      <c r="N455" s="6">
        <f t="shared" si="78"/>
        <v>0</v>
      </c>
      <c r="O455" s="6">
        <f t="shared" si="77"/>
        <v>0</v>
      </c>
      <c r="P455" s="6" t="str">
        <f t="shared" si="84"/>
        <v>N</v>
      </c>
      <c r="Q455" s="6">
        <f t="shared" si="85"/>
        <v>11</v>
      </c>
      <c r="R455" s="6" t="str">
        <f t="shared" si="86"/>
        <v>2019</v>
      </c>
      <c r="S455" s="6" t="str">
        <f t="shared" si="87"/>
        <v>Apr</v>
      </c>
    </row>
    <row r="456" spans="1:19" x14ac:dyDescent="0.25">
      <c r="A456" s="6">
        <v>864</v>
      </c>
      <c r="B456" s="6" t="str">
        <f t="shared" si="79"/>
        <v>NIKDIG00864</v>
      </c>
      <c r="C456" s="7" t="s">
        <v>1011</v>
      </c>
      <c r="D456" s="7" t="s">
        <v>1012</v>
      </c>
      <c r="E456" s="7" t="str">
        <f t="shared" si="80"/>
        <v>IMRAN AFZAL</v>
      </c>
      <c r="F456" s="7" t="s">
        <v>11</v>
      </c>
      <c r="G456" s="22">
        <v>43295</v>
      </c>
      <c r="H456" s="8">
        <v>101642</v>
      </c>
      <c r="I456" s="7" t="str">
        <f t="shared" si="81"/>
        <v>imran.afzal@di.afl.ba</v>
      </c>
      <c r="J456" s="6" t="s">
        <v>1548</v>
      </c>
      <c r="K456" s="6">
        <v>61</v>
      </c>
      <c r="L456" s="7" t="str">
        <f t="shared" si="82"/>
        <v>di.afl.ba</v>
      </c>
      <c r="M456" s="7" t="str">
        <f t="shared" si="83"/>
        <v>A.Imran</v>
      </c>
      <c r="N456" s="6">
        <f t="shared" si="78"/>
        <v>0</v>
      </c>
      <c r="O456" s="6">
        <f t="shared" si="77"/>
        <v>0</v>
      </c>
      <c r="P456" s="6" t="str">
        <f t="shared" si="84"/>
        <v>N</v>
      </c>
      <c r="Q456" s="6">
        <f t="shared" si="85"/>
        <v>10</v>
      </c>
      <c r="R456" s="6" t="str">
        <f t="shared" si="86"/>
        <v>2018</v>
      </c>
      <c r="S456" s="6" t="str">
        <f t="shared" si="87"/>
        <v>Jul</v>
      </c>
    </row>
    <row r="457" spans="1:19" x14ac:dyDescent="0.25">
      <c r="A457" s="6">
        <v>866</v>
      </c>
      <c r="B457" s="6" t="str">
        <f t="shared" si="79"/>
        <v>NIKDIG00866</v>
      </c>
      <c r="C457" s="7" t="s">
        <v>1013</v>
      </c>
      <c r="D457" s="7" t="s">
        <v>539</v>
      </c>
      <c r="E457" s="7" t="str">
        <f t="shared" si="80"/>
        <v>AAKRITI TOMAR</v>
      </c>
      <c r="F457" s="7" t="s">
        <v>11</v>
      </c>
      <c r="G457" s="22">
        <v>43383</v>
      </c>
      <c r="H457" s="8">
        <v>25325</v>
      </c>
      <c r="I457" s="7" t="str">
        <f t="shared" si="81"/>
        <v>aakriti.tomar@di.tor.ba</v>
      </c>
      <c r="J457" s="6" t="s">
        <v>1548</v>
      </c>
      <c r="K457" s="6">
        <v>62</v>
      </c>
      <c r="L457" s="7" t="str">
        <f t="shared" si="82"/>
        <v>di.tor.ba</v>
      </c>
      <c r="M457" s="7" t="str">
        <f t="shared" si="83"/>
        <v>T.Aakriti</v>
      </c>
      <c r="N457" s="6">
        <f t="shared" si="78"/>
        <v>0</v>
      </c>
      <c r="O457" s="6">
        <f t="shared" si="77"/>
        <v>0</v>
      </c>
      <c r="P457" s="6" t="str">
        <f t="shared" si="84"/>
        <v>N</v>
      </c>
      <c r="Q457" s="6">
        <f t="shared" si="85"/>
        <v>12</v>
      </c>
      <c r="R457" s="6" t="str">
        <f t="shared" si="86"/>
        <v>2018</v>
      </c>
      <c r="S457" s="6" t="str">
        <f t="shared" si="87"/>
        <v>Oct</v>
      </c>
    </row>
    <row r="458" spans="1:19" x14ac:dyDescent="0.25">
      <c r="A458" s="6">
        <v>871</v>
      </c>
      <c r="B458" s="6" t="str">
        <f t="shared" si="79"/>
        <v>NIKDIG00871</v>
      </c>
      <c r="C458" s="7" t="s">
        <v>581</v>
      </c>
      <c r="D458" s="7" t="s">
        <v>70</v>
      </c>
      <c r="E458" s="7" t="str">
        <f t="shared" si="80"/>
        <v>MANDEEP SINGH</v>
      </c>
      <c r="F458" s="7" t="s">
        <v>11</v>
      </c>
      <c r="G458" s="22">
        <v>42198</v>
      </c>
      <c r="H458" s="8">
        <v>71748</v>
      </c>
      <c r="I458" s="7" t="str">
        <f t="shared" si="81"/>
        <v>mandeep.singh@di.sih.ba</v>
      </c>
      <c r="J458" s="6" t="s">
        <v>1532</v>
      </c>
      <c r="K458" s="6">
        <v>45</v>
      </c>
      <c r="L458" s="7" t="str">
        <f t="shared" si="82"/>
        <v>di.sih.ba</v>
      </c>
      <c r="M458" s="7" t="str">
        <f t="shared" si="83"/>
        <v>S.Mandeep</v>
      </c>
      <c r="N458" s="6">
        <f t="shared" si="78"/>
        <v>5</v>
      </c>
      <c r="O458" s="6">
        <f t="shared" si="77"/>
        <v>0</v>
      </c>
      <c r="P458" s="6" t="str">
        <f t="shared" si="84"/>
        <v>N</v>
      </c>
      <c r="Q458" s="6">
        <f t="shared" si="85"/>
        <v>12</v>
      </c>
      <c r="R458" s="6" t="str">
        <f t="shared" si="86"/>
        <v>2015</v>
      </c>
      <c r="S458" s="6" t="str">
        <f t="shared" si="87"/>
        <v>Jul</v>
      </c>
    </row>
    <row r="459" spans="1:19" x14ac:dyDescent="0.25">
      <c r="A459" s="6">
        <v>872</v>
      </c>
      <c r="B459" s="6" t="str">
        <f t="shared" si="79"/>
        <v>NIKDIG00872</v>
      </c>
      <c r="C459" s="7" t="s">
        <v>202</v>
      </c>
      <c r="D459" s="7" t="s">
        <v>1017</v>
      </c>
      <c r="E459" s="7" t="str">
        <f t="shared" si="80"/>
        <v>MONA MAKADIYA</v>
      </c>
      <c r="F459" s="7" t="s">
        <v>11</v>
      </c>
      <c r="G459" s="22">
        <v>43481</v>
      </c>
      <c r="H459" s="8">
        <v>101465</v>
      </c>
      <c r="I459" s="7" t="str">
        <f t="shared" si="81"/>
        <v>mona.makadiya@di.maa.ba</v>
      </c>
      <c r="J459" s="6" t="s">
        <v>1540</v>
      </c>
      <c r="K459" s="6">
        <v>56</v>
      </c>
      <c r="L459" s="7" t="str">
        <f t="shared" si="82"/>
        <v>di.maa.ba</v>
      </c>
      <c r="M459" s="7" t="str">
        <f t="shared" si="83"/>
        <v>M.Mona</v>
      </c>
      <c r="N459" s="6">
        <f t="shared" si="78"/>
        <v>0</v>
      </c>
      <c r="O459" s="6">
        <f t="shared" si="77"/>
        <v>0</v>
      </c>
      <c r="P459" s="6" t="str">
        <f t="shared" si="84"/>
        <v>N</v>
      </c>
      <c r="Q459" s="6">
        <f t="shared" si="85"/>
        <v>12</v>
      </c>
      <c r="R459" s="6" t="str">
        <f t="shared" si="86"/>
        <v>2019</v>
      </c>
      <c r="S459" s="6" t="str">
        <f t="shared" si="87"/>
        <v>Jan</v>
      </c>
    </row>
    <row r="460" spans="1:19" x14ac:dyDescent="0.25">
      <c r="A460" s="6">
        <v>895</v>
      </c>
      <c r="B460" s="6" t="str">
        <f t="shared" si="79"/>
        <v>NIKDIG00895</v>
      </c>
      <c r="C460" s="7" t="s">
        <v>130</v>
      </c>
      <c r="D460" s="7" t="s">
        <v>70</v>
      </c>
      <c r="E460" s="7" t="str">
        <f t="shared" si="80"/>
        <v>DIKSHA SINGH</v>
      </c>
      <c r="F460" s="7" t="s">
        <v>11</v>
      </c>
      <c r="G460" s="22">
        <v>43801</v>
      </c>
      <c r="H460" s="8">
        <v>35855</v>
      </c>
      <c r="I460" s="7" t="str">
        <f t="shared" si="81"/>
        <v>diksha.singh@di.sih.ba</v>
      </c>
      <c r="J460" s="6" t="s">
        <v>1544</v>
      </c>
      <c r="K460" s="6">
        <v>85</v>
      </c>
      <c r="L460" s="7" t="str">
        <f t="shared" si="82"/>
        <v>di.sih.ba</v>
      </c>
      <c r="M460" s="7" t="str">
        <f t="shared" si="83"/>
        <v>S.Diksha</v>
      </c>
      <c r="N460" s="6">
        <f t="shared" si="78"/>
        <v>0</v>
      </c>
      <c r="O460" s="6">
        <f t="shared" si="77"/>
        <v>0</v>
      </c>
      <c r="P460" s="6" t="str">
        <f t="shared" si="84"/>
        <v>N</v>
      </c>
      <c r="Q460" s="6">
        <f t="shared" si="85"/>
        <v>11</v>
      </c>
      <c r="R460" s="6" t="str">
        <f t="shared" si="86"/>
        <v>2019</v>
      </c>
      <c r="S460" s="6" t="str">
        <f t="shared" si="87"/>
        <v>Dec</v>
      </c>
    </row>
    <row r="461" spans="1:19" x14ac:dyDescent="0.25">
      <c r="A461" s="6">
        <v>910</v>
      </c>
      <c r="B461" s="6" t="str">
        <f t="shared" si="79"/>
        <v>NIKDIG00910</v>
      </c>
      <c r="C461" s="7" t="s">
        <v>1051</v>
      </c>
      <c r="D461" s="7" t="s">
        <v>1052</v>
      </c>
      <c r="E461" s="7" t="str">
        <f t="shared" si="80"/>
        <v>MARIAL JOSE</v>
      </c>
      <c r="F461" s="7" t="s">
        <v>11</v>
      </c>
      <c r="G461" s="22">
        <v>43199</v>
      </c>
      <c r="H461" s="8">
        <v>40268</v>
      </c>
      <c r="I461" s="7" t="str">
        <f t="shared" si="81"/>
        <v>marial.jose@di.joe.ba</v>
      </c>
      <c r="J461" s="6" t="s">
        <v>1533</v>
      </c>
      <c r="K461" s="6">
        <v>89</v>
      </c>
      <c r="L461" s="7" t="str">
        <f t="shared" si="82"/>
        <v>di.joe.ba</v>
      </c>
      <c r="M461" s="7" t="str">
        <f t="shared" si="83"/>
        <v>J.Marial</v>
      </c>
      <c r="N461" s="6">
        <f t="shared" si="78"/>
        <v>0</v>
      </c>
      <c r="O461" s="6">
        <f t="shared" si="77"/>
        <v>4</v>
      </c>
      <c r="P461" s="6" t="str">
        <f t="shared" si="84"/>
        <v>N</v>
      </c>
      <c r="Q461" s="6">
        <f t="shared" si="85"/>
        <v>10</v>
      </c>
      <c r="R461" s="6" t="str">
        <f t="shared" si="86"/>
        <v>2018</v>
      </c>
      <c r="S461" s="6" t="str">
        <f t="shared" si="87"/>
        <v>Apr</v>
      </c>
    </row>
    <row r="462" spans="1:19" x14ac:dyDescent="0.25">
      <c r="A462" s="6">
        <v>937</v>
      </c>
      <c r="B462" s="6" t="str">
        <f t="shared" si="79"/>
        <v>NIKDIG00937</v>
      </c>
      <c r="C462" s="7" t="s">
        <v>1073</v>
      </c>
      <c r="D462" s="7" t="s">
        <v>498</v>
      </c>
      <c r="E462" s="7" t="str">
        <f t="shared" si="80"/>
        <v>LOVEPREET KAUR</v>
      </c>
      <c r="F462" s="7" t="s">
        <v>11</v>
      </c>
      <c r="G462" s="22">
        <v>43808</v>
      </c>
      <c r="H462" s="8">
        <v>39314</v>
      </c>
      <c r="I462" s="7" t="str">
        <f t="shared" si="81"/>
        <v>lovepreet.kaur@di.kar.ba</v>
      </c>
      <c r="J462" s="6" t="s">
        <v>1547</v>
      </c>
      <c r="K462" s="6">
        <v>54</v>
      </c>
      <c r="L462" s="7" t="str">
        <f t="shared" si="82"/>
        <v>di.kar.ba</v>
      </c>
      <c r="M462" s="7" t="str">
        <f t="shared" si="83"/>
        <v>K.Lovepreet</v>
      </c>
      <c r="N462" s="6">
        <f t="shared" si="78"/>
        <v>4</v>
      </c>
      <c r="O462" s="6">
        <f t="shared" si="77"/>
        <v>0</v>
      </c>
      <c r="P462" s="6" t="str">
        <f t="shared" si="84"/>
        <v>N</v>
      </c>
      <c r="Q462" s="6">
        <f t="shared" si="85"/>
        <v>13</v>
      </c>
      <c r="R462" s="6" t="str">
        <f t="shared" si="86"/>
        <v>2019</v>
      </c>
      <c r="S462" s="6" t="str">
        <f t="shared" si="87"/>
        <v>Dec</v>
      </c>
    </row>
    <row r="463" spans="1:19" x14ac:dyDescent="0.25">
      <c r="A463" s="6">
        <v>941</v>
      </c>
      <c r="B463" s="6" t="str">
        <f t="shared" si="79"/>
        <v>NIKDIG00941</v>
      </c>
      <c r="C463" s="7" t="s">
        <v>1075</v>
      </c>
      <c r="D463" s="7" t="s">
        <v>1076</v>
      </c>
      <c r="E463" s="7" t="str">
        <f t="shared" si="80"/>
        <v>GRISHMA AJAYKUMAR</v>
      </c>
      <c r="F463" s="7" t="s">
        <v>11</v>
      </c>
      <c r="G463" s="22">
        <v>42485</v>
      </c>
      <c r="H463" s="8">
        <v>36802</v>
      </c>
      <c r="I463" s="7" t="str">
        <f t="shared" si="81"/>
        <v>grishma.ajaykumar@di.ajr.ba</v>
      </c>
      <c r="J463" s="6" t="s">
        <v>1535</v>
      </c>
      <c r="K463" s="6">
        <v>88</v>
      </c>
      <c r="L463" s="7" t="str">
        <f t="shared" si="82"/>
        <v>di.ajr.ba</v>
      </c>
      <c r="M463" s="7" t="str">
        <f t="shared" si="83"/>
        <v>A.Grishma</v>
      </c>
      <c r="N463" s="6">
        <f t="shared" si="78"/>
        <v>0</v>
      </c>
      <c r="O463" s="6">
        <f t="shared" si="77"/>
        <v>0</v>
      </c>
      <c r="P463" s="6" t="str">
        <f t="shared" si="84"/>
        <v>N</v>
      </c>
      <c r="Q463" s="6">
        <f t="shared" si="85"/>
        <v>16</v>
      </c>
      <c r="R463" s="6" t="str">
        <f t="shared" si="86"/>
        <v>2016</v>
      </c>
      <c r="S463" s="6" t="str">
        <f t="shared" si="87"/>
        <v>Apr</v>
      </c>
    </row>
    <row r="464" spans="1:19" x14ac:dyDescent="0.25">
      <c r="A464" s="6">
        <v>945</v>
      </c>
      <c r="B464" s="6" t="str">
        <f t="shared" si="79"/>
        <v>NIKDIG00945</v>
      </c>
      <c r="C464" s="7" t="s">
        <v>558</v>
      </c>
      <c r="D464" s="7" t="s">
        <v>110</v>
      </c>
      <c r="E464" s="7" t="str">
        <f t="shared" si="80"/>
        <v>PRIYA ROY</v>
      </c>
      <c r="F464" s="7" t="s">
        <v>11</v>
      </c>
      <c r="G464" s="22">
        <v>43836</v>
      </c>
      <c r="H464" s="8">
        <v>65051</v>
      </c>
      <c r="I464" s="7" t="str">
        <f t="shared" si="81"/>
        <v>priya.roy@di.roy.ba</v>
      </c>
      <c r="J464" s="6" t="s">
        <v>1538</v>
      </c>
      <c r="K464" s="6">
        <v>42</v>
      </c>
      <c r="L464" s="7" t="str">
        <f t="shared" si="82"/>
        <v>di.roy.ba</v>
      </c>
      <c r="M464" s="7" t="str">
        <f t="shared" si="83"/>
        <v>R.Priya</v>
      </c>
      <c r="N464" s="6">
        <f t="shared" si="78"/>
        <v>0</v>
      </c>
      <c r="O464" s="6">
        <f t="shared" si="77"/>
        <v>0</v>
      </c>
      <c r="P464" s="6" t="str">
        <f t="shared" si="84"/>
        <v>N</v>
      </c>
      <c r="Q464" s="6">
        <f t="shared" si="85"/>
        <v>8</v>
      </c>
      <c r="R464" s="6" t="str">
        <f t="shared" si="86"/>
        <v>2020</v>
      </c>
      <c r="S464" s="6" t="str">
        <f t="shared" si="87"/>
        <v>Jan</v>
      </c>
    </row>
    <row r="465" spans="1:19" x14ac:dyDescent="0.25">
      <c r="A465" s="6">
        <v>971</v>
      </c>
      <c r="B465" s="6" t="str">
        <f t="shared" si="79"/>
        <v>NIKDIG00971</v>
      </c>
      <c r="C465" s="7" t="s">
        <v>1100</v>
      </c>
      <c r="D465" s="7" t="s">
        <v>95</v>
      </c>
      <c r="E465" s="7" t="str">
        <f t="shared" si="80"/>
        <v>VIPULA JOSHI</v>
      </c>
      <c r="F465" s="7" t="s">
        <v>11</v>
      </c>
      <c r="G465" s="22">
        <v>43895</v>
      </c>
      <c r="H465" s="8">
        <v>76282</v>
      </c>
      <c r="I465" s="7" t="str">
        <f t="shared" si="81"/>
        <v>vipula.joshi@di.joi.ba</v>
      </c>
      <c r="J465" s="6" t="s">
        <v>1537</v>
      </c>
      <c r="K465" s="6">
        <v>89</v>
      </c>
      <c r="L465" s="7" t="str">
        <f t="shared" si="82"/>
        <v>di.joi.ba</v>
      </c>
      <c r="M465" s="7" t="str">
        <f t="shared" si="83"/>
        <v>J.Vipula</v>
      </c>
      <c r="N465" s="6">
        <f t="shared" si="78"/>
        <v>0</v>
      </c>
      <c r="O465" s="6">
        <f t="shared" si="77"/>
        <v>0</v>
      </c>
      <c r="P465" s="6" t="str">
        <f t="shared" si="84"/>
        <v>N</v>
      </c>
      <c r="Q465" s="6">
        <f t="shared" si="85"/>
        <v>11</v>
      </c>
      <c r="R465" s="6" t="str">
        <f t="shared" si="86"/>
        <v>2020</v>
      </c>
      <c r="S465" s="6" t="str">
        <f t="shared" si="87"/>
        <v>Mar</v>
      </c>
    </row>
    <row r="466" spans="1:19" x14ac:dyDescent="0.25">
      <c r="A466" s="6">
        <v>989</v>
      </c>
      <c r="B466" s="6" t="str">
        <f t="shared" si="79"/>
        <v>NIKDIG00989</v>
      </c>
      <c r="C466" s="7" t="s">
        <v>307</v>
      </c>
      <c r="D466" s="7" t="s">
        <v>156</v>
      </c>
      <c r="E466" s="7" t="str">
        <f t="shared" si="80"/>
        <v>HEMANT R</v>
      </c>
      <c r="F466" s="7" t="s">
        <v>11</v>
      </c>
      <c r="G466" s="22">
        <v>42837</v>
      </c>
      <c r="H466" s="8">
        <v>102914</v>
      </c>
      <c r="I466" s="7" t="str">
        <f t="shared" si="81"/>
        <v>hemant.r@di.rr.ba</v>
      </c>
      <c r="J466" s="6" t="s">
        <v>1544</v>
      </c>
      <c r="K466" s="6">
        <v>63</v>
      </c>
      <c r="L466" s="7" t="str">
        <f t="shared" si="82"/>
        <v>di.rr.ba</v>
      </c>
      <c r="M466" s="7" t="str">
        <f t="shared" si="83"/>
        <v>R.Hemant</v>
      </c>
      <c r="N466" s="6">
        <f t="shared" si="78"/>
        <v>2</v>
      </c>
      <c r="O466" s="6">
        <f t="shared" si="77"/>
        <v>0</v>
      </c>
      <c r="P466" s="6" t="str">
        <f t="shared" si="84"/>
        <v>N</v>
      </c>
      <c r="Q466" s="6">
        <f t="shared" si="85"/>
        <v>7</v>
      </c>
      <c r="R466" s="6" t="str">
        <f t="shared" si="86"/>
        <v>2017</v>
      </c>
      <c r="S466" s="6" t="str">
        <f t="shared" si="87"/>
        <v>Apr</v>
      </c>
    </row>
    <row r="467" spans="1:19" x14ac:dyDescent="0.25">
      <c r="A467" s="6">
        <v>994</v>
      </c>
      <c r="B467" s="6" t="str">
        <f t="shared" si="79"/>
        <v>NIKDIG00994</v>
      </c>
      <c r="C467" s="7" t="s">
        <v>1120</v>
      </c>
      <c r="D467" s="7" t="s">
        <v>1121</v>
      </c>
      <c r="E467" s="7" t="str">
        <f t="shared" si="80"/>
        <v>DEEPRAJ FATHRODE</v>
      </c>
      <c r="F467" s="7" t="s">
        <v>11</v>
      </c>
      <c r="G467" s="22">
        <v>43710</v>
      </c>
      <c r="H467" s="8">
        <v>32794</v>
      </c>
      <c r="I467" s="7" t="str">
        <f t="shared" si="81"/>
        <v>deepraj.fathrode@di.fae.ba</v>
      </c>
      <c r="J467" s="6" t="s">
        <v>1534</v>
      </c>
      <c r="K467" s="6">
        <v>36</v>
      </c>
      <c r="L467" s="7" t="str">
        <f t="shared" si="82"/>
        <v>di.fae.ba</v>
      </c>
      <c r="M467" s="7" t="str">
        <f t="shared" si="83"/>
        <v>F.Deepraj</v>
      </c>
      <c r="N467" s="6">
        <f t="shared" si="78"/>
        <v>2</v>
      </c>
      <c r="O467" s="6">
        <f t="shared" si="77"/>
        <v>8</v>
      </c>
      <c r="P467" s="6" t="str">
        <f t="shared" si="84"/>
        <v>Y</v>
      </c>
      <c r="Q467" s="6">
        <f t="shared" si="85"/>
        <v>15</v>
      </c>
      <c r="R467" s="6" t="str">
        <f t="shared" si="86"/>
        <v>2019</v>
      </c>
      <c r="S467" s="6" t="str">
        <f t="shared" si="87"/>
        <v>Sep</v>
      </c>
    </row>
    <row r="468" spans="1:19" x14ac:dyDescent="0.25">
      <c r="A468" s="6">
        <v>1014</v>
      </c>
      <c r="B468" s="6" t="str">
        <f t="shared" si="79"/>
        <v>NIKDIG01014</v>
      </c>
      <c r="C468" s="7" t="s">
        <v>166</v>
      </c>
      <c r="D468" s="7" t="s">
        <v>1144</v>
      </c>
      <c r="E468" s="7" t="str">
        <f t="shared" si="80"/>
        <v>NEHA KATYAL</v>
      </c>
      <c r="F468" s="7" t="s">
        <v>11</v>
      </c>
      <c r="G468" s="22">
        <v>44270</v>
      </c>
      <c r="H468" s="8">
        <v>65420</v>
      </c>
      <c r="I468" s="7" t="str">
        <f t="shared" si="81"/>
        <v>neha.katyal@di.kal.ba</v>
      </c>
      <c r="J468" s="6" t="s">
        <v>1546</v>
      </c>
      <c r="K468" s="6">
        <v>55</v>
      </c>
      <c r="L468" s="7" t="str">
        <f t="shared" si="82"/>
        <v>di.kal.ba</v>
      </c>
      <c r="M468" s="7" t="str">
        <f t="shared" si="83"/>
        <v>K.Neha</v>
      </c>
      <c r="N468" s="6">
        <f t="shared" si="78"/>
        <v>2</v>
      </c>
      <c r="O468" s="6">
        <f t="shared" si="77"/>
        <v>0</v>
      </c>
      <c r="P468" s="6" t="str">
        <f t="shared" si="84"/>
        <v>N</v>
      </c>
      <c r="Q468" s="6">
        <f t="shared" si="85"/>
        <v>10</v>
      </c>
      <c r="R468" s="6" t="str">
        <f t="shared" si="86"/>
        <v>2021</v>
      </c>
      <c r="S468" s="6" t="str">
        <f t="shared" si="87"/>
        <v>Mar</v>
      </c>
    </row>
    <row r="469" spans="1:19" x14ac:dyDescent="0.25">
      <c r="A469" s="6">
        <v>1029</v>
      </c>
      <c r="B469" s="6" t="str">
        <f t="shared" si="79"/>
        <v>NIKDIG01029</v>
      </c>
      <c r="C469" s="7" t="s">
        <v>1152</v>
      </c>
      <c r="D469" s="7" t="s">
        <v>289</v>
      </c>
      <c r="E469" s="7" t="str">
        <f t="shared" si="80"/>
        <v>PRERIT PRAVIN</v>
      </c>
      <c r="F469" s="7" t="s">
        <v>11</v>
      </c>
      <c r="G469" s="22">
        <v>43525</v>
      </c>
      <c r="H469" s="8">
        <v>27407</v>
      </c>
      <c r="I469" s="7" t="str">
        <f t="shared" si="81"/>
        <v>prerit.pravin@di.prn.ba</v>
      </c>
      <c r="J469" s="6" t="s">
        <v>1549</v>
      </c>
      <c r="K469" s="6">
        <v>55</v>
      </c>
      <c r="L469" s="7" t="str">
        <f t="shared" si="82"/>
        <v>di.prn.ba</v>
      </c>
      <c r="M469" s="7" t="str">
        <f t="shared" si="83"/>
        <v>P.Prerit</v>
      </c>
      <c r="N469" s="6">
        <f t="shared" si="78"/>
        <v>3</v>
      </c>
      <c r="O469" s="6">
        <f t="shared" si="77"/>
        <v>0</v>
      </c>
      <c r="P469" s="6" t="str">
        <f t="shared" si="84"/>
        <v>N</v>
      </c>
      <c r="Q469" s="6">
        <f t="shared" si="85"/>
        <v>12</v>
      </c>
      <c r="R469" s="6" t="str">
        <f t="shared" si="86"/>
        <v>2019</v>
      </c>
      <c r="S469" s="6" t="str">
        <f t="shared" si="87"/>
        <v>Mar</v>
      </c>
    </row>
    <row r="470" spans="1:19" x14ac:dyDescent="0.25">
      <c r="A470" s="6">
        <v>1030</v>
      </c>
      <c r="B470" s="6" t="str">
        <f t="shared" si="79"/>
        <v>NIKDIG01030</v>
      </c>
      <c r="C470" s="7" t="s">
        <v>1153</v>
      </c>
      <c r="D470" s="7" t="s">
        <v>179</v>
      </c>
      <c r="E470" s="7" t="str">
        <f t="shared" si="80"/>
        <v>JIMI GUPTA</v>
      </c>
      <c r="F470" s="7" t="s">
        <v>11</v>
      </c>
      <c r="G470" s="22">
        <v>44301</v>
      </c>
      <c r="H470" s="8">
        <v>101356</v>
      </c>
      <c r="I470" s="7" t="str">
        <f t="shared" si="81"/>
        <v>jimi.gupta@di.gua.ba</v>
      </c>
      <c r="J470" s="6" t="s">
        <v>1541</v>
      </c>
      <c r="K470" s="6">
        <v>38</v>
      </c>
      <c r="L470" s="7" t="str">
        <f t="shared" si="82"/>
        <v>di.gua.ba</v>
      </c>
      <c r="M470" s="7" t="str">
        <f t="shared" si="83"/>
        <v>G.Jimi</v>
      </c>
      <c r="N470" s="6">
        <f t="shared" si="78"/>
        <v>0</v>
      </c>
      <c r="O470" s="6">
        <f t="shared" si="77"/>
        <v>0</v>
      </c>
      <c r="P470" s="6" t="str">
        <f t="shared" si="84"/>
        <v>N</v>
      </c>
      <c r="Q470" s="6">
        <f t="shared" si="85"/>
        <v>9</v>
      </c>
      <c r="R470" s="6" t="str">
        <f t="shared" si="86"/>
        <v>2021</v>
      </c>
      <c r="S470" s="6" t="str">
        <f t="shared" si="87"/>
        <v>Apr</v>
      </c>
    </row>
    <row r="471" spans="1:19" x14ac:dyDescent="0.25">
      <c r="A471" s="6">
        <v>1033</v>
      </c>
      <c r="B471" s="6" t="str">
        <f t="shared" si="79"/>
        <v>NIKDIG01033</v>
      </c>
      <c r="C471" s="7" t="s">
        <v>29</v>
      </c>
      <c r="D471" s="7" t="s">
        <v>179</v>
      </c>
      <c r="E471" s="7" t="str">
        <f t="shared" si="80"/>
        <v>ANU GUPTA</v>
      </c>
      <c r="F471" s="7" t="s">
        <v>11</v>
      </c>
      <c r="G471" s="22">
        <v>43601</v>
      </c>
      <c r="H471" s="8">
        <v>64149</v>
      </c>
      <c r="I471" s="7" t="str">
        <f t="shared" si="81"/>
        <v>anu.gupta@di.gua.ba</v>
      </c>
      <c r="J471" s="6" t="s">
        <v>1535</v>
      </c>
      <c r="K471" s="6">
        <v>36</v>
      </c>
      <c r="L471" s="7" t="str">
        <f t="shared" si="82"/>
        <v>di.gua.ba</v>
      </c>
      <c r="M471" s="7" t="str">
        <f t="shared" si="83"/>
        <v>G.Anu</v>
      </c>
      <c r="N471" s="6">
        <f t="shared" si="78"/>
        <v>0</v>
      </c>
      <c r="O471" s="6">
        <f t="shared" si="77"/>
        <v>0</v>
      </c>
      <c r="P471" s="6" t="str">
        <f t="shared" si="84"/>
        <v>N</v>
      </c>
      <c r="Q471" s="6">
        <f t="shared" si="85"/>
        <v>8</v>
      </c>
      <c r="R471" s="6" t="str">
        <f t="shared" si="86"/>
        <v>2019</v>
      </c>
      <c r="S471" s="6" t="str">
        <f t="shared" si="87"/>
        <v>May</v>
      </c>
    </row>
    <row r="472" spans="1:19" x14ac:dyDescent="0.25">
      <c r="A472" s="6">
        <v>1034</v>
      </c>
      <c r="B472" s="6" t="str">
        <f t="shared" si="79"/>
        <v>NIKDIG01034</v>
      </c>
      <c r="C472" s="7" t="s">
        <v>1154</v>
      </c>
      <c r="D472" s="7" t="s">
        <v>70</v>
      </c>
      <c r="E472" s="7" t="str">
        <f t="shared" si="80"/>
        <v>HARINDER SINGH</v>
      </c>
      <c r="F472" s="7" t="s">
        <v>11</v>
      </c>
      <c r="G472" s="22">
        <v>41890</v>
      </c>
      <c r="H472" s="8">
        <v>27273</v>
      </c>
      <c r="I472" s="7" t="str">
        <f t="shared" si="81"/>
        <v>harinder.singh@di.sih.ba</v>
      </c>
      <c r="J472" s="6" t="s">
        <v>1537</v>
      </c>
      <c r="K472" s="6">
        <v>75</v>
      </c>
      <c r="L472" s="7" t="str">
        <f t="shared" si="82"/>
        <v>di.sih.ba</v>
      </c>
      <c r="M472" s="7" t="str">
        <f t="shared" si="83"/>
        <v>S.Harinder</v>
      </c>
      <c r="N472" s="6">
        <f t="shared" si="78"/>
        <v>7</v>
      </c>
      <c r="O472" s="6">
        <f t="shared" si="77"/>
        <v>0</v>
      </c>
      <c r="P472" s="6" t="str">
        <f t="shared" si="84"/>
        <v>N</v>
      </c>
      <c r="Q472" s="6">
        <f t="shared" si="85"/>
        <v>13</v>
      </c>
      <c r="R472" s="6" t="str">
        <f t="shared" si="86"/>
        <v>2014</v>
      </c>
      <c r="S472" s="6" t="str">
        <f t="shared" si="87"/>
        <v>Sep</v>
      </c>
    </row>
    <row r="473" spans="1:19" x14ac:dyDescent="0.25">
      <c r="A473" s="6">
        <v>1047</v>
      </c>
      <c r="B473" s="6" t="str">
        <f t="shared" si="79"/>
        <v>NIKDIG01047</v>
      </c>
      <c r="C473" s="7" t="s">
        <v>1163</v>
      </c>
      <c r="D473" s="7" t="s">
        <v>156</v>
      </c>
      <c r="E473" s="7" t="str">
        <f t="shared" si="80"/>
        <v>AJIT R</v>
      </c>
      <c r="F473" s="7" t="s">
        <v>11</v>
      </c>
      <c r="G473" s="22">
        <v>42646</v>
      </c>
      <c r="H473" s="8">
        <v>75680</v>
      </c>
      <c r="I473" s="7" t="str">
        <f t="shared" si="81"/>
        <v>ajit.r@di.rr.ba</v>
      </c>
      <c r="J473" s="6" t="s">
        <v>1538</v>
      </c>
      <c r="K473" s="6">
        <v>42</v>
      </c>
      <c r="L473" s="7" t="str">
        <f t="shared" si="82"/>
        <v>di.rr.ba</v>
      </c>
      <c r="M473" s="7" t="str">
        <f t="shared" si="83"/>
        <v>R.Ajit</v>
      </c>
      <c r="N473" s="6">
        <f t="shared" si="78"/>
        <v>0</v>
      </c>
      <c r="O473" s="6">
        <f t="shared" si="77"/>
        <v>0</v>
      </c>
      <c r="P473" s="6" t="str">
        <f t="shared" si="84"/>
        <v>N</v>
      </c>
      <c r="Q473" s="6">
        <f t="shared" si="85"/>
        <v>5</v>
      </c>
      <c r="R473" s="6" t="str">
        <f t="shared" si="86"/>
        <v>2016</v>
      </c>
      <c r="S473" s="6" t="str">
        <f t="shared" si="87"/>
        <v>Oct</v>
      </c>
    </row>
    <row r="474" spans="1:19" x14ac:dyDescent="0.25">
      <c r="A474" s="6">
        <v>1054</v>
      </c>
      <c r="B474" s="6" t="str">
        <f t="shared" si="79"/>
        <v>NIKDIG01054</v>
      </c>
      <c r="C474" s="7" t="s">
        <v>86</v>
      </c>
      <c r="D474" s="7" t="s">
        <v>68</v>
      </c>
      <c r="E474" s="7" t="str">
        <f t="shared" si="80"/>
        <v>MANISH KUMAR</v>
      </c>
      <c r="F474" s="7" t="s">
        <v>11</v>
      </c>
      <c r="G474" s="22">
        <v>42754</v>
      </c>
      <c r="H474" s="8">
        <v>90897</v>
      </c>
      <c r="I474" s="7" t="str">
        <f t="shared" si="81"/>
        <v>manish.kumar@di.kur.ba</v>
      </c>
      <c r="J474" s="6" t="s">
        <v>1538</v>
      </c>
      <c r="K474" s="6">
        <v>74</v>
      </c>
      <c r="L474" s="7" t="str">
        <f t="shared" si="82"/>
        <v>di.kur.ba</v>
      </c>
      <c r="M474" s="7" t="str">
        <f t="shared" si="83"/>
        <v>K.Manish</v>
      </c>
      <c r="N474" s="6">
        <f t="shared" si="78"/>
        <v>0</v>
      </c>
      <c r="O474" s="6">
        <f t="shared" si="77"/>
        <v>0</v>
      </c>
      <c r="P474" s="6" t="str">
        <f t="shared" si="84"/>
        <v>N</v>
      </c>
      <c r="Q474" s="6">
        <f t="shared" si="85"/>
        <v>11</v>
      </c>
      <c r="R474" s="6" t="str">
        <f t="shared" si="86"/>
        <v>2017</v>
      </c>
      <c r="S474" s="6" t="str">
        <f t="shared" si="87"/>
        <v>Jan</v>
      </c>
    </row>
    <row r="475" spans="1:19" x14ac:dyDescent="0.25">
      <c r="A475" s="6">
        <v>1064</v>
      </c>
      <c r="B475" s="6" t="str">
        <f t="shared" si="79"/>
        <v>NIKDIG01064</v>
      </c>
      <c r="C475" s="7" t="s">
        <v>1177</v>
      </c>
      <c r="D475" s="7" t="s">
        <v>187</v>
      </c>
      <c r="E475" s="7" t="str">
        <f t="shared" si="80"/>
        <v>KAILASH ANAND</v>
      </c>
      <c r="F475" s="7" t="s">
        <v>11</v>
      </c>
      <c r="G475" s="22">
        <v>42935</v>
      </c>
      <c r="H475" s="8">
        <v>97702</v>
      </c>
      <c r="I475" s="7" t="str">
        <f t="shared" si="81"/>
        <v>kailash.anand@di.and.ba</v>
      </c>
      <c r="J475" s="6" t="s">
        <v>1543</v>
      </c>
      <c r="K475" s="6">
        <v>57</v>
      </c>
      <c r="L475" s="7" t="str">
        <f t="shared" si="82"/>
        <v>di.and.ba</v>
      </c>
      <c r="M475" s="7" t="str">
        <f t="shared" si="83"/>
        <v>A.Kailash</v>
      </c>
      <c r="N475" s="6">
        <f t="shared" si="78"/>
        <v>0</v>
      </c>
      <c r="O475" s="6">
        <f t="shared" si="77"/>
        <v>0</v>
      </c>
      <c r="P475" s="6" t="str">
        <f t="shared" si="84"/>
        <v>N</v>
      </c>
      <c r="Q475" s="6">
        <f t="shared" si="85"/>
        <v>12</v>
      </c>
      <c r="R475" s="6" t="str">
        <f t="shared" si="86"/>
        <v>2017</v>
      </c>
      <c r="S475" s="6" t="str">
        <f t="shared" si="87"/>
        <v>Jul</v>
      </c>
    </row>
    <row r="476" spans="1:19" x14ac:dyDescent="0.25">
      <c r="A476" s="6">
        <v>1072</v>
      </c>
      <c r="B476" s="6" t="str">
        <f t="shared" si="79"/>
        <v>NIKDIG01072</v>
      </c>
      <c r="C476" s="7" t="s">
        <v>65</v>
      </c>
      <c r="D476" s="7" t="s">
        <v>58</v>
      </c>
      <c r="E476" s="7" t="str">
        <f t="shared" si="80"/>
        <v>RAHUL BHATIA</v>
      </c>
      <c r="F476" s="7" t="s">
        <v>11</v>
      </c>
      <c r="G476" s="22">
        <v>40387</v>
      </c>
      <c r="H476" s="8">
        <v>48674</v>
      </c>
      <c r="I476" s="7" t="str">
        <f t="shared" si="81"/>
        <v>rahul.bhatia@di.bha.ba</v>
      </c>
      <c r="J476" s="6" t="s">
        <v>1535</v>
      </c>
      <c r="K476" s="6">
        <v>84</v>
      </c>
      <c r="L476" s="7" t="str">
        <f t="shared" si="82"/>
        <v>di.bha.ba</v>
      </c>
      <c r="M476" s="7" t="str">
        <f t="shared" si="83"/>
        <v>B.Rahul</v>
      </c>
      <c r="N476" s="6">
        <f t="shared" si="78"/>
        <v>0</v>
      </c>
      <c r="O476" s="6">
        <f t="shared" si="77"/>
        <v>0</v>
      </c>
      <c r="P476" s="6" t="str">
        <f t="shared" si="84"/>
        <v>N</v>
      </c>
      <c r="Q476" s="6">
        <f t="shared" si="85"/>
        <v>11</v>
      </c>
      <c r="R476" s="6" t="str">
        <f t="shared" si="86"/>
        <v>2010</v>
      </c>
      <c r="S476" s="6" t="str">
        <f t="shared" si="87"/>
        <v>Jul</v>
      </c>
    </row>
    <row r="477" spans="1:19" x14ac:dyDescent="0.25">
      <c r="A477" s="6">
        <v>1074</v>
      </c>
      <c r="B477" s="6" t="str">
        <f t="shared" si="79"/>
        <v>NIKDIG01074</v>
      </c>
      <c r="C477" s="7" t="s">
        <v>449</v>
      </c>
      <c r="D477" s="7" t="s">
        <v>68</v>
      </c>
      <c r="E477" s="7" t="str">
        <f t="shared" si="80"/>
        <v>ATUL KUMAR</v>
      </c>
      <c r="F477" s="7" t="s">
        <v>11</v>
      </c>
      <c r="G477" s="22">
        <v>42870</v>
      </c>
      <c r="H477" s="8">
        <v>85478</v>
      </c>
      <c r="I477" s="7" t="str">
        <f t="shared" si="81"/>
        <v>atul.kumar@di.kur.ba</v>
      </c>
      <c r="J477" s="6" t="s">
        <v>1544</v>
      </c>
      <c r="K477" s="6">
        <v>89</v>
      </c>
      <c r="L477" s="7" t="str">
        <f t="shared" si="82"/>
        <v>di.kur.ba</v>
      </c>
      <c r="M477" s="7" t="str">
        <f t="shared" si="83"/>
        <v>K.Atul</v>
      </c>
      <c r="N477" s="6">
        <f t="shared" si="78"/>
        <v>0</v>
      </c>
      <c r="O477" s="6">
        <f t="shared" si="77"/>
        <v>0</v>
      </c>
      <c r="P477" s="6" t="str">
        <f t="shared" si="84"/>
        <v>N</v>
      </c>
      <c r="Q477" s="6">
        <f t="shared" si="85"/>
        <v>9</v>
      </c>
      <c r="R477" s="6" t="str">
        <f t="shared" si="86"/>
        <v>2017</v>
      </c>
      <c r="S477" s="6" t="str">
        <f t="shared" si="87"/>
        <v>May</v>
      </c>
    </row>
    <row r="478" spans="1:19" x14ac:dyDescent="0.25">
      <c r="A478" s="6">
        <v>1093</v>
      </c>
      <c r="B478" s="6" t="str">
        <f t="shared" si="79"/>
        <v>NIKDIG01093</v>
      </c>
      <c r="C478" s="7" t="s">
        <v>1203</v>
      </c>
      <c r="D478" s="7" t="s">
        <v>70</v>
      </c>
      <c r="E478" s="7" t="str">
        <f t="shared" si="80"/>
        <v>TILAK SINGH</v>
      </c>
      <c r="F478" s="7" t="s">
        <v>11</v>
      </c>
      <c r="G478" s="22">
        <v>42684</v>
      </c>
      <c r="H478" s="8">
        <v>65481</v>
      </c>
      <c r="I478" s="7" t="str">
        <f t="shared" si="81"/>
        <v>tilak.singh@di.sih.ba</v>
      </c>
      <c r="J478" s="6" t="s">
        <v>1551</v>
      </c>
      <c r="K478" s="6">
        <v>76</v>
      </c>
      <c r="L478" s="7" t="str">
        <f t="shared" si="82"/>
        <v>di.sih.ba</v>
      </c>
      <c r="M478" s="7" t="str">
        <f t="shared" si="83"/>
        <v>S.Tilak</v>
      </c>
      <c r="N478" s="6">
        <f t="shared" si="78"/>
        <v>0</v>
      </c>
      <c r="O478" s="6">
        <f t="shared" si="77"/>
        <v>0</v>
      </c>
      <c r="P478" s="6" t="str">
        <f t="shared" si="84"/>
        <v>N</v>
      </c>
      <c r="Q478" s="6">
        <f t="shared" si="85"/>
        <v>10</v>
      </c>
      <c r="R478" s="6" t="str">
        <f t="shared" si="86"/>
        <v>2016</v>
      </c>
      <c r="S478" s="6" t="str">
        <f t="shared" si="87"/>
        <v>Nov</v>
      </c>
    </row>
    <row r="479" spans="1:19" x14ac:dyDescent="0.25">
      <c r="A479" s="6">
        <v>1095</v>
      </c>
      <c r="B479" s="6" t="str">
        <f t="shared" si="79"/>
        <v>NIKDIG01095</v>
      </c>
      <c r="C479" s="7" t="s">
        <v>1206</v>
      </c>
      <c r="D479" s="7" t="s">
        <v>830</v>
      </c>
      <c r="E479" s="7" t="str">
        <f t="shared" si="80"/>
        <v>AASIF KHAN</v>
      </c>
      <c r="F479" s="7" t="s">
        <v>11</v>
      </c>
      <c r="G479" s="22">
        <v>44427</v>
      </c>
      <c r="H479" s="8">
        <v>87004</v>
      </c>
      <c r="I479" s="7" t="str">
        <f t="shared" si="81"/>
        <v>aasif.khan@di.khn.ba</v>
      </c>
      <c r="J479" s="6" t="s">
        <v>1534</v>
      </c>
      <c r="K479" s="6">
        <v>67</v>
      </c>
      <c r="L479" s="7" t="str">
        <f t="shared" si="82"/>
        <v>di.khn.ba</v>
      </c>
      <c r="M479" s="7" t="str">
        <f t="shared" si="83"/>
        <v>K.Aasif</v>
      </c>
      <c r="N479" s="6">
        <f t="shared" si="78"/>
        <v>0</v>
      </c>
      <c r="O479" s="6">
        <f t="shared" si="77"/>
        <v>0</v>
      </c>
      <c r="P479" s="6" t="str">
        <f t="shared" si="84"/>
        <v>N</v>
      </c>
      <c r="Q479" s="6">
        <f t="shared" si="85"/>
        <v>9</v>
      </c>
      <c r="R479" s="6" t="str">
        <f t="shared" si="86"/>
        <v>2021</v>
      </c>
      <c r="S479" s="6" t="str">
        <f t="shared" si="87"/>
        <v>Aug</v>
      </c>
    </row>
    <row r="480" spans="1:19" x14ac:dyDescent="0.25">
      <c r="A480" s="6">
        <v>1100</v>
      </c>
      <c r="B480" s="6" t="str">
        <f t="shared" si="79"/>
        <v>NIKDIG01100</v>
      </c>
      <c r="C480" s="7" t="s">
        <v>1208</v>
      </c>
      <c r="D480" s="7" t="s">
        <v>379</v>
      </c>
      <c r="E480" s="7" t="str">
        <f t="shared" si="80"/>
        <v>LOKESH SACHDEVA</v>
      </c>
      <c r="F480" s="7" t="s">
        <v>11</v>
      </c>
      <c r="G480" s="22">
        <v>43132</v>
      </c>
      <c r="H480" s="8">
        <v>45859</v>
      </c>
      <c r="I480" s="7" t="str">
        <f t="shared" si="81"/>
        <v>lokesh.sachdeva@di.saa.ba</v>
      </c>
      <c r="J480" s="6" t="s">
        <v>1535</v>
      </c>
      <c r="K480" s="6">
        <v>48</v>
      </c>
      <c r="L480" s="7" t="str">
        <f t="shared" si="82"/>
        <v>di.saa.ba</v>
      </c>
      <c r="M480" s="7" t="str">
        <f t="shared" si="83"/>
        <v>S.Lokesh</v>
      </c>
      <c r="N480" s="6">
        <f t="shared" si="78"/>
        <v>4</v>
      </c>
      <c r="O480" s="6">
        <f t="shared" si="77"/>
        <v>6</v>
      </c>
      <c r="P480" s="6" t="str">
        <f t="shared" si="84"/>
        <v>Y</v>
      </c>
      <c r="Q480" s="6">
        <f t="shared" si="85"/>
        <v>14</v>
      </c>
      <c r="R480" s="6" t="str">
        <f t="shared" si="86"/>
        <v>2018</v>
      </c>
      <c r="S480" s="6" t="str">
        <f t="shared" si="87"/>
        <v>Feb</v>
      </c>
    </row>
    <row r="481" spans="1:19" x14ac:dyDescent="0.25">
      <c r="A481" s="6">
        <v>1107</v>
      </c>
      <c r="B481" s="6" t="str">
        <f t="shared" si="79"/>
        <v>NIKDIG01107</v>
      </c>
      <c r="C481" s="7" t="s">
        <v>599</v>
      </c>
      <c r="D481" s="7" t="s">
        <v>1213</v>
      </c>
      <c r="E481" s="7" t="str">
        <f t="shared" si="80"/>
        <v>KUNAL AMBUBHAI</v>
      </c>
      <c r="F481" s="7" t="s">
        <v>11</v>
      </c>
      <c r="G481" s="22">
        <v>42941</v>
      </c>
      <c r="H481" s="8">
        <v>93743</v>
      </c>
      <c r="I481" s="7" t="str">
        <f t="shared" si="81"/>
        <v>kunal.ambubhai@di.ami.ba</v>
      </c>
      <c r="J481" s="6" t="s">
        <v>1539</v>
      </c>
      <c r="K481" s="6">
        <v>85</v>
      </c>
      <c r="L481" s="7" t="str">
        <f t="shared" si="82"/>
        <v>di.ami.ba</v>
      </c>
      <c r="M481" s="7" t="str">
        <f t="shared" si="83"/>
        <v>A.Kunal</v>
      </c>
      <c r="N481" s="6">
        <f t="shared" si="78"/>
        <v>0</v>
      </c>
      <c r="O481" s="6">
        <f t="shared" si="77"/>
        <v>0</v>
      </c>
      <c r="P481" s="6" t="str">
        <f t="shared" si="84"/>
        <v>N</v>
      </c>
      <c r="Q481" s="6">
        <f t="shared" si="85"/>
        <v>13</v>
      </c>
      <c r="R481" s="6" t="str">
        <f t="shared" si="86"/>
        <v>2017</v>
      </c>
      <c r="S481" s="6" t="str">
        <f t="shared" si="87"/>
        <v>Jul</v>
      </c>
    </row>
    <row r="482" spans="1:19" x14ac:dyDescent="0.25">
      <c r="A482" s="6">
        <v>1110</v>
      </c>
      <c r="B482" s="6" t="str">
        <f t="shared" si="79"/>
        <v>NIKDIG01110</v>
      </c>
      <c r="C482" s="7" t="s">
        <v>1215</v>
      </c>
      <c r="D482" s="7" t="s">
        <v>1216</v>
      </c>
      <c r="E482" s="7" t="str">
        <f t="shared" si="80"/>
        <v>JYOTSANA SAHNI</v>
      </c>
      <c r="F482" s="7" t="s">
        <v>11</v>
      </c>
      <c r="G482" s="22">
        <v>43346</v>
      </c>
      <c r="H482" s="8">
        <v>29753</v>
      </c>
      <c r="I482" s="7" t="str">
        <f t="shared" si="81"/>
        <v>jyotsana.sahni@di.sai.ba</v>
      </c>
      <c r="J482" s="6" t="s">
        <v>1545</v>
      </c>
      <c r="K482" s="6">
        <v>81</v>
      </c>
      <c r="L482" s="7" t="str">
        <f t="shared" si="82"/>
        <v>di.sai.ba</v>
      </c>
      <c r="M482" s="7" t="str">
        <f t="shared" si="83"/>
        <v>S.Jyotsana</v>
      </c>
      <c r="N482" s="6">
        <f t="shared" si="78"/>
        <v>0</v>
      </c>
      <c r="O482" s="6">
        <f t="shared" si="77"/>
        <v>0</v>
      </c>
      <c r="P482" s="6" t="str">
        <f t="shared" si="84"/>
        <v>N</v>
      </c>
      <c r="Q482" s="6">
        <f t="shared" si="85"/>
        <v>13</v>
      </c>
      <c r="R482" s="6" t="str">
        <f t="shared" si="86"/>
        <v>2018</v>
      </c>
      <c r="S482" s="6" t="str">
        <f t="shared" si="87"/>
        <v>Sep</v>
      </c>
    </row>
    <row r="483" spans="1:19" x14ac:dyDescent="0.25">
      <c r="A483" s="6">
        <v>1114</v>
      </c>
      <c r="B483" s="6" t="str">
        <f t="shared" si="79"/>
        <v>NIKDIG01114</v>
      </c>
      <c r="C483" s="7" t="s">
        <v>392</v>
      </c>
      <c r="D483" s="7" t="s">
        <v>211</v>
      </c>
      <c r="E483" s="7" t="str">
        <f t="shared" si="80"/>
        <v>AKSHAY ASHOK</v>
      </c>
      <c r="F483" s="7" t="s">
        <v>11</v>
      </c>
      <c r="G483" s="22">
        <v>43388</v>
      </c>
      <c r="H483" s="8">
        <v>87270</v>
      </c>
      <c r="I483" s="7" t="str">
        <f t="shared" si="81"/>
        <v>akshay.ashok@di.ask.ba</v>
      </c>
      <c r="J483" s="6" t="s">
        <v>1538</v>
      </c>
      <c r="K483" s="6">
        <v>45</v>
      </c>
      <c r="L483" s="7" t="str">
        <f t="shared" si="82"/>
        <v>di.ask.ba</v>
      </c>
      <c r="M483" s="7" t="str">
        <f t="shared" si="83"/>
        <v>A.Akshay</v>
      </c>
      <c r="N483" s="6">
        <f t="shared" si="78"/>
        <v>0</v>
      </c>
      <c r="O483" s="6">
        <f t="shared" si="77"/>
        <v>0</v>
      </c>
      <c r="P483" s="6" t="str">
        <f t="shared" si="84"/>
        <v>N</v>
      </c>
      <c r="Q483" s="6">
        <f t="shared" si="85"/>
        <v>11</v>
      </c>
      <c r="R483" s="6" t="str">
        <f t="shared" si="86"/>
        <v>2018</v>
      </c>
      <c r="S483" s="6" t="str">
        <f t="shared" si="87"/>
        <v>Oct</v>
      </c>
    </row>
    <row r="484" spans="1:19" x14ac:dyDescent="0.25">
      <c r="A484" s="6">
        <v>1135</v>
      </c>
      <c r="B484" s="6" t="str">
        <f t="shared" si="79"/>
        <v>NIKDIG01135</v>
      </c>
      <c r="C484" s="7" t="s">
        <v>306</v>
      </c>
      <c r="D484" s="7" t="s">
        <v>1233</v>
      </c>
      <c r="E484" s="7" t="str">
        <f t="shared" si="80"/>
        <v>SIDDHARTH DIPAKKUMAR</v>
      </c>
      <c r="F484" s="7" t="s">
        <v>11</v>
      </c>
      <c r="G484" s="22">
        <v>44294</v>
      </c>
      <c r="H484" s="8">
        <v>45570</v>
      </c>
      <c r="I484" s="7" t="str">
        <f t="shared" si="81"/>
        <v>siddharth.dipakkumar@di.dir.ba</v>
      </c>
      <c r="J484" s="6" t="s">
        <v>1545</v>
      </c>
      <c r="K484" s="6">
        <v>84</v>
      </c>
      <c r="L484" s="7" t="str">
        <f t="shared" si="82"/>
        <v>di.dir.ba</v>
      </c>
      <c r="M484" s="7" t="str">
        <f t="shared" si="83"/>
        <v>D.Siddharth</v>
      </c>
      <c r="N484" s="6">
        <f t="shared" si="78"/>
        <v>0</v>
      </c>
      <c r="O484" s="6">
        <f t="shared" si="77"/>
        <v>0</v>
      </c>
      <c r="P484" s="6" t="str">
        <f t="shared" si="84"/>
        <v>N</v>
      </c>
      <c r="Q484" s="6">
        <f t="shared" si="85"/>
        <v>19</v>
      </c>
      <c r="R484" s="6" t="str">
        <f t="shared" si="86"/>
        <v>2021</v>
      </c>
      <c r="S484" s="6" t="str">
        <f t="shared" si="87"/>
        <v>Apr</v>
      </c>
    </row>
    <row r="485" spans="1:19" x14ac:dyDescent="0.25">
      <c r="A485" s="6">
        <v>1148</v>
      </c>
      <c r="B485" s="6" t="str">
        <f t="shared" si="79"/>
        <v>NIKDIG01148</v>
      </c>
      <c r="C485" s="7" t="s">
        <v>1247</v>
      </c>
      <c r="D485" s="7" t="s">
        <v>1248</v>
      </c>
      <c r="E485" s="7" t="str">
        <f t="shared" si="80"/>
        <v>VYOMESH H</v>
      </c>
      <c r="F485" s="7" t="s">
        <v>11</v>
      </c>
      <c r="G485" s="22">
        <v>42390</v>
      </c>
      <c r="H485" s="8">
        <v>27350</v>
      </c>
      <c r="I485" s="7" t="str">
        <f t="shared" si="81"/>
        <v>vyomesh.h@di.hh.ba</v>
      </c>
      <c r="J485" s="6" t="s">
        <v>1544</v>
      </c>
      <c r="K485" s="6">
        <v>45</v>
      </c>
      <c r="L485" s="7" t="str">
        <f t="shared" si="82"/>
        <v>di.hh.ba</v>
      </c>
      <c r="M485" s="7" t="str">
        <f t="shared" si="83"/>
        <v>H.Vyomesh</v>
      </c>
      <c r="N485" s="6">
        <f t="shared" si="78"/>
        <v>5</v>
      </c>
      <c r="O485" s="6">
        <f t="shared" si="77"/>
        <v>0</v>
      </c>
      <c r="P485" s="6" t="str">
        <f t="shared" si="84"/>
        <v>N</v>
      </c>
      <c r="Q485" s="6">
        <f t="shared" si="85"/>
        <v>8</v>
      </c>
      <c r="R485" s="6" t="str">
        <f t="shared" si="86"/>
        <v>2016</v>
      </c>
      <c r="S485" s="6" t="str">
        <f t="shared" si="87"/>
        <v>Jan</v>
      </c>
    </row>
    <row r="486" spans="1:19" x14ac:dyDescent="0.25">
      <c r="A486" s="6">
        <v>1152</v>
      </c>
      <c r="B486" s="6" t="str">
        <f t="shared" si="79"/>
        <v>NIKDIG01152</v>
      </c>
      <c r="C486" s="7" t="s">
        <v>488</v>
      </c>
      <c r="D486" s="7" t="s">
        <v>68</v>
      </c>
      <c r="E486" s="7" t="str">
        <f t="shared" si="80"/>
        <v>KAMLESH KUMAR</v>
      </c>
      <c r="F486" s="7" t="s">
        <v>11</v>
      </c>
      <c r="G486" s="22">
        <v>38847</v>
      </c>
      <c r="H486" s="8">
        <v>53257</v>
      </c>
      <c r="I486" s="7" t="str">
        <f t="shared" si="81"/>
        <v>kamlesh.kumar@di.kur.ba</v>
      </c>
      <c r="J486" s="6" t="s">
        <v>1548</v>
      </c>
      <c r="K486" s="6">
        <v>81</v>
      </c>
      <c r="L486" s="7" t="str">
        <f t="shared" si="82"/>
        <v>di.kur.ba</v>
      </c>
      <c r="M486" s="7" t="str">
        <f t="shared" si="83"/>
        <v>K.Kamlesh</v>
      </c>
      <c r="N486" s="6">
        <f t="shared" si="78"/>
        <v>5</v>
      </c>
      <c r="O486" s="6">
        <f t="shared" si="77"/>
        <v>0</v>
      </c>
      <c r="P486" s="6" t="str">
        <f t="shared" si="84"/>
        <v>N</v>
      </c>
      <c r="Q486" s="6">
        <f t="shared" si="85"/>
        <v>12</v>
      </c>
      <c r="R486" s="6" t="str">
        <f t="shared" si="86"/>
        <v>2006</v>
      </c>
      <c r="S486" s="6" t="str">
        <f t="shared" si="87"/>
        <v>May</v>
      </c>
    </row>
    <row r="487" spans="1:19" x14ac:dyDescent="0.25">
      <c r="A487" s="6">
        <v>1162</v>
      </c>
      <c r="B487" s="6" t="str">
        <f t="shared" si="79"/>
        <v>NIKDIG01162</v>
      </c>
      <c r="C487" s="7" t="s">
        <v>1254</v>
      </c>
      <c r="D487" s="7" t="s">
        <v>1255</v>
      </c>
      <c r="E487" s="7" t="str">
        <f t="shared" si="80"/>
        <v>SANIYA SIDDIQUI</v>
      </c>
      <c r="F487" s="7" t="s">
        <v>11</v>
      </c>
      <c r="G487" s="22">
        <v>43603</v>
      </c>
      <c r="H487" s="8">
        <v>104584</v>
      </c>
      <c r="I487" s="7" t="str">
        <f t="shared" si="81"/>
        <v>saniya.siddiqui@di.sii.ba</v>
      </c>
      <c r="J487" s="6" t="s">
        <v>1533</v>
      </c>
      <c r="K487" s="6">
        <v>61</v>
      </c>
      <c r="L487" s="7" t="str">
        <f t="shared" si="82"/>
        <v>di.sii.ba</v>
      </c>
      <c r="M487" s="7" t="str">
        <f t="shared" si="83"/>
        <v>S.Saniya</v>
      </c>
      <c r="N487" s="6">
        <f t="shared" si="78"/>
        <v>0</v>
      </c>
      <c r="O487" s="6">
        <f t="shared" si="77"/>
        <v>0</v>
      </c>
      <c r="P487" s="6" t="str">
        <f t="shared" si="84"/>
        <v>N</v>
      </c>
      <c r="Q487" s="6">
        <f t="shared" si="85"/>
        <v>14</v>
      </c>
      <c r="R487" s="6" t="str">
        <f t="shared" si="86"/>
        <v>2019</v>
      </c>
      <c r="S487" s="6" t="str">
        <f t="shared" si="87"/>
        <v>May</v>
      </c>
    </row>
    <row r="488" spans="1:19" x14ac:dyDescent="0.25">
      <c r="A488" s="6">
        <v>1164</v>
      </c>
      <c r="B488" s="6" t="str">
        <f t="shared" si="79"/>
        <v>NIKDIG01164</v>
      </c>
      <c r="C488" s="7" t="s">
        <v>35</v>
      </c>
      <c r="D488" s="7" t="s">
        <v>167</v>
      </c>
      <c r="E488" s="7" t="str">
        <f t="shared" si="80"/>
        <v>SAHIL ARORA</v>
      </c>
      <c r="F488" s="7" t="s">
        <v>11</v>
      </c>
      <c r="G488" s="22">
        <v>44440</v>
      </c>
      <c r="H488" s="8">
        <v>81555</v>
      </c>
      <c r="I488" s="7" t="str">
        <f t="shared" si="81"/>
        <v>sahil.arora@di.ara.ba</v>
      </c>
      <c r="J488" s="6" t="s">
        <v>1550</v>
      </c>
      <c r="K488" s="6">
        <v>71</v>
      </c>
      <c r="L488" s="7" t="str">
        <f t="shared" si="82"/>
        <v>di.ara.ba</v>
      </c>
      <c r="M488" s="7" t="str">
        <f t="shared" si="83"/>
        <v>A.Sahil</v>
      </c>
      <c r="N488" s="6">
        <f t="shared" si="78"/>
        <v>0</v>
      </c>
      <c r="O488" s="6">
        <f t="shared" si="77"/>
        <v>0</v>
      </c>
      <c r="P488" s="6" t="str">
        <f t="shared" si="84"/>
        <v>N</v>
      </c>
      <c r="Q488" s="6">
        <f t="shared" si="85"/>
        <v>10</v>
      </c>
      <c r="R488" s="6" t="str">
        <f t="shared" si="86"/>
        <v>2021</v>
      </c>
      <c r="S488" s="6" t="str">
        <f t="shared" si="87"/>
        <v>Sep</v>
      </c>
    </row>
    <row r="489" spans="1:19" x14ac:dyDescent="0.25">
      <c r="A489" s="6">
        <v>1173</v>
      </c>
      <c r="B489" s="6" t="str">
        <f t="shared" si="79"/>
        <v>NIKDIG01173</v>
      </c>
      <c r="C489" s="7" t="s">
        <v>680</v>
      </c>
      <c r="D489" s="7" t="s">
        <v>70</v>
      </c>
      <c r="E489" s="7" t="str">
        <f t="shared" si="80"/>
        <v>RAGHVENDRA SINGH</v>
      </c>
      <c r="F489" s="7" t="s">
        <v>11</v>
      </c>
      <c r="G489" s="22">
        <v>43848</v>
      </c>
      <c r="H489" s="8">
        <v>47283</v>
      </c>
      <c r="I489" s="7" t="str">
        <f t="shared" si="81"/>
        <v>raghvendra.singh@di.sih.ba</v>
      </c>
      <c r="J489" s="6" t="s">
        <v>1544</v>
      </c>
      <c r="K489" s="6">
        <v>61</v>
      </c>
      <c r="L489" s="7" t="str">
        <f t="shared" si="82"/>
        <v>di.sih.ba</v>
      </c>
      <c r="M489" s="7" t="str">
        <f t="shared" si="83"/>
        <v>S.Raghvendra</v>
      </c>
      <c r="N489" s="6">
        <f t="shared" si="78"/>
        <v>6</v>
      </c>
      <c r="O489" s="6">
        <f t="shared" si="77"/>
        <v>0</v>
      </c>
      <c r="P489" s="6" t="str">
        <f t="shared" si="84"/>
        <v>N</v>
      </c>
      <c r="Q489" s="6">
        <f t="shared" si="85"/>
        <v>15</v>
      </c>
      <c r="R489" s="6" t="str">
        <f t="shared" si="86"/>
        <v>2020</v>
      </c>
      <c r="S489" s="6" t="str">
        <f t="shared" si="87"/>
        <v>Jan</v>
      </c>
    </row>
    <row r="490" spans="1:19" x14ac:dyDescent="0.25">
      <c r="A490" s="6">
        <v>1176</v>
      </c>
      <c r="B490" s="6" t="str">
        <f t="shared" si="79"/>
        <v>NIKDIG01176</v>
      </c>
      <c r="C490" s="7" t="s">
        <v>320</v>
      </c>
      <c r="D490" s="7" t="s">
        <v>928</v>
      </c>
      <c r="E490" s="7" t="str">
        <f t="shared" si="80"/>
        <v>VISHAL SHANTARAM</v>
      </c>
      <c r="F490" s="7" t="s">
        <v>11</v>
      </c>
      <c r="G490" s="22">
        <v>44593</v>
      </c>
      <c r="H490" s="8">
        <v>62563</v>
      </c>
      <c r="I490" s="7" t="str">
        <f t="shared" si="81"/>
        <v>vishal.shantaram@di.shm.ba</v>
      </c>
      <c r="J490" s="6" t="s">
        <v>1546</v>
      </c>
      <c r="K490" s="6">
        <v>60</v>
      </c>
      <c r="L490" s="7" t="str">
        <f t="shared" si="82"/>
        <v>di.shm.ba</v>
      </c>
      <c r="M490" s="7" t="str">
        <f t="shared" si="83"/>
        <v>S.Vishal</v>
      </c>
      <c r="N490" s="6">
        <f t="shared" si="78"/>
        <v>0</v>
      </c>
      <c r="O490" s="6">
        <f t="shared" si="77"/>
        <v>0</v>
      </c>
      <c r="P490" s="6" t="str">
        <f t="shared" si="84"/>
        <v>N</v>
      </c>
      <c r="Q490" s="6">
        <f t="shared" si="85"/>
        <v>15</v>
      </c>
      <c r="R490" s="6" t="str">
        <f t="shared" si="86"/>
        <v>2022</v>
      </c>
      <c r="S490" s="6" t="str">
        <f t="shared" si="87"/>
        <v>Feb</v>
      </c>
    </row>
    <row r="491" spans="1:19" x14ac:dyDescent="0.25">
      <c r="A491" s="6">
        <v>1197</v>
      </c>
      <c r="B491" s="6" t="str">
        <f t="shared" si="79"/>
        <v>NIKDIG01197</v>
      </c>
      <c r="C491" s="7" t="s">
        <v>1039</v>
      </c>
      <c r="D491" s="7" t="s">
        <v>179</v>
      </c>
      <c r="E491" s="7" t="str">
        <f t="shared" si="80"/>
        <v>NEERAJ GUPTA</v>
      </c>
      <c r="F491" s="7" t="s">
        <v>11</v>
      </c>
      <c r="G491" s="22">
        <v>44666</v>
      </c>
      <c r="H491" s="8">
        <v>56849</v>
      </c>
      <c r="I491" s="7" t="str">
        <f t="shared" si="81"/>
        <v>neeraj.gupta@di.gua.ba</v>
      </c>
      <c r="J491" s="6" t="s">
        <v>1537</v>
      </c>
      <c r="K491" s="6">
        <v>70</v>
      </c>
      <c r="L491" s="7" t="str">
        <f t="shared" si="82"/>
        <v>di.gua.ba</v>
      </c>
      <c r="M491" s="7" t="str">
        <f t="shared" si="83"/>
        <v>G.Neeraj</v>
      </c>
      <c r="N491" s="6">
        <f t="shared" si="78"/>
        <v>2</v>
      </c>
      <c r="O491" s="6">
        <f t="shared" si="77"/>
        <v>0</v>
      </c>
      <c r="P491" s="6" t="str">
        <f t="shared" si="84"/>
        <v>N</v>
      </c>
      <c r="Q491" s="6">
        <f t="shared" si="85"/>
        <v>11</v>
      </c>
      <c r="R491" s="6" t="str">
        <f t="shared" si="86"/>
        <v>2022</v>
      </c>
      <c r="S491" s="6" t="str">
        <f t="shared" si="87"/>
        <v>Apr</v>
      </c>
    </row>
    <row r="492" spans="1:19" x14ac:dyDescent="0.25">
      <c r="A492" s="6">
        <v>1198</v>
      </c>
      <c r="B492" s="6" t="str">
        <f t="shared" si="79"/>
        <v>NIKDIG01198</v>
      </c>
      <c r="C492" s="7" t="s">
        <v>847</v>
      </c>
      <c r="D492" s="7" t="s">
        <v>1095</v>
      </c>
      <c r="E492" s="7" t="str">
        <f t="shared" si="80"/>
        <v>KHUSHBOO CHOUDHARY</v>
      </c>
      <c r="F492" s="7" t="s">
        <v>11</v>
      </c>
      <c r="G492" s="22">
        <v>44683</v>
      </c>
      <c r="H492" s="8">
        <v>30137</v>
      </c>
      <c r="I492" s="7" t="str">
        <f t="shared" si="81"/>
        <v>khushboo.choudhary@di.chy.ba</v>
      </c>
      <c r="J492" s="6" t="s">
        <v>1544</v>
      </c>
      <c r="K492" s="6">
        <v>46</v>
      </c>
      <c r="L492" s="7" t="str">
        <f t="shared" si="82"/>
        <v>di.chy.ba</v>
      </c>
      <c r="M492" s="7" t="str">
        <f t="shared" si="83"/>
        <v>C.Khushboo</v>
      </c>
      <c r="N492" s="6">
        <f t="shared" si="78"/>
        <v>0</v>
      </c>
      <c r="O492" s="6">
        <f t="shared" ref="O492:O555" si="88">IFERROR(SEARCH("e",D492),0)</f>
        <v>0</v>
      </c>
      <c r="P492" s="6" t="str">
        <f t="shared" si="84"/>
        <v>N</v>
      </c>
      <c r="Q492" s="6">
        <f t="shared" si="85"/>
        <v>17</v>
      </c>
      <c r="R492" s="6" t="str">
        <f t="shared" si="86"/>
        <v>2022</v>
      </c>
      <c r="S492" s="6" t="str">
        <f t="shared" si="87"/>
        <v>May</v>
      </c>
    </row>
    <row r="493" spans="1:19" x14ac:dyDescent="0.25">
      <c r="A493" s="6">
        <v>1217</v>
      </c>
      <c r="B493" s="6" t="str">
        <f t="shared" si="79"/>
        <v>NIKDIG01217</v>
      </c>
      <c r="C493" s="7" t="s">
        <v>139</v>
      </c>
      <c r="D493" s="7" t="s">
        <v>1289</v>
      </c>
      <c r="E493" s="7" t="str">
        <f t="shared" si="80"/>
        <v>MEENAKSHI DAWER</v>
      </c>
      <c r="F493" s="7" t="s">
        <v>11</v>
      </c>
      <c r="G493" s="22">
        <v>39814</v>
      </c>
      <c r="H493" s="8">
        <v>55730</v>
      </c>
      <c r="I493" s="7" t="str">
        <f t="shared" si="81"/>
        <v>meenakshi.dawer@di.dar.ba</v>
      </c>
      <c r="J493" s="6" t="s">
        <v>1538</v>
      </c>
      <c r="K493" s="6">
        <v>58</v>
      </c>
      <c r="L493" s="7" t="str">
        <f t="shared" si="82"/>
        <v>di.dar.ba</v>
      </c>
      <c r="M493" s="7" t="str">
        <f t="shared" si="83"/>
        <v>D.Meenakshi</v>
      </c>
      <c r="N493" s="6">
        <f t="shared" si="78"/>
        <v>2</v>
      </c>
      <c r="O493" s="6">
        <f t="shared" si="88"/>
        <v>4</v>
      </c>
      <c r="P493" s="6" t="str">
        <f t="shared" si="84"/>
        <v>Y</v>
      </c>
      <c r="Q493" s="6">
        <f t="shared" si="85"/>
        <v>14</v>
      </c>
      <c r="R493" s="6" t="str">
        <f t="shared" si="86"/>
        <v>2009</v>
      </c>
      <c r="S493" s="6" t="str">
        <f t="shared" si="87"/>
        <v>Jan</v>
      </c>
    </row>
    <row r="494" spans="1:19" x14ac:dyDescent="0.25">
      <c r="A494" s="6">
        <v>1218</v>
      </c>
      <c r="B494" s="6" t="str">
        <f t="shared" si="79"/>
        <v>NIKDIG01218</v>
      </c>
      <c r="C494" s="7" t="s">
        <v>647</v>
      </c>
      <c r="D494" s="7" t="s">
        <v>1290</v>
      </c>
      <c r="E494" s="7" t="str">
        <f t="shared" si="80"/>
        <v>ROBIN GEORGE</v>
      </c>
      <c r="F494" s="7" t="s">
        <v>11</v>
      </c>
      <c r="G494" s="22">
        <v>43780</v>
      </c>
      <c r="H494" s="8">
        <v>32403</v>
      </c>
      <c r="I494" s="7" t="str">
        <f t="shared" si="81"/>
        <v>robin.george@di.gee.ba</v>
      </c>
      <c r="J494" s="6" t="s">
        <v>1542</v>
      </c>
      <c r="K494" s="6">
        <v>39</v>
      </c>
      <c r="L494" s="7" t="str">
        <f t="shared" si="82"/>
        <v>di.gee.ba</v>
      </c>
      <c r="M494" s="7" t="str">
        <f t="shared" si="83"/>
        <v>G.Robin</v>
      </c>
      <c r="N494" s="6">
        <f t="shared" ref="N494:N557" si="89">IFERROR(SEARCH("e",C494),0)</f>
        <v>0</v>
      </c>
      <c r="O494" s="6">
        <f t="shared" si="88"/>
        <v>2</v>
      </c>
      <c r="P494" s="6" t="str">
        <f t="shared" si="84"/>
        <v>N</v>
      </c>
      <c r="Q494" s="6">
        <f t="shared" si="85"/>
        <v>11</v>
      </c>
      <c r="R494" s="6" t="str">
        <f t="shared" si="86"/>
        <v>2019</v>
      </c>
      <c r="S494" s="6" t="str">
        <f t="shared" si="87"/>
        <v>Nov</v>
      </c>
    </row>
    <row r="495" spans="1:19" x14ac:dyDescent="0.25">
      <c r="A495" s="6">
        <v>1234</v>
      </c>
      <c r="B495" s="6" t="str">
        <f t="shared" si="79"/>
        <v>NIKDIG01234</v>
      </c>
      <c r="C495" s="7" t="s">
        <v>1273</v>
      </c>
      <c r="D495" s="7" t="s">
        <v>818</v>
      </c>
      <c r="E495" s="7" t="str">
        <f t="shared" si="80"/>
        <v>BHARTI RATHORE</v>
      </c>
      <c r="F495" s="7" t="s">
        <v>11</v>
      </c>
      <c r="G495" s="22">
        <v>44531</v>
      </c>
      <c r="H495" s="8">
        <v>65648</v>
      </c>
      <c r="I495" s="7" t="str">
        <f t="shared" si="81"/>
        <v>bharti.rathore@di.rae.ba</v>
      </c>
      <c r="J495" s="6" t="s">
        <v>1548</v>
      </c>
      <c r="K495" s="6">
        <v>35</v>
      </c>
      <c r="L495" s="7" t="str">
        <f t="shared" si="82"/>
        <v>di.rae.ba</v>
      </c>
      <c r="M495" s="7" t="str">
        <f t="shared" si="83"/>
        <v>R.Bharti</v>
      </c>
      <c r="N495" s="6">
        <f t="shared" si="89"/>
        <v>0</v>
      </c>
      <c r="O495" s="6">
        <f t="shared" si="88"/>
        <v>7</v>
      </c>
      <c r="P495" s="6" t="str">
        <f t="shared" si="84"/>
        <v>N</v>
      </c>
      <c r="Q495" s="6">
        <f t="shared" si="85"/>
        <v>13</v>
      </c>
      <c r="R495" s="6" t="str">
        <f t="shared" si="86"/>
        <v>2021</v>
      </c>
      <c r="S495" s="6" t="str">
        <f t="shared" si="87"/>
        <v>Dec</v>
      </c>
    </row>
    <row r="496" spans="1:19" x14ac:dyDescent="0.25">
      <c r="A496" s="6">
        <v>1242</v>
      </c>
      <c r="B496" s="6" t="str">
        <f t="shared" si="79"/>
        <v>NIKDIG01242</v>
      </c>
      <c r="C496" s="7" t="s">
        <v>519</v>
      </c>
      <c r="D496" s="7" t="s">
        <v>1312</v>
      </c>
      <c r="E496" s="7" t="str">
        <f t="shared" si="80"/>
        <v>NILESH MAROTI</v>
      </c>
      <c r="F496" s="7" t="s">
        <v>11</v>
      </c>
      <c r="G496" s="22">
        <v>43416</v>
      </c>
      <c r="H496" s="8">
        <v>53890</v>
      </c>
      <c r="I496" s="7" t="str">
        <f t="shared" si="81"/>
        <v>nilesh.maroti@di.mai.ba</v>
      </c>
      <c r="J496" s="6" t="s">
        <v>1549</v>
      </c>
      <c r="K496" s="6">
        <v>61</v>
      </c>
      <c r="L496" s="7" t="str">
        <f t="shared" si="82"/>
        <v>di.mai.ba</v>
      </c>
      <c r="M496" s="7" t="str">
        <f t="shared" si="83"/>
        <v>M.Nilesh</v>
      </c>
      <c r="N496" s="6">
        <f t="shared" si="89"/>
        <v>4</v>
      </c>
      <c r="O496" s="6">
        <f t="shared" si="88"/>
        <v>0</v>
      </c>
      <c r="P496" s="6" t="str">
        <f t="shared" si="84"/>
        <v>N</v>
      </c>
      <c r="Q496" s="6">
        <f t="shared" si="85"/>
        <v>12</v>
      </c>
      <c r="R496" s="6" t="str">
        <f t="shared" si="86"/>
        <v>2018</v>
      </c>
      <c r="S496" s="6" t="str">
        <f t="shared" si="87"/>
        <v>Nov</v>
      </c>
    </row>
    <row r="497" spans="1:19" x14ac:dyDescent="0.25">
      <c r="A497" s="6">
        <v>1247</v>
      </c>
      <c r="B497" s="6" t="str">
        <f t="shared" si="79"/>
        <v>NIKDIG01247</v>
      </c>
      <c r="C497" s="7" t="s">
        <v>743</v>
      </c>
      <c r="D497" s="7" t="s">
        <v>1316</v>
      </c>
      <c r="E497" s="7" t="str">
        <f t="shared" si="80"/>
        <v>DISHA DHARMENDRA</v>
      </c>
      <c r="F497" s="7" t="s">
        <v>11</v>
      </c>
      <c r="G497" s="22">
        <v>44543</v>
      </c>
      <c r="H497" s="8">
        <v>88475</v>
      </c>
      <c r="I497" s="7" t="str">
        <f t="shared" si="81"/>
        <v>disha.dharmendra@di.dha.ba</v>
      </c>
      <c r="J497" s="6" t="s">
        <v>1537</v>
      </c>
      <c r="K497" s="6">
        <v>70</v>
      </c>
      <c r="L497" s="7" t="str">
        <f t="shared" si="82"/>
        <v>di.dha.ba</v>
      </c>
      <c r="M497" s="7" t="str">
        <f t="shared" si="83"/>
        <v>D.Disha</v>
      </c>
      <c r="N497" s="6">
        <f t="shared" si="89"/>
        <v>0</v>
      </c>
      <c r="O497" s="6">
        <f t="shared" si="88"/>
        <v>6</v>
      </c>
      <c r="P497" s="6" t="str">
        <f t="shared" si="84"/>
        <v>N</v>
      </c>
      <c r="Q497" s="6">
        <f t="shared" si="85"/>
        <v>15</v>
      </c>
      <c r="R497" s="6" t="str">
        <f t="shared" si="86"/>
        <v>2021</v>
      </c>
      <c r="S497" s="6" t="str">
        <f t="shared" si="87"/>
        <v>Dec</v>
      </c>
    </row>
    <row r="498" spans="1:19" x14ac:dyDescent="0.25">
      <c r="A498" s="6">
        <v>1255</v>
      </c>
      <c r="B498" s="6" t="str">
        <f t="shared" si="79"/>
        <v>NIKDIG01255</v>
      </c>
      <c r="C498" s="7" t="s">
        <v>392</v>
      </c>
      <c r="D498" s="7" t="s">
        <v>1322</v>
      </c>
      <c r="E498" s="7" t="str">
        <f t="shared" si="80"/>
        <v>AKSHAY NEMA</v>
      </c>
      <c r="F498" s="7" t="s">
        <v>11</v>
      </c>
      <c r="G498" s="22">
        <v>43073</v>
      </c>
      <c r="H498" s="8">
        <v>108584</v>
      </c>
      <c r="I498" s="7" t="str">
        <f t="shared" si="81"/>
        <v>akshay.nema@di.nea.ba</v>
      </c>
      <c r="J498" s="6" t="s">
        <v>1541</v>
      </c>
      <c r="K498" s="6">
        <v>83</v>
      </c>
      <c r="L498" s="7" t="str">
        <f t="shared" si="82"/>
        <v>di.nea.ba</v>
      </c>
      <c r="M498" s="7" t="str">
        <f t="shared" si="83"/>
        <v>N.Akshay</v>
      </c>
      <c r="N498" s="6">
        <f t="shared" si="89"/>
        <v>0</v>
      </c>
      <c r="O498" s="6">
        <f t="shared" si="88"/>
        <v>2</v>
      </c>
      <c r="P498" s="6" t="str">
        <f t="shared" si="84"/>
        <v>N</v>
      </c>
      <c r="Q498" s="6">
        <f t="shared" si="85"/>
        <v>10</v>
      </c>
      <c r="R498" s="6" t="str">
        <f t="shared" si="86"/>
        <v>2017</v>
      </c>
      <c r="S498" s="6" t="str">
        <f t="shared" si="87"/>
        <v>Dec</v>
      </c>
    </row>
    <row r="499" spans="1:19" x14ac:dyDescent="0.25">
      <c r="A499" s="6">
        <v>1267</v>
      </c>
      <c r="B499" s="6" t="str">
        <f t="shared" si="79"/>
        <v>NIKDIG01267</v>
      </c>
      <c r="C499" s="7" t="s">
        <v>209</v>
      </c>
      <c r="D499" s="7" t="s">
        <v>1334</v>
      </c>
      <c r="E499" s="7" t="str">
        <f t="shared" si="80"/>
        <v>GAURAV MALIK</v>
      </c>
      <c r="F499" s="7" t="s">
        <v>11</v>
      </c>
      <c r="G499" s="22">
        <v>44440</v>
      </c>
      <c r="H499" s="8">
        <v>68525</v>
      </c>
      <c r="I499" s="7" t="str">
        <f t="shared" si="81"/>
        <v>gaurav.malik@di.mak.ba</v>
      </c>
      <c r="J499" s="6" t="s">
        <v>1536</v>
      </c>
      <c r="K499" s="6">
        <v>81</v>
      </c>
      <c r="L499" s="7" t="str">
        <f t="shared" si="82"/>
        <v>di.mak.ba</v>
      </c>
      <c r="M499" s="7" t="str">
        <f t="shared" si="83"/>
        <v>M.Gaurav</v>
      </c>
      <c r="N499" s="6">
        <f t="shared" si="89"/>
        <v>0</v>
      </c>
      <c r="O499" s="6">
        <f t="shared" si="88"/>
        <v>0</v>
      </c>
      <c r="P499" s="6" t="str">
        <f t="shared" si="84"/>
        <v>N</v>
      </c>
      <c r="Q499" s="6">
        <f t="shared" si="85"/>
        <v>11</v>
      </c>
      <c r="R499" s="6" t="str">
        <f t="shared" si="86"/>
        <v>2021</v>
      </c>
      <c r="S499" s="6" t="str">
        <f t="shared" si="87"/>
        <v>Sep</v>
      </c>
    </row>
    <row r="500" spans="1:19" x14ac:dyDescent="0.25">
      <c r="A500" s="6">
        <v>1270</v>
      </c>
      <c r="B500" s="6" t="str">
        <f t="shared" si="79"/>
        <v>NIKDIG01270</v>
      </c>
      <c r="C500" s="7" t="s">
        <v>704</v>
      </c>
      <c r="D500" s="7" t="s">
        <v>476</v>
      </c>
      <c r="E500" s="7" t="str">
        <f t="shared" si="80"/>
        <v>SHASHANK DWIVEDI</v>
      </c>
      <c r="F500" s="7" t="s">
        <v>11</v>
      </c>
      <c r="G500" s="22">
        <v>44669</v>
      </c>
      <c r="H500" s="8">
        <v>48328</v>
      </c>
      <c r="I500" s="7" t="str">
        <f t="shared" si="81"/>
        <v>shashank.dwivedi@di.dwi.ba</v>
      </c>
      <c r="J500" s="6" t="s">
        <v>1544</v>
      </c>
      <c r="K500" s="6">
        <v>42</v>
      </c>
      <c r="L500" s="7" t="str">
        <f t="shared" si="82"/>
        <v>di.dwi.ba</v>
      </c>
      <c r="M500" s="7" t="str">
        <f t="shared" si="83"/>
        <v>D.Shashank</v>
      </c>
      <c r="N500" s="6">
        <f t="shared" si="89"/>
        <v>0</v>
      </c>
      <c r="O500" s="6">
        <f t="shared" si="88"/>
        <v>5</v>
      </c>
      <c r="P500" s="6" t="str">
        <f t="shared" si="84"/>
        <v>N</v>
      </c>
      <c r="Q500" s="6">
        <f t="shared" si="85"/>
        <v>15</v>
      </c>
      <c r="R500" s="6" t="str">
        <f t="shared" si="86"/>
        <v>2022</v>
      </c>
      <c r="S500" s="6" t="str">
        <f t="shared" si="87"/>
        <v>Apr</v>
      </c>
    </row>
    <row r="501" spans="1:19" x14ac:dyDescent="0.25">
      <c r="A501" s="6">
        <v>1285</v>
      </c>
      <c r="B501" s="6" t="str">
        <f t="shared" si="79"/>
        <v>NIKDIG01285</v>
      </c>
      <c r="C501" s="7" t="s">
        <v>728</v>
      </c>
      <c r="D501" s="7" t="s">
        <v>514</v>
      </c>
      <c r="E501" s="7" t="str">
        <f t="shared" si="80"/>
        <v>KANDARP DAVE</v>
      </c>
      <c r="F501" s="7" t="s">
        <v>11</v>
      </c>
      <c r="G501" s="22">
        <v>44756</v>
      </c>
      <c r="H501" s="8">
        <v>69883</v>
      </c>
      <c r="I501" s="7" t="str">
        <f t="shared" si="81"/>
        <v>kandarp.dave@di.dae.ba</v>
      </c>
      <c r="J501" s="6" t="s">
        <v>1539</v>
      </c>
      <c r="K501" s="6">
        <v>86</v>
      </c>
      <c r="L501" s="7" t="str">
        <f t="shared" si="82"/>
        <v>di.dae.ba</v>
      </c>
      <c r="M501" s="7" t="str">
        <f t="shared" si="83"/>
        <v>D.Kandarp</v>
      </c>
      <c r="N501" s="6">
        <f t="shared" si="89"/>
        <v>0</v>
      </c>
      <c r="O501" s="6">
        <f t="shared" si="88"/>
        <v>4</v>
      </c>
      <c r="P501" s="6" t="str">
        <f t="shared" si="84"/>
        <v>N</v>
      </c>
      <c r="Q501" s="6">
        <f t="shared" si="85"/>
        <v>11</v>
      </c>
      <c r="R501" s="6" t="str">
        <f t="shared" si="86"/>
        <v>2022</v>
      </c>
      <c r="S501" s="6" t="str">
        <f t="shared" si="87"/>
        <v>Jul</v>
      </c>
    </row>
    <row r="502" spans="1:19" x14ac:dyDescent="0.25">
      <c r="A502" s="6">
        <v>1287</v>
      </c>
      <c r="B502" s="6" t="str">
        <f t="shared" si="79"/>
        <v>NIKDIG01287</v>
      </c>
      <c r="C502" s="7" t="s">
        <v>623</v>
      </c>
      <c r="D502" s="7" t="s">
        <v>1348</v>
      </c>
      <c r="E502" s="7" t="str">
        <f t="shared" si="80"/>
        <v>ARCHANA SAMBHAJI</v>
      </c>
      <c r="F502" s="7" t="s">
        <v>11</v>
      </c>
      <c r="G502" s="22">
        <v>44970</v>
      </c>
      <c r="H502" s="8">
        <v>44520</v>
      </c>
      <c r="I502" s="7" t="str">
        <f t="shared" si="81"/>
        <v>archana.sambhaji@di.sai.ba</v>
      </c>
      <c r="J502" s="6" t="s">
        <v>1535</v>
      </c>
      <c r="K502" s="6">
        <v>65</v>
      </c>
      <c r="L502" s="7" t="str">
        <f t="shared" si="82"/>
        <v>di.sai.ba</v>
      </c>
      <c r="M502" s="7" t="str">
        <f t="shared" si="83"/>
        <v>S.Archana</v>
      </c>
      <c r="N502" s="6">
        <f t="shared" si="89"/>
        <v>0</v>
      </c>
      <c r="O502" s="6">
        <f t="shared" si="88"/>
        <v>0</v>
      </c>
      <c r="P502" s="6" t="str">
        <f t="shared" si="84"/>
        <v>N</v>
      </c>
      <c r="Q502" s="6">
        <f t="shared" si="85"/>
        <v>15</v>
      </c>
      <c r="R502" s="6" t="str">
        <f t="shared" si="86"/>
        <v>2023</v>
      </c>
      <c r="S502" s="6" t="str">
        <f t="shared" si="87"/>
        <v>Feb</v>
      </c>
    </row>
    <row r="503" spans="1:19" x14ac:dyDescent="0.25">
      <c r="A503" s="6">
        <v>1311</v>
      </c>
      <c r="B503" s="6" t="str">
        <f t="shared" si="79"/>
        <v>NIKDIG01311</v>
      </c>
      <c r="C503" s="7" t="s">
        <v>537</v>
      </c>
      <c r="D503" s="7" t="s">
        <v>211</v>
      </c>
      <c r="E503" s="7" t="str">
        <f t="shared" si="80"/>
        <v>ANKITA ASHOK</v>
      </c>
      <c r="F503" s="7" t="s">
        <v>11</v>
      </c>
      <c r="G503" s="22">
        <v>44580</v>
      </c>
      <c r="H503" s="8">
        <v>44950</v>
      </c>
      <c r="I503" s="7" t="str">
        <f t="shared" si="81"/>
        <v>ankita.ashok@di.ask.ba</v>
      </c>
      <c r="J503" s="6" t="s">
        <v>1537</v>
      </c>
      <c r="K503" s="6">
        <v>79</v>
      </c>
      <c r="L503" s="7" t="str">
        <f t="shared" si="82"/>
        <v>di.ask.ba</v>
      </c>
      <c r="M503" s="7" t="str">
        <f t="shared" si="83"/>
        <v>A.Ankita</v>
      </c>
      <c r="N503" s="6">
        <f t="shared" si="89"/>
        <v>0</v>
      </c>
      <c r="O503" s="6">
        <f t="shared" si="88"/>
        <v>0</v>
      </c>
      <c r="P503" s="6" t="str">
        <f t="shared" si="84"/>
        <v>N</v>
      </c>
      <c r="Q503" s="6">
        <f t="shared" si="85"/>
        <v>11</v>
      </c>
      <c r="R503" s="6" t="str">
        <f t="shared" si="86"/>
        <v>2022</v>
      </c>
      <c r="S503" s="6" t="str">
        <f t="shared" si="87"/>
        <v>Jan</v>
      </c>
    </row>
    <row r="504" spans="1:19" x14ac:dyDescent="0.25">
      <c r="A504" s="6">
        <v>1321</v>
      </c>
      <c r="B504" s="6" t="str">
        <f t="shared" si="79"/>
        <v>NIKDIG01321</v>
      </c>
      <c r="C504" s="7" t="s">
        <v>1367</v>
      </c>
      <c r="D504" s="7" t="s">
        <v>62</v>
      </c>
      <c r="E504" s="7" t="str">
        <f t="shared" si="80"/>
        <v>NAINI JAIN</v>
      </c>
      <c r="F504" s="7" t="s">
        <v>11</v>
      </c>
      <c r="G504" s="22">
        <v>43146</v>
      </c>
      <c r="H504" s="8">
        <v>104795</v>
      </c>
      <c r="I504" s="7" t="str">
        <f t="shared" si="81"/>
        <v>naini.jain@di.jan.ba</v>
      </c>
      <c r="J504" s="6" t="s">
        <v>1547</v>
      </c>
      <c r="K504" s="6">
        <v>53</v>
      </c>
      <c r="L504" s="7" t="str">
        <f t="shared" si="82"/>
        <v>di.jan.ba</v>
      </c>
      <c r="M504" s="7" t="str">
        <f t="shared" si="83"/>
        <v>J.Naini</v>
      </c>
      <c r="N504" s="6">
        <f t="shared" si="89"/>
        <v>0</v>
      </c>
      <c r="O504" s="6">
        <f t="shared" si="88"/>
        <v>0</v>
      </c>
      <c r="P504" s="6" t="str">
        <f t="shared" si="84"/>
        <v>N</v>
      </c>
      <c r="Q504" s="6">
        <f t="shared" si="85"/>
        <v>9</v>
      </c>
      <c r="R504" s="6" t="str">
        <f t="shared" si="86"/>
        <v>2018</v>
      </c>
      <c r="S504" s="6" t="str">
        <f t="shared" si="87"/>
        <v>Feb</v>
      </c>
    </row>
    <row r="505" spans="1:19" x14ac:dyDescent="0.25">
      <c r="A505" s="6">
        <v>1330</v>
      </c>
      <c r="B505" s="6" t="str">
        <f t="shared" si="79"/>
        <v>NIKDIG01330</v>
      </c>
      <c r="C505" s="7" t="s">
        <v>625</v>
      </c>
      <c r="D505" s="7" t="s">
        <v>70</v>
      </c>
      <c r="E505" s="7" t="str">
        <f t="shared" si="80"/>
        <v>MANMINDER SINGH</v>
      </c>
      <c r="F505" s="7" t="s">
        <v>11</v>
      </c>
      <c r="G505" s="22">
        <v>43115</v>
      </c>
      <c r="H505" s="8">
        <v>83887</v>
      </c>
      <c r="I505" s="7" t="str">
        <f t="shared" si="81"/>
        <v>manminder.singh@di.sih.ba</v>
      </c>
      <c r="J505" s="6" t="s">
        <v>1547</v>
      </c>
      <c r="K505" s="6">
        <v>44</v>
      </c>
      <c r="L505" s="7" t="str">
        <f t="shared" si="82"/>
        <v>di.sih.ba</v>
      </c>
      <c r="M505" s="7" t="str">
        <f t="shared" si="83"/>
        <v>S.Manminder</v>
      </c>
      <c r="N505" s="6">
        <f t="shared" si="89"/>
        <v>8</v>
      </c>
      <c r="O505" s="6">
        <f t="shared" si="88"/>
        <v>0</v>
      </c>
      <c r="P505" s="6" t="str">
        <f t="shared" si="84"/>
        <v>N</v>
      </c>
      <c r="Q505" s="6">
        <f t="shared" si="85"/>
        <v>14</v>
      </c>
      <c r="R505" s="6" t="str">
        <f t="shared" si="86"/>
        <v>2018</v>
      </c>
      <c r="S505" s="6" t="str">
        <f t="shared" si="87"/>
        <v>Jan</v>
      </c>
    </row>
    <row r="506" spans="1:19" x14ac:dyDescent="0.25">
      <c r="A506" s="6">
        <v>1345</v>
      </c>
      <c r="B506" s="6" t="str">
        <f t="shared" si="79"/>
        <v>NIKDIG01345</v>
      </c>
      <c r="C506" s="7" t="s">
        <v>1387</v>
      </c>
      <c r="D506" s="7" t="s">
        <v>498</v>
      </c>
      <c r="E506" s="7" t="str">
        <f t="shared" si="80"/>
        <v>MANPREET KAUR</v>
      </c>
      <c r="F506" s="7" t="s">
        <v>11</v>
      </c>
      <c r="G506" s="22">
        <v>45110</v>
      </c>
      <c r="H506" s="8">
        <v>106661</v>
      </c>
      <c r="I506" s="7" t="str">
        <f t="shared" si="81"/>
        <v>manpreet.kaur@di.kar.ba</v>
      </c>
      <c r="J506" s="6" t="s">
        <v>1549</v>
      </c>
      <c r="K506" s="6">
        <v>70</v>
      </c>
      <c r="L506" s="7" t="str">
        <f t="shared" si="82"/>
        <v>di.kar.ba</v>
      </c>
      <c r="M506" s="7" t="str">
        <f t="shared" si="83"/>
        <v>K.Manpreet</v>
      </c>
      <c r="N506" s="6">
        <f t="shared" si="89"/>
        <v>6</v>
      </c>
      <c r="O506" s="6">
        <f t="shared" si="88"/>
        <v>0</v>
      </c>
      <c r="P506" s="6" t="str">
        <f t="shared" si="84"/>
        <v>N</v>
      </c>
      <c r="Q506" s="6">
        <f t="shared" si="85"/>
        <v>12</v>
      </c>
      <c r="R506" s="6" t="str">
        <f t="shared" si="86"/>
        <v>2023</v>
      </c>
      <c r="S506" s="6" t="str">
        <f t="shared" si="87"/>
        <v>Jul</v>
      </c>
    </row>
    <row r="507" spans="1:19" x14ac:dyDescent="0.25">
      <c r="A507" s="6">
        <v>1361</v>
      </c>
      <c r="B507" s="6" t="str">
        <f t="shared" si="79"/>
        <v>NIKDIG01361</v>
      </c>
      <c r="C507" s="7" t="s">
        <v>1403</v>
      </c>
      <c r="D507" s="7" t="s">
        <v>1404</v>
      </c>
      <c r="E507" s="7" t="str">
        <f t="shared" si="80"/>
        <v>RAVINDARSINGH LILURAM</v>
      </c>
      <c r="F507" s="7" t="s">
        <v>11</v>
      </c>
      <c r="G507" s="22">
        <v>44942</v>
      </c>
      <c r="H507" s="8">
        <v>60413</v>
      </c>
      <c r="I507" s="7" t="str">
        <f t="shared" si="81"/>
        <v>ravindarsingh.liluram@di.lim.ba</v>
      </c>
      <c r="J507" s="6" t="s">
        <v>1539</v>
      </c>
      <c r="K507" s="6">
        <v>38</v>
      </c>
      <c r="L507" s="7" t="str">
        <f t="shared" si="82"/>
        <v>di.lim.ba</v>
      </c>
      <c r="M507" s="7" t="str">
        <f t="shared" si="83"/>
        <v>L.Ravindarsingh</v>
      </c>
      <c r="N507" s="6">
        <f t="shared" si="89"/>
        <v>0</v>
      </c>
      <c r="O507" s="6">
        <f t="shared" si="88"/>
        <v>0</v>
      </c>
      <c r="P507" s="6" t="str">
        <f t="shared" si="84"/>
        <v>N</v>
      </c>
      <c r="Q507" s="6">
        <f t="shared" si="85"/>
        <v>20</v>
      </c>
      <c r="R507" s="6" t="str">
        <f t="shared" si="86"/>
        <v>2023</v>
      </c>
      <c r="S507" s="6" t="str">
        <f t="shared" si="87"/>
        <v>Jan</v>
      </c>
    </row>
    <row r="508" spans="1:19" x14ac:dyDescent="0.25">
      <c r="A508" s="6">
        <v>1364</v>
      </c>
      <c r="B508" s="6" t="str">
        <f t="shared" si="79"/>
        <v>NIKDIG01364</v>
      </c>
      <c r="C508" s="7" t="s">
        <v>1124</v>
      </c>
      <c r="D508" s="7" t="s">
        <v>570</v>
      </c>
      <c r="E508" s="7" t="str">
        <f t="shared" si="80"/>
        <v>ANIKET GAUTAM</v>
      </c>
      <c r="F508" s="7" t="s">
        <v>11</v>
      </c>
      <c r="G508" s="22">
        <v>45117</v>
      </c>
      <c r="H508" s="8">
        <v>84002</v>
      </c>
      <c r="I508" s="7" t="str">
        <f t="shared" si="81"/>
        <v>aniket.gautam@di.gam.ba</v>
      </c>
      <c r="J508" s="6" t="s">
        <v>1546</v>
      </c>
      <c r="K508" s="6">
        <v>72</v>
      </c>
      <c r="L508" s="7" t="str">
        <f t="shared" si="82"/>
        <v>di.gam.ba</v>
      </c>
      <c r="M508" s="7" t="str">
        <f t="shared" si="83"/>
        <v>G.Aniket</v>
      </c>
      <c r="N508" s="6">
        <f t="shared" si="89"/>
        <v>5</v>
      </c>
      <c r="O508" s="6">
        <f t="shared" si="88"/>
        <v>0</v>
      </c>
      <c r="P508" s="6" t="str">
        <f t="shared" si="84"/>
        <v>N</v>
      </c>
      <c r="Q508" s="6">
        <f t="shared" si="85"/>
        <v>12</v>
      </c>
      <c r="R508" s="6" t="str">
        <f t="shared" si="86"/>
        <v>2023</v>
      </c>
      <c r="S508" s="6" t="str">
        <f t="shared" si="87"/>
        <v>Jul</v>
      </c>
    </row>
    <row r="509" spans="1:19" x14ac:dyDescent="0.25">
      <c r="A509" s="6">
        <v>1369</v>
      </c>
      <c r="B509" s="6" t="str">
        <f t="shared" si="79"/>
        <v>NIKDIG01369</v>
      </c>
      <c r="C509" s="7" t="s">
        <v>1409</v>
      </c>
      <c r="D509" s="7" t="s">
        <v>498</v>
      </c>
      <c r="E509" s="7" t="str">
        <f t="shared" si="80"/>
        <v>GURSHEEN KAUR</v>
      </c>
      <c r="F509" s="7" t="s">
        <v>11</v>
      </c>
      <c r="G509" s="22">
        <v>45156</v>
      </c>
      <c r="H509" s="8">
        <v>85905</v>
      </c>
      <c r="I509" s="7" t="str">
        <f t="shared" si="81"/>
        <v>gursheen.kaur@di.kar.ba</v>
      </c>
      <c r="J509" s="6" t="s">
        <v>1535</v>
      </c>
      <c r="K509" s="6">
        <v>44</v>
      </c>
      <c r="L509" s="7" t="str">
        <f t="shared" si="82"/>
        <v>di.kar.ba</v>
      </c>
      <c r="M509" s="7" t="str">
        <f t="shared" si="83"/>
        <v>K.Gursheen</v>
      </c>
      <c r="N509" s="6">
        <f t="shared" si="89"/>
        <v>6</v>
      </c>
      <c r="O509" s="6">
        <f t="shared" si="88"/>
        <v>0</v>
      </c>
      <c r="P509" s="6" t="str">
        <f t="shared" si="84"/>
        <v>N</v>
      </c>
      <c r="Q509" s="6">
        <f t="shared" si="85"/>
        <v>12</v>
      </c>
      <c r="R509" s="6" t="str">
        <f t="shared" si="86"/>
        <v>2023</v>
      </c>
      <c r="S509" s="6" t="str">
        <f t="shared" si="87"/>
        <v>Aug</v>
      </c>
    </row>
    <row r="510" spans="1:19" x14ac:dyDescent="0.25">
      <c r="A510" s="6">
        <v>1385</v>
      </c>
      <c r="B510" s="6" t="str">
        <f t="shared" si="79"/>
        <v>NIKDIG01385</v>
      </c>
      <c r="C510" s="7" t="s">
        <v>1423</v>
      </c>
      <c r="D510" s="7" t="s">
        <v>1424</v>
      </c>
      <c r="E510" s="7" t="str">
        <f t="shared" si="80"/>
        <v>SWASTIK PRADHAN</v>
      </c>
      <c r="F510" s="7" t="s">
        <v>11</v>
      </c>
      <c r="G510" s="22">
        <v>43678</v>
      </c>
      <c r="H510" s="8">
        <v>90048</v>
      </c>
      <c r="I510" s="7" t="str">
        <f t="shared" si="81"/>
        <v>swastik.pradhan@di.prn.ba</v>
      </c>
      <c r="J510" s="6" t="s">
        <v>1544</v>
      </c>
      <c r="K510" s="6">
        <v>63</v>
      </c>
      <c r="L510" s="7" t="str">
        <f t="shared" si="82"/>
        <v>di.prn.ba</v>
      </c>
      <c r="M510" s="7" t="str">
        <f t="shared" si="83"/>
        <v>P.Swastik</v>
      </c>
      <c r="N510" s="6">
        <f t="shared" si="89"/>
        <v>0</v>
      </c>
      <c r="O510" s="6">
        <f t="shared" si="88"/>
        <v>0</v>
      </c>
      <c r="P510" s="6" t="str">
        <f t="shared" si="84"/>
        <v>N</v>
      </c>
      <c r="Q510" s="6">
        <f t="shared" si="85"/>
        <v>14</v>
      </c>
      <c r="R510" s="6" t="str">
        <f t="shared" si="86"/>
        <v>2019</v>
      </c>
      <c r="S510" s="6" t="str">
        <f t="shared" si="87"/>
        <v>Aug</v>
      </c>
    </row>
    <row r="511" spans="1:19" x14ac:dyDescent="0.25">
      <c r="A511" s="6">
        <v>1386</v>
      </c>
      <c r="B511" s="6" t="str">
        <f t="shared" si="79"/>
        <v>NIKDIG01386</v>
      </c>
      <c r="C511" s="7" t="s">
        <v>1425</v>
      </c>
      <c r="D511" s="7" t="s">
        <v>1426</v>
      </c>
      <c r="E511" s="7" t="str">
        <f t="shared" si="80"/>
        <v>TANYA KARIR</v>
      </c>
      <c r="F511" s="7" t="s">
        <v>11</v>
      </c>
      <c r="G511" s="22">
        <v>43899</v>
      </c>
      <c r="H511" s="8">
        <v>29587</v>
      </c>
      <c r="I511" s="7" t="str">
        <f t="shared" si="81"/>
        <v>tanya.karir@di.kar.ba</v>
      </c>
      <c r="J511" s="6" t="s">
        <v>1538</v>
      </c>
      <c r="K511" s="6">
        <v>39</v>
      </c>
      <c r="L511" s="7" t="str">
        <f t="shared" si="82"/>
        <v>di.kar.ba</v>
      </c>
      <c r="M511" s="7" t="str">
        <f t="shared" si="83"/>
        <v>K.Tanya</v>
      </c>
      <c r="N511" s="6">
        <f t="shared" si="89"/>
        <v>0</v>
      </c>
      <c r="O511" s="6">
        <f t="shared" si="88"/>
        <v>0</v>
      </c>
      <c r="P511" s="6" t="str">
        <f t="shared" si="84"/>
        <v>N</v>
      </c>
      <c r="Q511" s="6">
        <f t="shared" si="85"/>
        <v>10</v>
      </c>
      <c r="R511" s="6" t="str">
        <f t="shared" si="86"/>
        <v>2020</v>
      </c>
      <c r="S511" s="6" t="str">
        <f t="shared" si="87"/>
        <v>Mar</v>
      </c>
    </row>
    <row r="512" spans="1:19" x14ac:dyDescent="0.25">
      <c r="A512" s="6">
        <v>1389</v>
      </c>
      <c r="B512" s="6" t="str">
        <f t="shared" si="79"/>
        <v>NIKDIG01389</v>
      </c>
      <c r="C512" s="7" t="s">
        <v>24</v>
      </c>
      <c r="D512" s="7" t="s">
        <v>1430</v>
      </c>
      <c r="E512" s="7" t="str">
        <f t="shared" si="80"/>
        <v>RAVI KHEDKAR</v>
      </c>
      <c r="F512" s="7" t="s">
        <v>11</v>
      </c>
      <c r="G512" s="22">
        <v>44753</v>
      </c>
      <c r="H512" s="8">
        <v>46299</v>
      </c>
      <c r="I512" s="7" t="str">
        <f t="shared" si="81"/>
        <v>ravi.khedkar@di.khr.ba</v>
      </c>
      <c r="J512" s="6" t="s">
        <v>1542</v>
      </c>
      <c r="K512" s="6">
        <v>64</v>
      </c>
      <c r="L512" s="7" t="str">
        <f t="shared" si="82"/>
        <v>di.khr.ba</v>
      </c>
      <c r="M512" s="7" t="str">
        <f t="shared" si="83"/>
        <v>K.Ravi</v>
      </c>
      <c r="N512" s="6">
        <f t="shared" si="89"/>
        <v>0</v>
      </c>
      <c r="O512" s="6">
        <f t="shared" si="88"/>
        <v>3</v>
      </c>
      <c r="P512" s="6" t="str">
        <f t="shared" si="84"/>
        <v>N</v>
      </c>
      <c r="Q512" s="6">
        <f t="shared" si="85"/>
        <v>11</v>
      </c>
      <c r="R512" s="6" t="str">
        <f t="shared" si="86"/>
        <v>2022</v>
      </c>
      <c r="S512" s="6" t="str">
        <f t="shared" si="87"/>
        <v>Jul</v>
      </c>
    </row>
    <row r="513" spans="1:19" x14ac:dyDescent="0.25">
      <c r="A513" s="6">
        <v>1405</v>
      </c>
      <c r="B513" s="6" t="str">
        <f t="shared" si="79"/>
        <v>NIKDIG01405</v>
      </c>
      <c r="C513" s="7" t="s">
        <v>1015</v>
      </c>
      <c r="D513" s="7" t="s">
        <v>788</v>
      </c>
      <c r="E513" s="7" t="str">
        <f t="shared" si="80"/>
        <v>ASTHA CHAWLA</v>
      </c>
      <c r="F513" s="7" t="s">
        <v>11</v>
      </c>
      <c r="G513" s="22">
        <v>45334</v>
      </c>
      <c r="H513" s="8">
        <v>39177</v>
      </c>
      <c r="I513" s="7" t="str">
        <f t="shared" si="81"/>
        <v>astha.chawla@di.cha.ba</v>
      </c>
      <c r="J513" s="6" t="s">
        <v>1550</v>
      </c>
      <c r="K513" s="6">
        <v>60</v>
      </c>
      <c r="L513" s="7" t="str">
        <f t="shared" si="82"/>
        <v>di.cha.ba</v>
      </c>
      <c r="M513" s="7" t="str">
        <f t="shared" si="83"/>
        <v>C.Astha</v>
      </c>
      <c r="N513" s="6">
        <f t="shared" si="89"/>
        <v>0</v>
      </c>
      <c r="O513" s="6">
        <f t="shared" si="88"/>
        <v>0</v>
      </c>
      <c r="P513" s="6" t="str">
        <f t="shared" si="84"/>
        <v>N</v>
      </c>
      <c r="Q513" s="6">
        <f t="shared" si="85"/>
        <v>11</v>
      </c>
      <c r="R513" s="6" t="str">
        <f t="shared" si="86"/>
        <v>2024</v>
      </c>
      <c r="S513" s="6" t="str">
        <f t="shared" si="87"/>
        <v>Feb</v>
      </c>
    </row>
    <row r="514" spans="1:19" x14ac:dyDescent="0.25">
      <c r="A514" s="6">
        <v>1413</v>
      </c>
      <c r="B514" s="6" t="str">
        <f t="shared" ref="B514:B577" si="90">_xlfn.TEXTJOIN("",TRUE,"NIK",UPPER(LEFT(SUBSTITUTE(SUBSTITUTE(F514," ",""),"&amp;",""),3)),TEXT(A514,"00000"))</f>
        <v>NIKDIG01413</v>
      </c>
      <c r="C514" s="7" t="s">
        <v>1447</v>
      </c>
      <c r="D514" s="7" t="s">
        <v>1448</v>
      </c>
      <c r="E514" s="7" t="str">
        <f t="shared" ref="E514:E577" si="91">_xlfn.TEXTJOIN(" ",TRUE,C514,D514)</f>
        <v>SUBHRONIL BHATTACHARYA</v>
      </c>
      <c r="F514" s="7" t="s">
        <v>11</v>
      </c>
      <c r="G514" s="22">
        <v>44975</v>
      </c>
      <c r="H514" s="8">
        <v>97064</v>
      </c>
      <c r="I514" s="7" t="str">
        <f t="shared" ref="I514:I577" si="92">LOWER(C514&amp;"."&amp;D514&amp;"@"&amp;LEFT(SUBSTITUTE(F514," ",""),2))&amp;LOWER("."&amp;LEFT(D514,2))&amp;LOWER(RIGHT(D514,1))&amp;".ba"</f>
        <v>subhronil.bhattacharya@di.bha.ba</v>
      </c>
      <c r="J514" s="6" t="s">
        <v>1546</v>
      </c>
      <c r="K514" s="6">
        <v>55</v>
      </c>
      <c r="L514" s="7" t="str">
        <f t="shared" ref="L514:L577" si="93">RIGHT(I514,LEN(I514)-FIND("@",I514))</f>
        <v>di.bha.ba</v>
      </c>
      <c r="M514" s="7" t="str">
        <f t="shared" ref="M514:M577" si="94">UPPER(LEFT(D514,1))&amp;"."&amp;PROPER(C514)</f>
        <v>B.Subhronil</v>
      </c>
      <c r="N514" s="6">
        <f t="shared" si="89"/>
        <v>0</v>
      </c>
      <c r="O514" s="6">
        <f t="shared" si="88"/>
        <v>0</v>
      </c>
      <c r="P514" s="6" t="str">
        <f t="shared" ref="P514:P577" si="95">IF(AND(N514&gt;=1,O514&gt;=1),"Y","N")</f>
        <v>N</v>
      </c>
      <c r="Q514" s="6">
        <f t="shared" ref="Q514:Q577" si="96">LEN(SUBSTITUTE(E514, " ", ""))</f>
        <v>21</v>
      </c>
      <c r="R514" s="6" t="str">
        <f t="shared" ref="R514:R577" si="97">TEXT(G514,"YYYY")</f>
        <v>2023</v>
      </c>
      <c r="S514" s="6" t="str">
        <f t="shared" ref="S514:S577" si="98">TEXT(G514,"MMM")</f>
        <v>Feb</v>
      </c>
    </row>
    <row r="515" spans="1:19" x14ac:dyDescent="0.25">
      <c r="A515" s="6">
        <v>1414</v>
      </c>
      <c r="B515" s="6" t="str">
        <f t="shared" si="90"/>
        <v>NIKDIG01414</v>
      </c>
      <c r="C515" s="7" t="s">
        <v>1449</v>
      </c>
      <c r="D515" s="7" t="s">
        <v>1450</v>
      </c>
      <c r="E515" s="7" t="str">
        <f t="shared" si="91"/>
        <v>DHARA PANKAJBHAI</v>
      </c>
      <c r="F515" s="7" t="s">
        <v>11</v>
      </c>
      <c r="G515" s="22">
        <v>44760</v>
      </c>
      <c r="H515" s="8">
        <v>46871</v>
      </c>
      <c r="I515" s="7" t="str">
        <f t="shared" si="92"/>
        <v>dhara.pankajbhai@di.pai.ba</v>
      </c>
      <c r="J515" s="6" t="s">
        <v>1532</v>
      </c>
      <c r="K515" s="6">
        <v>83</v>
      </c>
      <c r="L515" s="7" t="str">
        <f t="shared" si="93"/>
        <v>di.pai.ba</v>
      </c>
      <c r="M515" s="7" t="str">
        <f t="shared" si="94"/>
        <v>P.Dhara</v>
      </c>
      <c r="N515" s="6">
        <f t="shared" si="89"/>
        <v>0</v>
      </c>
      <c r="O515" s="6">
        <f t="shared" si="88"/>
        <v>0</v>
      </c>
      <c r="P515" s="6" t="str">
        <f t="shared" si="95"/>
        <v>N</v>
      </c>
      <c r="Q515" s="6">
        <f t="shared" si="96"/>
        <v>15</v>
      </c>
      <c r="R515" s="6" t="str">
        <f t="shared" si="97"/>
        <v>2022</v>
      </c>
      <c r="S515" s="6" t="str">
        <f t="shared" si="98"/>
        <v>Jul</v>
      </c>
    </row>
    <row r="516" spans="1:19" x14ac:dyDescent="0.25">
      <c r="A516" s="6">
        <v>1415</v>
      </c>
      <c r="B516" s="6" t="str">
        <f t="shared" si="90"/>
        <v>NIKDIG01415</v>
      </c>
      <c r="C516" s="7" t="s">
        <v>392</v>
      </c>
      <c r="D516" s="7" t="s">
        <v>976</v>
      </c>
      <c r="E516" s="7" t="str">
        <f t="shared" si="91"/>
        <v>AKSHAY BALASAHEB</v>
      </c>
      <c r="F516" s="7" t="s">
        <v>11</v>
      </c>
      <c r="G516" s="22">
        <v>45078</v>
      </c>
      <c r="H516" s="8">
        <v>51543</v>
      </c>
      <c r="I516" s="7" t="str">
        <f t="shared" si="92"/>
        <v>akshay.balasaheb@di.bab.ba</v>
      </c>
      <c r="J516" s="6" t="s">
        <v>1548</v>
      </c>
      <c r="K516" s="6">
        <v>57</v>
      </c>
      <c r="L516" s="7" t="str">
        <f t="shared" si="93"/>
        <v>di.bab.ba</v>
      </c>
      <c r="M516" s="7" t="str">
        <f t="shared" si="94"/>
        <v>B.Akshay</v>
      </c>
      <c r="N516" s="6">
        <f t="shared" si="89"/>
        <v>0</v>
      </c>
      <c r="O516" s="6">
        <f t="shared" si="88"/>
        <v>8</v>
      </c>
      <c r="P516" s="6" t="str">
        <f t="shared" si="95"/>
        <v>N</v>
      </c>
      <c r="Q516" s="6">
        <f t="shared" si="96"/>
        <v>15</v>
      </c>
      <c r="R516" s="6" t="str">
        <f t="shared" si="97"/>
        <v>2023</v>
      </c>
      <c r="S516" s="6" t="str">
        <f t="shared" si="98"/>
        <v>Jun</v>
      </c>
    </row>
    <row r="517" spans="1:19" x14ac:dyDescent="0.25">
      <c r="A517" s="6">
        <v>1425</v>
      </c>
      <c r="B517" s="6" t="str">
        <f t="shared" si="90"/>
        <v>NIKDIG01425</v>
      </c>
      <c r="C517" s="7" t="s">
        <v>1456</v>
      </c>
      <c r="D517" s="7" t="s">
        <v>1457</v>
      </c>
      <c r="E517" s="7" t="str">
        <f t="shared" si="91"/>
        <v>RUFUS HENRY</v>
      </c>
      <c r="F517" s="7" t="s">
        <v>11</v>
      </c>
      <c r="G517" s="22">
        <v>44725</v>
      </c>
      <c r="H517" s="8">
        <v>31537</v>
      </c>
      <c r="I517" s="7" t="str">
        <f t="shared" si="92"/>
        <v>rufus.henry@di.hey.ba</v>
      </c>
      <c r="J517" s="6" t="s">
        <v>1547</v>
      </c>
      <c r="K517" s="6">
        <v>69</v>
      </c>
      <c r="L517" s="7" t="str">
        <f t="shared" si="93"/>
        <v>di.hey.ba</v>
      </c>
      <c r="M517" s="7" t="str">
        <f t="shared" si="94"/>
        <v>H.Rufus</v>
      </c>
      <c r="N517" s="6">
        <f t="shared" si="89"/>
        <v>0</v>
      </c>
      <c r="O517" s="6">
        <f t="shared" si="88"/>
        <v>2</v>
      </c>
      <c r="P517" s="6" t="str">
        <f t="shared" si="95"/>
        <v>N</v>
      </c>
      <c r="Q517" s="6">
        <f t="shared" si="96"/>
        <v>10</v>
      </c>
      <c r="R517" s="6" t="str">
        <f t="shared" si="97"/>
        <v>2022</v>
      </c>
      <c r="S517" s="6" t="str">
        <f t="shared" si="98"/>
        <v>Jun</v>
      </c>
    </row>
    <row r="518" spans="1:19" x14ac:dyDescent="0.25">
      <c r="A518" s="6">
        <v>1438</v>
      </c>
      <c r="B518" s="6" t="str">
        <f t="shared" si="90"/>
        <v>NIKDIG01438</v>
      </c>
      <c r="C518" s="7" t="s">
        <v>1472</v>
      </c>
      <c r="D518" s="7" t="s">
        <v>1473</v>
      </c>
      <c r="E518" s="7" t="str">
        <f t="shared" si="91"/>
        <v>Adarsh Singh</v>
      </c>
      <c r="F518" s="7" t="s">
        <v>11</v>
      </c>
      <c r="G518" s="22">
        <v>44713</v>
      </c>
      <c r="H518" s="8">
        <v>80066</v>
      </c>
      <c r="I518" s="7" t="str">
        <f t="shared" si="92"/>
        <v>adarsh.singh@di.sih.ba</v>
      </c>
      <c r="J518" s="6" t="s">
        <v>1542</v>
      </c>
      <c r="K518" s="6">
        <v>57</v>
      </c>
      <c r="L518" s="7" t="str">
        <f t="shared" si="93"/>
        <v>di.sih.ba</v>
      </c>
      <c r="M518" s="7" t="str">
        <f t="shared" si="94"/>
        <v>S.Adarsh</v>
      </c>
      <c r="N518" s="6">
        <f t="shared" si="89"/>
        <v>0</v>
      </c>
      <c r="O518" s="6">
        <f t="shared" si="88"/>
        <v>0</v>
      </c>
      <c r="P518" s="6" t="str">
        <f t="shared" si="95"/>
        <v>N</v>
      </c>
      <c r="Q518" s="6">
        <f t="shared" si="96"/>
        <v>11</v>
      </c>
      <c r="R518" s="6" t="str">
        <f t="shared" si="97"/>
        <v>2022</v>
      </c>
      <c r="S518" s="6" t="str">
        <f t="shared" si="98"/>
        <v>Jun</v>
      </c>
    </row>
    <row r="519" spans="1:19" x14ac:dyDescent="0.25">
      <c r="A519" s="6">
        <v>1457</v>
      </c>
      <c r="B519" s="6" t="str">
        <f t="shared" si="90"/>
        <v>NIKDIG01457</v>
      </c>
      <c r="C519" s="7" t="s">
        <v>1498</v>
      </c>
      <c r="D519" s="7" t="s">
        <v>1499</v>
      </c>
      <c r="E519" s="7" t="str">
        <f t="shared" si="91"/>
        <v>AJINKYA PRADIP</v>
      </c>
      <c r="F519" s="7" t="s">
        <v>11</v>
      </c>
      <c r="G519" s="22">
        <v>44699</v>
      </c>
      <c r="H519" s="8">
        <v>76976</v>
      </c>
      <c r="I519" s="7" t="str">
        <f t="shared" si="92"/>
        <v>ajinkya.pradip@di.prp.ba</v>
      </c>
      <c r="J519" s="6" t="s">
        <v>1550</v>
      </c>
      <c r="K519" s="6">
        <v>81</v>
      </c>
      <c r="L519" s="7" t="str">
        <f t="shared" si="93"/>
        <v>di.prp.ba</v>
      </c>
      <c r="M519" s="7" t="str">
        <f t="shared" si="94"/>
        <v>P.Ajinkya</v>
      </c>
      <c r="N519" s="6">
        <f t="shared" si="89"/>
        <v>0</v>
      </c>
      <c r="O519" s="6">
        <f t="shared" si="88"/>
        <v>0</v>
      </c>
      <c r="P519" s="6" t="str">
        <f t="shared" si="95"/>
        <v>N</v>
      </c>
      <c r="Q519" s="6">
        <f t="shared" si="96"/>
        <v>13</v>
      </c>
      <c r="R519" s="6" t="str">
        <f t="shared" si="97"/>
        <v>2022</v>
      </c>
      <c r="S519" s="6" t="str">
        <f t="shared" si="98"/>
        <v>May</v>
      </c>
    </row>
    <row r="520" spans="1:19" x14ac:dyDescent="0.25">
      <c r="A520" s="6">
        <v>1468</v>
      </c>
      <c r="B520" s="6" t="str">
        <f t="shared" si="90"/>
        <v>NIKDIG01468</v>
      </c>
      <c r="C520" s="7" t="s">
        <v>1515</v>
      </c>
      <c r="D520" s="7" t="s">
        <v>351</v>
      </c>
      <c r="E520" s="7" t="str">
        <f t="shared" si="91"/>
        <v>RASHI .</v>
      </c>
      <c r="F520" s="7" t="s">
        <v>11</v>
      </c>
      <c r="G520" s="22">
        <v>45505</v>
      </c>
      <c r="H520" s="8">
        <v>105254</v>
      </c>
      <c r="I520" s="7" t="str">
        <f t="shared" si="92"/>
        <v>rashi..@di....ba</v>
      </c>
      <c r="J520" s="6" t="s">
        <v>1537</v>
      </c>
      <c r="K520" s="6">
        <v>48</v>
      </c>
      <c r="L520" s="7" t="str">
        <f t="shared" si="93"/>
        <v>di....ba</v>
      </c>
      <c r="M520" s="7" t="str">
        <f t="shared" si="94"/>
        <v>..Rashi</v>
      </c>
      <c r="N520" s="6">
        <f t="shared" si="89"/>
        <v>0</v>
      </c>
      <c r="O520" s="6">
        <f t="shared" si="88"/>
        <v>0</v>
      </c>
      <c r="P520" s="6" t="str">
        <f t="shared" si="95"/>
        <v>N</v>
      </c>
      <c r="Q520" s="6">
        <f t="shared" si="96"/>
        <v>6</v>
      </c>
      <c r="R520" s="6" t="str">
        <f t="shared" si="97"/>
        <v>2024</v>
      </c>
      <c r="S520" s="6" t="str">
        <f t="shared" si="98"/>
        <v>Aug</v>
      </c>
    </row>
    <row r="521" spans="1:19" x14ac:dyDescent="0.25">
      <c r="A521" s="6">
        <v>1482</v>
      </c>
      <c r="B521" s="6" t="str">
        <f t="shared" si="90"/>
        <v>NIKDIG01482</v>
      </c>
      <c r="C521" s="7" t="s">
        <v>1529</v>
      </c>
      <c r="D521" s="7" t="s">
        <v>1530</v>
      </c>
      <c r="E521" s="7" t="str">
        <f t="shared" si="91"/>
        <v>RUHI SALUJA</v>
      </c>
      <c r="F521" s="7" t="s">
        <v>11</v>
      </c>
      <c r="G521" s="22">
        <v>42784</v>
      </c>
      <c r="H521" s="8">
        <v>101435</v>
      </c>
      <c r="I521" s="7" t="str">
        <f t="shared" si="92"/>
        <v>ruhi.saluja@di.saa.ba</v>
      </c>
      <c r="J521" s="6" t="s">
        <v>1543</v>
      </c>
      <c r="K521" s="6">
        <v>48</v>
      </c>
      <c r="L521" s="7" t="str">
        <f t="shared" si="93"/>
        <v>di.saa.ba</v>
      </c>
      <c r="M521" s="7" t="str">
        <f t="shared" si="94"/>
        <v>S.Ruhi</v>
      </c>
      <c r="N521" s="6">
        <f t="shared" si="89"/>
        <v>0</v>
      </c>
      <c r="O521" s="6">
        <f t="shared" si="88"/>
        <v>0</v>
      </c>
      <c r="P521" s="6" t="str">
        <f t="shared" si="95"/>
        <v>N</v>
      </c>
      <c r="Q521" s="6">
        <f t="shared" si="96"/>
        <v>10</v>
      </c>
      <c r="R521" s="6" t="str">
        <f t="shared" si="97"/>
        <v>2017</v>
      </c>
      <c r="S521" s="6" t="str">
        <f t="shared" si="98"/>
        <v>Feb</v>
      </c>
    </row>
    <row r="522" spans="1:19" x14ac:dyDescent="0.25">
      <c r="A522" s="6">
        <v>10</v>
      </c>
      <c r="B522" s="6" t="str">
        <f t="shared" si="90"/>
        <v>NIKFIN00010</v>
      </c>
      <c r="C522" s="7" t="s">
        <v>63</v>
      </c>
      <c r="D522" s="7" t="s">
        <v>64</v>
      </c>
      <c r="E522" s="7" t="str">
        <f t="shared" si="91"/>
        <v>PREET NAIR</v>
      </c>
      <c r="F522" s="7" t="s">
        <v>12</v>
      </c>
      <c r="G522" s="22">
        <v>39097</v>
      </c>
      <c r="H522" s="8">
        <v>32204</v>
      </c>
      <c r="I522" s="7" t="str">
        <f t="shared" si="92"/>
        <v>preet.nair@fi.nar.ba</v>
      </c>
      <c r="J522" s="6" t="s">
        <v>1539</v>
      </c>
      <c r="K522" s="6">
        <v>56</v>
      </c>
      <c r="L522" s="7" t="str">
        <f t="shared" si="93"/>
        <v>fi.nar.ba</v>
      </c>
      <c r="M522" s="7" t="str">
        <f t="shared" si="94"/>
        <v>N.Preet</v>
      </c>
      <c r="N522" s="6">
        <f t="shared" si="89"/>
        <v>3</v>
      </c>
      <c r="O522" s="6">
        <f t="shared" si="88"/>
        <v>0</v>
      </c>
      <c r="P522" s="6" t="str">
        <f t="shared" si="95"/>
        <v>N</v>
      </c>
      <c r="Q522" s="6">
        <f t="shared" si="96"/>
        <v>9</v>
      </c>
      <c r="R522" s="6" t="str">
        <f t="shared" si="97"/>
        <v>2007</v>
      </c>
      <c r="S522" s="6" t="str">
        <f t="shared" si="98"/>
        <v>Jan</v>
      </c>
    </row>
    <row r="523" spans="1:19" x14ac:dyDescent="0.25">
      <c r="A523" s="6">
        <v>11</v>
      </c>
      <c r="B523" s="6" t="str">
        <f t="shared" si="90"/>
        <v>NIKFIN00011</v>
      </c>
      <c r="C523" s="7" t="s">
        <v>65</v>
      </c>
      <c r="D523" s="7" t="s">
        <v>66</v>
      </c>
      <c r="E523" s="7" t="str">
        <f t="shared" si="91"/>
        <v>RAHUL J</v>
      </c>
      <c r="F523" s="7" t="s">
        <v>12</v>
      </c>
      <c r="G523" s="22">
        <v>39142</v>
      </c>
      <c r="H523" s="8">
        <v>83661</v>
      </c>
      <c r="I523" s="7" t="str">
        <f t="shared" si="92"/>
        <v>rahul.j@fi.jj.ba</v>
      </c>
      <c r="J523" s="6" t="s">
        <v>1537</v>
      </c>
      <c r="K523" s="6">
        <v>82</v>
      </c>
      <c r="L523" s="7" t="str">
        <f t="shared" si="93"/>
        <v>fi.jj.ba</v>
      </c>
      <c r="M523" s="7" t="str">
        <f t="shared" si="94"/>
        <v>J.Rahul</v>
      </c>
      <c r="N523" s="6">
        <f t="shared" si="89"/>
        <v>0</v>
      </c>
      <c r="O523" s="6">
        <f t="shared" si="88"/>
        <v>0</v>
      </c>
      <c r="P523" s="6" t="str">
        <f t="shared" si="95"/>
        <v>N</v>
      </c>
      <c r="Q523" s="6">
        <f t="shared" si="96"/>
        <v>6</v>
      </c>
      <c r="R523" s="6" t="str">
        <f t="shared" si="97"/>
        <v>2007</v>
      </c>
      <c r="S523" s="6" t="str">
        <f t="shared" si="98"/>
        <v>Mar</v>
      </c>
    </row>
    <row r="524" spans="1:19" x14ac:dyDescent="0.25">
      <c r="A524" s="6">
        <v>20</v>
      </c>
      <c r="B524" s="6" t="str">
        <f t="shared" si="90"/>
        <v>NIKFIN00020</v>
      </c>
      <c r="C524" s="7" t="s">
        <v>82</v>
      </c>
      <c r="D524" s="7" t="s">
        <v>70</v>
      </c>
      <c r="E524" s="7" t="str">
        <f t="shared" si="91"/>
        <v>VIRENDER SINGH</v>
      </c>
      <c r="F524" s="7" t="s">
        <v>12</v>
      </c>
      <c r="G524" s="22">
        <v>39244</v>
      </c>
      <c r="H524" s="8">
        <v>27772</v>
      </c>
      <c r="I524" s="7" t="str">
        <f t="shared" si="92"/>
        <v>virender.singh@fi.sih.ba</v>
      </c>
      <c r="J524" s="6" t="s">
        <v>1538</v>
      </c>
      <c r="K524" s="6">
        <v>37</v>
      </c>
      <c r="L524" s="7" t="str">
        <f t="shared" si="93"/>
        <v>fi.sih.ba</v>
      </c>
      <c r="M524" s="7" t="str">
        <f t="shared" si="94"/>
        <v>S.Virender</v>
      </c>
      <c r="N524" s="6">
        <f t="shared" si="89"/>
        <v>4</v>
      </c>
      <c r="O524" s="6">
        <f t="shared" si="88"/>
        <v>0</v>
      </c>
      <c r="P524" s="6" t="str">
        <f t="shared" si="95"/>
        <v>N</v>
      </c>
      <c r="Q524" s="6">
        <f t="shared" si="96"/>
        <v>13</v>
      </c>
      <c r="R524" s="6" t="str">
        <f t="shared" si="97"/>
        <v>2007</v>
      </c>
      <c r="S524" s="6" t="str">
        <f t="shared" si="98"/>
        <v>Jun</v>
      </c>
    </row>
    <row r="525" spans="1:19" x14ac:dyDescent="0.25">
      <c r="A525" s="6">
        <v>30</v>
      </c>
      <c r="B525" s="6" t="str">
        <f t="shared" si="90"/>
        <v>NIKFIN00030</v>
      </c>
      <c r="C525" s="7" t="s">
        <v>94</v>
      </c>
      <c r="D525" s="7" t="s">
        <v>95</v>
      </c>
      <c r="E525" s="7" t="str">
        <f t="shared" si="91"/>
        <v>VISHWANATH JOSHI</v>
      </c>
      <c r="F525" s="7" t="s">
        <v>12</v>
      </c>
      <c r="G525" s="22">
        <v>39570</v>
      </c>
      <c r="H525" s="8">
        <v>25624</v>
      </c>
      <c r="I525" s="7" t="str">
        <f t="shared" si="92"/>
        <v>vishwanath.joshi@fi.joi.ba</v>
      </c>
      <c r="J525" s="6" t="s">
        <v>1550</v>
      </c>
      <c r="K525" s="6">
        <v>55</v>
      </c>
      <c r="L525" s="7" t="str">
        <f t="shared" si="93"/>
        <v>fi.joi.ba</v>
      </c>
      <c r="M525" s="7" t="str">
        <f t="shared" si="94"/>
        <v>J.Vishwanath</v>
      </c>
      <c r="N525" s="6">
        <f t="shared" si="89"/>
        <v>0</v>
      </c>
      <c r="O525" s="6">
        <f t="shared" si="88"/>
        <v>0</v>
      </c>
      <c r="P525" s="6" t="str">
        <f t="shared" si="95"/>
        <v>N</v>
      </c>
      <c r="Q525" s="6">
        <f t="shared" si="96"/>
        <v>15</v>
      </c>
      <c r="R525" s="6" t="str">
        <f t="shared" si="97"/>
        <v>2008</v>
      </c>
      <c r="S525" s="6" t="str">
        <f t="shared" si="98"/>
        <v>May</v>
      </c>
    </row>
    <row r="526" spans="1:19" x14ac:dyDescent="0.25">
      <c r="A526" s="6">
        <v>33</v>
      </c>
      <c r="B526" s="6" t="str">
        <f t="shared" si="90"/>
        <v>NIKFIN00033</v>
      </c>
      <c r="C526" s="7" t="s">
        <v>99</v>
      </c>
      <c r="D526" s="7" t="s">
        <v>100</v>
      </c>
      <c r="E526" s="7" t="str">
        <f t="shared" si="91"/>
        <v>DANNY THAKUR</v>
      </c>
      <c r="F526" s="7" t="s">
        <v>12</v>
      </c>
      <c r="G526" s="22">
        <v>39671</v>
      </c>
      <c r="H526" s="8">
        <v>47604</v>
      </c>
      <c r="I526" s="7" t="str">
        <f t="shared" si="92"/>
        <v>danny.thakur@fi.thr.ba</v>
      </c>
      <c r="J526" s="6" t="s">
        <v>1535</v>
      </c>
      <c r="K526" s="6">
        <v>66</v>
      </c>
      <c r="L526" s="7" t="str">
        <f t="shared" si="93"/>
        <v>fi.thr.ba</v>
      </c>
      <c r="M526" s="7" t="str">
        <f t="shared" si="94"/>
        <v>T.Danny</v>
      </c>
      <c r="N526" s="6">
        <f t="shared" si="89"/>
        <v>0</v>
      </c>
      <c r="O526" s="6">
        <f t="shared" si="88"/>
        <v>0</v>
      </c>
      <c r="P526" s="6" t="str">
        <f t="shared" si="95"/>
        <v>N</v>
      </c>
      <c r="Q526" s="6">
        <f t="shared" si="96"/>
        <v>11</v>
      </c>
      <c r="R526" s="6" t="str">
        <f t="shared" si="97"/>
        <v>2008</v>
      </c>
      <c r="S526" s="6" t="str">
        <f t="shared" si="98"/>
        <v>Aug</v>
      </c>
    </row>
    <row r="527" spans="1:19" x14ac:dyDescent="0.25">
      <c r="A527" s="6">
        <v>40</v>
      </c>
      <c r="B527" s="6" t="str">
        <f t="shared" si="90"/>
        <v>NIKFIN00040</v>
      </c>
      <c r="C527" s="7" t="s">
        <v>111</v>
      </c>
      <c r="D527" s="7" t="s">
        <v>68</v>
      </c>
      <c r="E527" s="7" t="str">
        <f t="shared" si="91"/>
        <v>BHARAT KUMAR</v>
      </c>
      <c r="F527" s="7" t="s">
        <v>12</v>
      </c>
      <c r="G527" s="22">
        <v>40337</v>
      </c>
      <c r="H527" s="8">
        <v>55617</v>
      </c>
      <c r="I527" s="7" t="str">
        <f t="shared" si="92"/>
        <v>bharat.kumar@fi.kur.ba</v>
      </c>
      <c r="J527" s="6" t="s">
        <v>1546</v>
      </c>
      <c r="K527" s="6">
        <v>36</v>
      </c>
      <c r="L527" s="7" t="str">
        <f t="shared" si="93"/>
        <v>fi.kur.ba</v>
      </c>
      <c r="M527" s="7" t="str">
        <f t="shared" si="94"/>
        <v>K.Bharat</v>
      </c>
      <c r="N527" s="6">
        <f t="shared" si="89"/>
        <v>0</v>
      </c>
      <c r="O527" s="6">
        <f t="shared" si="88"/>
        <v>0</v>
      </c>
      <c r="P527" s="6" t="str">
        <f t="shared" si="95"/>
        <v>N</v>
      </c>
      <c r="Q527" s="6">
        <f t="shared" si="96"/>
        <v>11</v>
      </c>
      <c r="R527" s="6" t="str">
        <f t="shared" si="97"/>
        <v>2010</v>
      </c>
      <c r="S527" s="6" t="str">
        <f t="shared" si="98"/>
        <v>Jun</v>
      </c>
    </row>
    <row r="528" spans="1:19" x14ac:dyDescent="0.25">
      <c r="A528" s="6">
        <v>44</v>
      </c>
      <c r="B528" s="6" t="str">
        <f t="shared" si="90"/>
        <v>NIKFIN00044</v>
      </c>
      <c r="C528" s="7" t="s">
        <v>112</v>
      </c>
      <c r="D528" s="7" t="s">
        <v>117</v>
      </c>
      <c r="E528" s="7" t="str">
        <f t="shared" si="91"/>
        <v>NISHANT RAI</v>
      </c>
      <c r="F528" s="7" t="s">
        <v>12</v>
      </c>
      <c r="G528" s="22">
        <v>40459</v>
      </c>
      <c r="H528" s="8">
        <v>90129</v>
      </c>
      <c r="I528" s="7" t="str">
        <f t="shared" si="92"/>
        <v>nishant.rai@fi.rai.ba</v>
      </c>
      <c r="J528" s="6" t="s">
        <v>1547</v>
      </c>
      <c r="K528" s="6">
        <v>50</v>
      </c>
      <c r="L528" s="7" t="str">
        <f t="shared" si="93"/>
        <v>fi.rai.ba</v>
      </c>
      <c r="M528" s="7" t="str">
        <f t="shared" si="94"/>
        <v>R.Nishant</v>
      </c>
      <c r="N528" s="6">
        <f t="shared" si="89"/>
        <v>0</v>
      </c>
      <c r="O528" s="6">
        <f t="shared" si="88"/>
        <v>0</v>
      </c>
      <c r="P528" s="6" t="str">
        <f t="shared" si="95"/>
        <v>N</v>
      </c>
      <c r="Q528" s="6">
        <f t="shared" si="96"/>
        <v>10</v>
      </c>
      <c r="R528" s="6" t="str">
        <f t="shared" si="97"/>
        <v>2010</v>
      </c>
      <c r="S528" s="6" t="str">
        <f t="shared" si="98"/>
        <v>Oct</v>
      </c>
    </row>
    <row r="529" spans="1:19" x14ac:dyDescent="0.25">
      <c r="A529" s="6">
        <v>46</v>
      </c>
      <c r="B529" s="6" t="str">
        <f t="shared" si="90"/>
        <v>NIKFIN00046</v>
      </c>
      <c r="C529" s="7" t="s">
        <v>119</v>
      </c>
      <c r="D529" s="7" t="s">
        <v>100</v>
      </c>
      <c r="E529" s="7" t="str">
        <f t="shared" si="91"/>
        <v>VIDHI THAKUR</v>
      </c>
      <c r="F529" s="7" t="s">
        <v>12</v>
      </c>
      <c r="G529" s="22">
        <v>40507</v>
      </c>
      <c r="H529" s="8">
        <v>81883</v>
      </c>
      <c r="I529" s="7" t="str">
        <f t="shared" si="92"/>
        <v>vidhi.thakur@fi.thr.ba</v>
      </c>
      <c r="J529" s="6" t="s">
        <v>1544</v>
      </c>
      <c r="K529" s="6">
        <v>63</v>
      </c>
      <c r="L529" s="7" t="str">
        <f t="shared" si="93"/>
        <v>fi.thr.ba</v>
      </c>
      <c r="M529" s="7" t="str">
        <f t="shared" si="94"/>
        <v>T.Vidhi</v>
      </c>
      <c r="N529" s="6">
        <f t="shared" si="89"/>
        <v>0</v>
      </c>
      <c r="O529" s="6">
        <f t="shared" si="88"/>
        <v>0</v>
      </c>
      <c r="P529" s="6" t="str">
        <f t="shared" si="95"/>
        <v>N</v>
      </c>
      <c r="Q529" s="6">
        <f t="shared" si="96"/>
        <v>11</v>
      </c>
      <c r="R529" s="6" t="str">
        <f t="shared" si="97"/>
        <v>2010</v>
      </c>
      <c r="S529" s="6" t="str">
        <f t="shared" si="98"/>
        <v>Nov</v>
      </c>
    </row>
    <row r="530" spans="1:19" x14ac:dyDescent="0.25">
      <c r="A530" s="6">
        <v>63</v>
      </c>
      <c r="B530" s="6" t="str">
        <f t="shared" si="90"/>
        <v>NIKFIN00063</v>
      </c>
      <c r="C530" s="7" t="s">
        <v>143</v>
      </c>
      <c r="D530" s="7" t="s">
        <v>90</v>
      </c>
      <c r="E530" s="7" t="str">
        <f t="shared" si="91"/>
        <v>NITIN GARG</v>
      </c>
      <c r="F530" s="7" t="s">
        <v>12</v>
      </c>
      <c r="G530" s="22">
        <v>41316</v>
      </c>
      <c r="H530" s="8">
        <v>52134</v>
      </c>
      <c r="I530" s="7" t="str">
        <f t="shared" si="92"/>
        <v>nitin.garg@fi.gag.ba</v>
      </c>
      <c r="J530" s="6" t="s">
        <v>1535</v>
      </c>
      <c r="K530" s="6">
        <v>62</v>
      </c>
      <c r="L530" s="7" t="str">
        <f t="shared" si="93"/>
        <v>fi.gag.ba</v>
      </c>
      <c r="M530" s="7" t="str">
        <f t="shared" si="94"/>
        <v>G.Nitin</v>
      </c>
      <c r="N530" s="6">
        <f t="shared" si="89"/>
        <v>0</v>
      </c>
      <c r="O530" s="6">
        <f t="shared" si="88"/>
        <v>0</v>
      </c>
      <c r="P530" s="6" t="str">
        <f t="shared" si="95"/>
        <v>N</v>
      </c>
      <c r="Q530" s="6">
        <f t="shared" si="96"/>
        <v>9</v>
      </c>
      <c r="R530" s="6" t="str">
        <f t="shared" si="97"/>
        <v>2013</v>
      </c>
      <c r="S530" s="6" t="str">
        <f t="shared" si="98"/>
        <v>Feb</v>
      </c>
    </row>
    <row r="531" spans="1:19" x14ac:dyDescent="0.25">
      <c r="A531" s="6">
        <v>69</v>
      </c>
      <c r="B531" s="6" t="str">
        <f t="shared" si="90"/>
        <v>NIKFIN00069</v>
      </c>
      <c r="C531" s="7" t="s">
        <v>50</v>
      </c>
      <c r="D531" s="7" t="s">
        <v>152</v>
      </c>
      <c r="E531" s="7" t="str">
        <f t="shared" si="91"/>
        <v>SANDEEP BISEN</v>
      </c>
      <c r="F531" s="7" t="s">
        <v>12</v>
      </c>
      <c r="G531" s="22">
        <v>41517</v>
      </c>
      <c r="H531" s="8">
        <v>81197</v>
      </c>
      <c r="I531" s="7" t="str">
        <f t="shared" si="92"/>
        <v>sandeep.bisen@fi.bin.ba</v>
      </c>
      <c r="J531" s="6" t="s">
        <v>1547</v>
      </c>
      <c r="K531" s="6">
        <v>81</v>
      </c>
      <c r="L531" s="7" t="str">
        <f t="shared" si="93"/>
        <v>fi.bin.ba</v>
      </c>
      <c r="M531" s="7" t="str">
        <f t="shared" si="94"/>
        <v>B.Sandeep</v>
      </c>
      <c r="N531" s="6">
        <f t="shared" si="89"/>
        <v>5</v>
      </c>
      <c r="O531" s="6">
        <f t="shared" si="88"/>
        <v>4</v>
      </c>
      <c r="P531" s="6" t="str">
        <f t="shared" si="95"/>
        <v>Y</v>
      </c>
      <c r="Q531" s="6">
        <f t="shared" si="96"/>
        <v>12</v>
      </c>
      <c r="R531" s="6" t="str">
        <f t="shared" si="97"/>
        <v>2013</v>
      </c>
      <c r="S531" s="6" t="str">
        <f t="shared" si="98"/>
        <v>Aug</v>
      </c>
    </row>
    <row r="532" spans="1:19" x14ac:dyDescent="0.25">
      <c r="A532" s="6">
        <v>83</v>
      </c>
      <c r="B532" s="6" t="str">
        <f t="shared" si="90"/>
        <v>NIKFIN00083</v>
      </c>
      <c r="C532" s="7" t="s">
        <v>169</v>
      </c>
      <c r="D532" s="7" t="s">
        <v>68</v>
      </c>
      <c r="E532" s="7" t="str">
        <f t="shared" si="91"/>
        <v>SAVAN KUMAR</v>
      </c>
      <c r="F532" s="7" t="s">
        <v>12</v>
      </c>
      <c r="G532" s="22">
        <v>42019</v>
      </c>
      <c r="H532" s="8">
        <v>72342</v>
      </c>
      <c r="I532" s="7" t="str">
        <f t="shared" si="92"/>
        <v>savan.kumar@fi.kur.ba</v>
      </c>
      <c r="J532" s="6" t="s">
        <v>1542</v>
      </c>
      <c r="K532" s="6">
        <v>68</v>
      </c>
      <c r="L532" s="7" t="str">
        <f t="shared" si="93"/>
        <v>fi.kur.ba</v>
      </c>
      <c r="M532" s="7" t="str">
        <f t="shared" si="94"/>
        <v>K.Savan</v>
      </c>
      <c r="N532" s="6">
        <f t="shared" si="89"/>
        <v>0</v>
      </c>
      <c r="O532" s="6">
        <f t="shared" si="88"/>
        <v>0</v>
      </c>
      <c r="P532" s="6" t="str">
        <f t="shared" si="95"/>
        <v>N</v>
      </c>
      <c r="Q532" s="6">
        <f t="shared" si="96"/>
        <v>10</v>
      </c>
      <c r="R532" s="6" t="str">
        <f t="shared" si="97"/>
        <v>2015</v>
      </c>
      <c r="S532" s="6" t="str">
        <f t="shared" si="98"/>
        <v>Jan</v>
      </c>
    </row>
    <row r="533" spans="1:19" x14ac:dyDescent="0.25">
      <c r="A533" s="6">
        <v>88</v>
      </c>
      <c r="B533" s="6" t="str">
        <f t="shared" si="90"/>
        <v>NIKFIN00088</v>
      </c>
      <c r="C533" s="7" t="s">
        <v>176</v>
      </c>
      <c r="D533" s="7" t="s">
        <v>177</v>
      </c>
      <c r="E533" s="7" t="str">
        <f t="shared" si="91"/>
        <v>SEEMA DEVI</v>
      </c>
      <c r="F533" s="7" t="s">
        <v>12</v>
      </c>
      <c r="G533" s="22">
        <v>42175</v>
      </c>
      <c r="H533" s="8">
        <v>44797</v>
      </c>
      <c r="I533" s="7" t="str">
        <f t="shared" si="92"/>
        <v>seema.devi@fi.dei.ba</v>
      </c>
      <c r="J533" s="6" t="s">
        <v>1549</v>
      </c>
      <c r="K533" s="6">
        <v>69</v>
      </c>
      <c r="L533" s="7" t="str">
        <f t="shared" si="93"/>
        <v>fi.dei.ba</v>
      </c>
      <c r="M533" s="7" t="str">
        <f t="shared" si="94"/>
        <v>D.Seema</v>
      </c>
      <c r="N533" s="6">
        <f t="shared" si="89"/>
        <v>2</v>
      </c>
      <c r="O533" s="6">
        <f t="shared" si="88"/>
        <v>2</v>
      </c>
      <c r="P533" s="6" t="str">
        <f t="shared" si="95"/>
        <v>Y</v>
      </c>
      <c r="Q533" s="6">
        <f t="shared" si="96"/>
        <v>9</v>
      </c>
      <c r="R533" s="6" t="str">
        <f t="shared" si="97"/>
        <v>2015</v>
      </c>
      <c r="S533" s="6" t="str">
        <f t="shared" si="98"/>
        <v>Jun</v>
      </c>
    </row>
    <row r="534" spans="1:19" x14ac:dyDescent="0.25">
      <c r="A534" s="6">
        <v>92</v>
      </c>
      <c r="B534" s="6" t="str">
        <f t="shared" si="90"/>
        <v>NIKFIN00092</v>
      </c>
      <c r="C534" s="7" t="s">
        <v>18</v>
      </c>
      <c r="D534" s="7"/>
      <c r="E534" s="7" t="str">
        <f t="shared" si="91"/>
        <v>MOHIT</v>
      </c>
      <c r="F534" s="7" t="s">
        <v>12</v>
      </c>
      <c r="G534" s="22">
        <v>42291</v>
      </c>
      <c r="H534" s="8">
        <v>91481</v>
      </c>
      <c r="I534" s="7" t="str">
        <f t="shared" si="92"/>
        <v>mohit.@fi..ba</v>
      </c>
      <c r="J534" s="6" t="s">
        <v>1537</v>
      </c>
      <c r="K534" s="6">
        <v>55</v>
      </c>
      <c r="L534" s="7" t="str">
        <f t="shared" si="93"/>
        <v>fi..ba</v>
      </c>
      <c r="M534" s="7" t="str">
        <f t="shared" si="94"/>
        <v>.Mohit</v>
      </c>
      <c r="N534" s="6">
        <f t="shared" si="89"/>
        <v>0</v>
      </c>
      <c r="O534" s="6">
        <f t="shared" si="88"/>
        <v>0</v>
      </c>
      <c r="P534" s="6" t="str">
        <f t="shared" si="95"/>
        <v>N</v>
      </c>
      <c r="Q534" s="6">
        <f t="shared" si="96"/>
        <v>5</v>
      </c>
      <c r="R534" s="6" t="str">
        <f t="shared" si="97"/>
        <v>2015</v>
      </c>
      <c r="S534" s="6" t="str">
        <f t="shared" si="98"/>
        <v>Oct</v>
      </c>
    </row>
    <row r="535" spans="1:19" x14ac:dyDescent="0.25">
      <c r="A535" s="6">
        <v>98</v>
      </c>
      <c r="B535" s="6" t="str">
        <f t="shared" si="90"/>
        <v>NIKFIN00098</v>
      </c>
      <c r="C535" s="7" t="s">
        <v>188</v>
      </c>
      <c r="D535" s="7" t="s">
        <v>189</v>
      </c>
      <c r="E535" s="7" t="str">
        <f t="shared" si="91"/>
        <v>JAY GANDHI</v>
      </c>
      <c r="F535" s="7" t="s">
        <v>12</v>
      </c>
      <c r="G535" s="22">
        <v>42310</v>
      </c>
      <c r="H535" s="8">
        <v>96774</v>
      </c>
      <c r="I535" s="7" t="str">
        <f t="shared" si="92"/>
        <v>jay.gandhi@fi.gai.ba</v>
      </c>
      <c r="J535" s="6" t="s">
        <v>1538</v>
      </c>
      <c r="K535" s="6">
        <v>45</v>
      </c>
      <c r="L535" s="7" t="str">
        <f t="shared" si="93"/>
        <v>fi.gai.ba</v>
      </c>
      <c r="M535" s="7" t="str">
        <f t="shared" si="94"/>
        <v>G.Jay</v>
      </c>
      <c r="N535" s="6">
        <f t="shared" si="89"/>
        <v>0</v>
      </c>
      <c r="O535" s="6">
        <f t="shared" si="88"/>
        <v>0</v>
      </c>
      <c r="P535" s="6" t="str">
        <f t="shared" si="95"/>
        <v>N</v>
      </c>
      <c r="Q535" s="6">
        <f t="shared" si="96"/>
        <v>9</v>
      </c>
      <c r="R535" s="6" t="str">
        <f t="shared" si="97"/>
        <v>2015</v>
      </c>
      <c r="S535" s="6" t="str">
        <f t="shared" si="98"/>
        <v>Nov</v>
      </c>
    </row>
    <row r="536" spans="1:19" x14ac:dyDescent="0.25">
      <c r="A536" s="6">
        <v>149</v>
      </c>
      <c r="B536" s="6" t="str">
        <f t="shared" si="90"/>
        <v>NIKFIN00149</v>
      </c>
      <c r="C536" s="7" t="s">
        <v>258</v>
      </c>
      <c r="D536" s="7" t="s">
        <v>68</v>
      </c>
      <c r="E536" s="7" t="str">
        <f t="shared" si="91"/>
        <v>MAHESH KUMAR</v>
      </c>
      <c r="F536" s="7" t="s">
        <v>12</v>
      </c>
      <c r="G536" s="22">
        <v>42935</v>
      </c>
      <c r="H536" s="8">
        <v>82709</v>
      </c>
      <c r="I536" s="7" t="str">
        <f t="shared" si="92"/>
        <v>mahesh.kumar@fi.kur.ba</v>
      </c>
      <c r="J536" s="6" t="s">
        <v>1542</v>
      </c>
      <c r="K536" s="6">
        <v>90</v>
      </c>
      <c r="L536" s="7" t="str">
        <f t="shared" si="93"/>
        <v>fi.kur.ba</v>
      </c>
      <c r="M536" s="7" t="str">
        <f t="shared" si="94"/>
        <v>K.Mahesh</v>
      </c>
      <c r="N536" s="6">
        <f t="shared" si="89"/>
        <v>4</v>
      </c>
      <c r="O536" s="6">
        <f t="shared" si="88"/>
        <v>0</v>
      </c>
      <c r="P536" s="6" t="str">
        <f t="shared" si="95"/>
        <v>N</v>
      </c>
      <c r="Q536" s="6">
        <f t="shared" si="96"/>
        <v>11</v>
      </c>
      <c r="R536" s="6" t="str">
        <f t="shared" si="97"/>
        <v>2017</v>
      </c>
      <c r="S536" s="6" t="str">
        <f t="shared" si="98"/>
        <v>Jul</v>
      </c>
    </row>
    <row r="537" spans="1:19" x14ac:dyDescent="0.25">
      <c r="A537" s="6">
        <v>155</v>
      </c>
      <c r="B537" s="6" t="str">
        <f t="shared" si="90"/>
        <v>NIKFIN00155</v>
      </c>
      <c r="C537" s="7" t="s">
        <v>263</v>
      </c>
      <c r="D537" s="7" t="s">
        <v>264</v>
      </c>
      <c r="E537" s="7" t="str">
        <f t="shared" si="91"/>
        <v>PRANJALI ANNASAHEB</v>
      </c>
      <c r="F537" s="7" t="s">
        <v>12</v>
      </c>
      <c r="G537" s="22">
        <v>43012</v>
      </c>
      <c r="H537" s="8">
        <v>74972</v>
      </c>
      <c r="I537" s="7" t="str">
        <f t="shared" si="92"/>
        <v>pranjali.annasaheb@fi.anb.ba</v>
      </c>
      <c r="J537" s="6" t="s">
        <v>1544</v>
      </c>
      <c r="K537" s="6">
        <v>80</v>
      </c>
      <c r="L537" s="7" t="str">
        <f t="shared" si="93"/>
        <v>fi.anb.ba</v>
      </c>
      <c r="M537" s="7" t="str">
        <f t="shared" si="94"/>
        <v>A.Pranjali</v>
      </c>
      <c r="N537" s="6">
        <f t="shared" si="89"/>
        <v>0</v>
      </c>
      <c r="O537" s="6">
        <f t="shared" si="88"/>
        <v>8</v>
      </c>
      <c r="P537" s="6" t="str">
        <f t="shared" si="95"/>
        <v>N</v>
      </c>
      <c r="Q537" s="6">
        <f t="shared" si="96"/>
        <v>17</v>
      </c>
      <c r="R537" s="6" t="str">
        <f t="shared" si="97"/>
        <v>2017</v>
      </c>
      <c r="S537" s="6" t="str">
        <f t="shared" si="98"/>
        <v>Oct</v>
      </c>
    </row>
    <row r="538" spans="1:19" x14ac:dyDescent="0.25">
      <c r="A538" s="6">
        <v>161</v>
      </c>
      <c r="B538" s="6" t="str">
        <f t="shared" si="90"/>
        <v>NIKFIN00161</v>
      </c>
      <c r="C538" s="7" t="s">
        <v>270</v>
      </c>
      <c r="D538" s="7" t="s">
        <v>271</v>
      </c>
      <c r="E538" s="7" t="str">
        <f t="shared" si="91"/>
        <v>SHRUTI AGRAWAL</v>
      </c>
      <c r="F538" s="7" t="s">
        <v>12</v>
      </c>
      <c r="G538" s="22">
        <v>43132</v>
      </c>
      <c r="H538" s="8">
        <v>52833</v>
      </c>
      <c r="I538" s="7" t="str">
        <f t="shared" si="92"/>
        <v>shruti.agrawal@fi.agl.ba</v>
      </c>
      <c r="J538" s="6" t="s">
        <v>1532</v>
      </c>
      <c r="K538" s="6">
        <v>37</v>
      </c>
      <c r="L538" s="7" t="str">
        <f t="shared" si="93"/>
        <v>fi.agl.ba</v>
      </c>
      <c r="M538" s="7" t="str">
        <f t="shared" si="94"/>
        <v>A.Shruti</v>
      </c>
      <c r="N538" s="6">
        <f t="shared" si="89"/>
        <v>0</v>
      </c>
      <c r="O538" s="6">
        <f t="shared" si="88"/>
        <v>0</v>
      </c>
      <c r="P538" s="6" t="str">
        <f t="shared" si="95"/>
        <v>N</v>
      </c>
      <c r="Q538" s="6">
        <f t="shared" si="96"/>
        <v>13</v>
      </c>
      <c r="R538" s="6" t="str">
        <f t="shared" si="97"/>
        <v>2018</v>
      </c>
      <c r="S538" s="6" t="str">
        <f t="shared" si="98"/>
        <v>Feb</v>
      </c>
    </row>
    <row r="539" spans="1:19" x14ac:dyDescent="0.25">
      <c r="A539" s="6">
        <v>168</v>
      </c>
      <c r="B539" s="6" t="str">
        <f t="shared" si="90"/>
        <v>NIKFIN00168</v>
      </c>
      <c r="C539" s="7" t="s">
        <v>279</v>
      </c>
      <c r="D539" s="7" t="s">
        <v>280</v>
      </c>
      <c r="E539" s="7" t="str">
        <f t="shared" si="91"/>
        <v>YAJUVENDRA PRAVINSINH</v>
      </c>
      <c r="F539" s="7" t="s">
        <v>12</v>
      </c>
      <c r="G539" s="22">
        <v>43206</v>
      </c>
      <c r="H539" s="8">
        <v>25602</v>
      </c>
      <c r="I539" s="7" t="str">
        <f t="shared" si="92"/>
        <v>yajuvendra.pravinsinh@fi.prh.ba</v>
      </c>
      <c r="J539" s="6" t="s">
        <v>1540</v>
      </c>
      <c r="K539" s="6">
        <v>89</v>
      </c>
      <c r="L539" s="7" t="str">
        <f t="shared" si="93"/>
        <v>fi.prh.ba</v>
      </c>
      <c r="M539" s="7" t="str">
        <f t="shared" si="94"/>
        <v>P.Yajuvendra</v>
      </c>
      <c r="N539" s="6">
        <f t="shared" si="89"/>
        <v>6</v>
      </c>
      <c r="O539" s="6">
        <f t="shared" si="88"/>
        <v>0</v>
      </c>
      <c r="P539" s="6" t="str">
        <f t="shared" si="95"/>
        <v>N</v>
      </c>
      <c r="Q539" s="6">
        <f t="shared" si="96"/>
        <v>20</v>
      </c>
      <c r="R539" s="6" t="str">
        <f t="shared" si="97"/>
        <v>2018</v>
      </c>
      <c r="S539" s="6" t="str">
        <f t="shared" si="98"/>
        <v>Apr</v>
      </c>
    </row>
    <row r="540" spans="1:19" x14ac:dyDescent="0.25">
      <c r="A540" s="6">
        <v>188</v>
      </c>
      <c r="B540" s="6" t="str">
        <f t="shared" si="90"/>
        <v>NIKFIN00188</v>
      </c>
      <c r="C540" s="7" t="s">
        <v>219</v>
      </c>
      <c r="D540" s="7" t="s">
        <v>302</v>
      </c>
      <c r="E540" s="7" t="str">
        <f t="shared" si="91"/>
        <v>SACHIN DEVIDAS</v>
      </c>
      <c r="F540" s="7" t="s">
        <v>12</v>
      </c>
      <c r="G540" s="22">
        <v>43710</v>
      </c>
      <c r="H540" s="8">
        <v>57456</v>
      </c>
      <c r="I540" s="7" t="str">
        <f t="shared" si="92"/>
        <v>sachin.devidas@fi.des.ba</v>
      </c>
      <c r="J540" s="6" t="s">
        <v>1549</v>
      </c>
      <c r="K540" s="6">
        <v>36</v>
      </c>
      <c r="L540" s="7" t="str">
        <f t="shared" si="93"/>
        <v>fi.des.ba</v>
      </c>
      <c r="M540" s="7" t="str">
        <f t="shared" si="94"/>
        <v>D.Sachin</v>
      </c>
      <c r="N540" s="6">
        <f t="shared" si="89"/>
        <v>0</v>
      </c>
      <c r="O540" s="6">
        <f t="shared" si="88"/>
        <v>2</v>
      </c>
      <c r="P540" s="6" t="str">
        <f t="shared" si="95"/>
        <v>N</v>
      </c>
      <c r="Q540" s="6">
        <f t="shared" si="96"/>
        <v>13</v>
      </c>
      <c r="R540" s="6" t="str">
        <f t="shared" si="97"/>
        <v>2019</v>
      </c>
      <c r="S540" s="6" t="str">
        <f t="shared" si="98"/>
        <v>Sep</v>
      </c>
    </row>
    <row r="541" spans="1:19" x14ac:dyDescent="0.25">
      <c r="A541" s="6">
        <v>191</v>
      </c>
      <c r="B541" s="6" t="str">
        <f t="shared" si="90"/>
        <v>NIKFIN00191</v>
      </c>
      <c r="C541" s="7" t="s">
        <v>305</v>
      </c>
      <c r="D541" s="7" t="s">
        <v>143</v>
      </c>
      <c r="E541" s="7" t="str">
        <f t="shared" si="91"/>
        <v>VAISHNAVI NITIN</v>
      </c>
      <c r="F541" s="7" t="s">
        <v>12</v>
      </c>
      <c r="G541" s="22">
        <v>43745</v>
      </c>
      <c r="H541" s="8">
        <v>96128</v>
      </c>
      <c r="I541" s="7" t="str">
        <f t="shared" si="92"/>
        <v>vaishnavi.nitin@fi.nin.ba</v>
      </c>
      <c r="J541" s="6" t="s">
        <v>1547</v>
      </c>
      <c r="K541" s="6">
        <v>66</v>
      </c>
      <c r="L541" s="7" t="str">
        <f t="shared" si="93"/>
        <v>fi.nin.ba</v>
      </c>
      <c r="M541" s="7" t="str">
        <f t="shared" si="94"/>
        <v>N.Vaishnavi</v>
      </c>
      <c r="N541" s="6">
        <f t="shared" si="89"/>
        <v>0</v>
      </c>
      <c r="O541" s="6">
        <f t="shared" si="88"/>
        <v>0</v>
      </c>
      <c r="P541" s="6" t="str">
        <f t="shared" si="95"/>
        <v>N</v>
      </c>
      <c r="Q541" s="6">
        <f t="shared" si="96"/>
        <v>14</v>
      </c>
      <c r="R541" s="6" t="str">
        <f t="shared" si="97"/>
        <v>2019</v>
      </c>
      <c r="S541" s="6" t="str">
        <f t="shared" si="98"/>
        <v>Oct</v>
      </c>
    </row>
    <row r="542" spans="1:19" x14ac:dyDescent="0.25">
      <c r="A542" s="6">
        <v>208</v>
      </c>
      <c r="B542" s="6" t="str">
        <f t="shared" si="90"/>
        <v>NIKFIN00208</v>
      </c>
      <c r="C542" s="7" t="s">
        <v>259</v>
      </c>
      <c r="D542" s="7" t="s">
        <v>55</v>
      </c>
      <c r="E542" s="7" t="str">
        <f t="shared" si="91"/>
        <v>ASHISH SHARMA</v>
      </c>
      <c r="F542" s="7" t="s">
        <v>12</v>
      </c>
      <c r="G542" s="22">
        <v>44305</v>
      </c>
      <c r="H542" s="8">
        <v>49443</v>
      </c>
      <c r="I542" s="7" t="str">
        <f t="shared" si="92"/>
        <v>ashish.sharma@fi.sha.ba</v>
      </c>
      <c r="J542" s="6" t="s">
        <v>1535</v>
      </c>
      <c r="K542" s="6">
        <v>37</v>
      </c>
      <c r="L542" s="7" t="str">
        <f t="shared" si="93"/>
        <v>fi.sha.ba</v>
      </c>
      <c r="M542" s="7" t="str">
        <f t="shared" si="94"/>
        <v>S.Ashish</v>
      </c>
      <c r="N542" s="6">
        <f t="shared" si="89"/>
        <v>0</v>
      </c>
      <c r="O542" s="6">
        <f t="shared" si="88"/>
        <v>0</v>
      </c>
      <c r="P542" s="6" t="str">
        <f t="shared" si="95"/>
        <v>N</v>
      </c>
      <c r="Q542" s="6">
        <f t="shared" si="96"/>
        <v>12</v>
      </c>
      <c r="R542" s="6" t="str">
        <f t="shared" si="97"/>
        <v>2021</v>
      </c>
      <c r="S542" s="6" t="str">
        <f t="shared" si="98"/>
        <v>Apr</v>
      </c>
    </row>
    <row r="543" spans="1:19" x14ac:dyDescent="0.25">
      <c r="A543" s="6">
        <v>213</v>
      </c>
      <c r="B543" s="6" t="str">
        <f t="shared" si="90"/>
        <v>NIKFIN00213</v>
      </c>
      <c r="C543" s="7" t="s">
        <v>335</v>
      </c>
      <c r="D543" s="7" t="s">
        <v>55</v>
      </c>
      <c r="E543" s="7" t="str">
        <f t="shared" si="91"/>
        <v>RAMNIWAS SHARMA</v>
      </c>
      <c r="F543" s="7" t="s">
        <v>12</v>
      </c>
      <c r="G543" s="22">
        <v>44382</v>
      </c>
      <c r="H543" s="8">
        <v>35087</v>
      </c>
      <c r="I543" s="7" t="str">
        <f t="shared" si="92"/>
        <v>ramniwas.sharma@fi.sha.ba</v>
      </c>
      <c r="J543" s="6" t="s">
        <v>1551</v>
      </c>
      <c r="K543" s="6">
        <v>79</v>
      </c>
      <c r="L543" s="7" t="str">
        <f t="shared" si="93"/>
        <v>fi.sha.ba</v>
      </c>
      <c r="M543" s="7" t="str">
        <f t="shared" si="94"/>
        <v>S.Ramniwas</v>
      </c>
      <c r="N543" s="6">
        <f t="shared" si="89"/>
        <v>0</v>
      </c>
      <c r="O543" s="6">
        <f t="shared" si="88"/>
        <v>0</v>
      </c>
      <c r="P543" s="6" t="str">
        <f t="shared" si="95"/>
        <v>N</v>
      </c>
      <c r="Q543" s="6">
        <f t="shared" si="96"/>
        <v>14</v>
      </c>
      <c r="R543" s="6" t="str">
        <f t="shared" si="97"/>
        <v>2021</v>
      </c>
      <c r="S543" s="6" t="str">
        <f t="shared" si="98"/>
        <v>Jul</v>
      </c>
    </row>
    <row r="544" spans="1:19" x14ac:dyDescent="0.25">
      <c r="A544" s="6">
        <v>217</v>
      </c>
      <c r="B544" s="6" t="str">
        <f t="shared" si="90"/>
        <v>NIKFIN00217</v>
      </c>
      <c r="C544" s="7" t="s">
        <v>340</v>
      </c>
      <c r="D544" s="7" t="s">
        <v>341</v>
      </c>
      <c r="E544" s="7" t="str">
        <f t="shared" si="91"/>
        <v>LAEQUDDIN QURESHI</v>
      </c>
      <c r="F544" s="7" t="s">
        <v>12</v>
      </c>
      <c r="G544" s="22">
        <v>44440</v>
      </c>
      <c r="H544" s="8">
        <v>87414</v>
      </c>
      <c r="I544" s="7" t="str">
        <f t="shared" si="92"/>
        <v>laequddin.qureshi@fi.qui.ba</v>
      </c>
      <c r="J544" s="6" t="s">
        <v>1541</v>
      </c>
      <c r="K544" s="6">
        <v>65</v>
      </c>
      <c r="L544" s="7" t="str">
        <f t="shared" si="93"/>
        <v>fi.qui.ba</v>
      </c>
      <c r="M544" s="7" t="str">
        <f t="shared" si="94"/>
        <v>Q.Laequddin</v>
      </c>
      <c r="N544" s="6">
        <f t="shared" si="89"/>
        <v>3</v>
      </c>
      <c r="O544" s="6">
        <f t="shared" si="88"/>
        <v>4</v>
      </c>
      <c r="P544" s="6" t="str">
        <f t="shared" si="95"/>
        <v>Y</v>
      </c>
      <c r="Q544" s="6">
        <f t="shared" si="96"/>
        <v>16</v>
      </c>
      <c r="R544" s="6" t="str">
        <f t="shared" si="97"/>
        <v>2021</v>
      </c>
      <c r="S544" s="6" t="str">
        <f t="shared" si="98"/>
        <v>Sep</v>
      </c>
    </row>
    <row r="545" spans="1:19" x14ac:dyDescent="0.25">
      <c r="A545" s="6">
        <v>227</v>
      </c>
      <c r="B545" s="6" t="str">
        <f t="shared" si="90"/>
        <v>NIKFIN00227</v>
      </c>
      <c r="C545" s="7" t="s">
        <v>348</v>
      </c>
      <c r="D545" s="7" t="s">
        <v>349</v>
      </c>
      <c r="E545" s="7" t="str">
        <f t="shared" si="91"/>
        <v>AKASH SATYANARAYAN</v>
      </c>
      <c r="F545" s="7" t="s">
        <v>12</v>
      </c>
      <c r="G545" s="22">
        <v>44519</v>
      </c>
      <c r="H545" s="8">
        <v>43229</v>
      </c>
      <c r="I545" s="7" t="str">
        <f t="shared" si="92"/>
        <v>akash.satyanarayan@fi.san.ba</v>
      </c>
      <c r="J545" s="6" t="s">
        <v>1546</v>
      </c>
      <c r="K545" s="6">
        <v>79</v>
      </c>
      <c r="L545" s="7" t="str">
        <f t="shared" si="93"/>
        <v>fi.san.ba</v>
      </c>
      <c r="M545" s="7" t="str">
        <f t="shared" si="94"/>
        <v>S.Akash</v>
      </c>
      <c r="N545" s="6">
        <f t="shared" si="89"/>
        <v>0</v>
      </c>
      <c r="O545" s="6">
        <f t="shared" si="88"/>
        <v>0</v>
      </c>
      <c r="P545" s="6" t="str">
        <f t="shared" si="95"/>
        <v>N</v>
      </c>
      <c r="Q545" s="6">
        <f t="shared" si="96"/>
        <v>17</v>
      </c>
      <c r="R545" s="6" t="str">
        <f t="shared" si="97"/>
        <v>2021</v>
      </c>
      <c r="S545" s="6" t="str">
        <f t="shared" si="98"/>
        <v>Nov</v>
      </c>
    </row>
    <row r="546" spans="1:19" x14ac:dyDescent="0.25">
      <c r="A546" s="6">
        <v>237</v>
      </c>
      <c r="B546" s="6" t="str">
        <f t="shared" si="90"/>
        <v>NIKFIN00237</v>
      </c>
      <c r="C546" s="7" t="s">
        <v>67</v>
      </c>
      <c r="D546" s="7" t="s">
        <v>68</v>
      </c>
      <c r="E546" s="7" t="str">
        <f t="shared" si="91"/>
        <v>BHUPENDRA KUMAR</v>
      </c>
      <c r="F546" s="7" t="s">
        <v>12</v>
      </c>
      <c r="G546" s="22">
        <v>44593</v>
      </c>
      <c r="H546" s="8">
        <v>79713</v>
      </c>
      <c r="I546" s="7" t="str">
        <f t="shared" si="92"/>
        <v>bhupendra.kumar@fi.kur.ba</v>
      </c>
      <c r="J546" s="6" t="s">
        <v>1532</v>
      </c>
      <c r="K546" s="6">
        <v>63</v>
      </c>
      <c r="L546" s="7" t="str">
        <f t="shared" si="93"/>
        <v>fi.kur.ba</v>
      </c>
      <c r="M546" s="7" t="str">
        <f t="shared" si="94"/>
        <v>K.Bhupendra</v>
      </c>
      <c r="N546" s="6">
        <f t="shared" si="89"/>
        <v>5</v>
      </c>
      <c r="O546" s="6">
        <f t="shared" si="88"/>
        <v>0</v>
      </c>
      <c r="P546" s="6" t="str">
        <f t="shared" si="95"/>
        <v>N</v>
      </c>
      <c r="Q546" s="6">
        <f t="shared" si="96"/>
        <v>14</v>
      </c>
      <c r="R546" s="6" t="str">
        <f t="shared" si="97"/>
        <v>2022</v>
      </c>
      <c r="S546" s="6" t="str">
        <f t="shared" si="98"/>
        <v>Feb</v>
      </c>
    </row>
    <row r="547" spans="1:19" x14ac:dyDescent="0.25">
      <c r="A547" s="6">
        <v>240</v>
      </c>
      <c r="B547" s="6" t="str">
        <f t="shared" si="90"/>
        <v>NIKFIN00240</v>
      </c>
      <c r="C547" s="7" t="s">
        <v>367</v>
      </c>
      <c r="D547" s="7" t="s">
        <v>368</v>
      </c>
      <c r="E547" s="7" t="str">
        <f t="shared" si="91"/>
        <v>RAMA KARWAL</v>
      </c>
      <c r="F547" s="7" t="s">
        <v>12</v>
      </c>
      <c r="G547" s="22">
        <v>44601</v>
      </c>
      <c r="H547" s="8">
        <v>42261</v>
      </c>
      <c r="I547" s="7" t="str">
        <f t="shared" si="92"/>
        <v>rama.karwal@fi.kal.ba</v>
      </c>
      <c r="J547" s="6" t="s">
        <v>1535</v>
      </c>
      <c r="K547" s="6">
        <v>69</v>
      </c>
      <c r="L547" s="7" t="str">
        <f t="shared" si="93"/>
        <v>fi.kal.ba</v>
      </c>
      <c r="M547" s="7" t="str">
        <f t="shared" si="94"/>
        <v>K.Rama</v>
      </c>
      <c r="N547" s="6">
        <f t="shared" si="89"/>
        <v>0</v>
      </c>
      <c r="O547" s="6">
        <f t="shared" si="88"/>
        <v>0</v>
      </c>
      <c r="P547" s="6" t="str">
        <f t="shared" si="95"/>
        <v>N</v>
      </c>
      <c r="Q547" s="6">
        <f t="shared" si="96"/>
        <v>10</v>
      </c>
      <c r="R547" s="6" t="str">
        <f t="shared" si="97"/>
        <v>2022</v>
      </c>
      <c r="S547" s="6" t="str">
        <f t="shared" si="98"/>
        <v>Feb</v>
      </c>
    </row>
    <row r="548" spans="1:19" x14ac:dyDescent="0.25">
      <c r="A548" s="6">
        <v>251</v>
      </c>
      <c r="B548" s="6" t="str">
        <f t="shared" si="90"/>
        <v>NIKFIN00251</v>
      </c>
      <c r="C548" s="7" t="s">
        <v>23</v>
      </c>
      <c r="D548" s="7"/>
      <c r="E548" s="7" t="str">
        <f t="shared" si="91"/>
        <v>ROHIT</v>
      </c>
      <c r="F548" s="7" t="s">
        <v>12</v>
      </c>
      <c r="G548" s="22">
        <v>44683</v>
      </c>
      <c r="H548" s="8">
        <v>79482</v>
      </c>
      <c r="I548" s="7" t="str">
        <f t="shared" si="92"/>
        <v>rohit.@fi..ba</v>
      </c>
      <c r="J548" s="6" t="s">
        <v>1535</v>
      </c>
      <c r="K548" s="6">
        <v>60</v>
      </c>
      <c r="L548" s="7" t="str">
        <f t="shared" si="93"/>
        <v>fi..ba</v>
      </c>
      <c r="M548" s="7" t="str">
        <f t="shared" si="94"/>
        <v>.Rohit</v>
      </c>
      <c r="N548" s="6">
        <f t="shared" si="89"/>
        <v>0</v>
      </c>
      <c r="O548" s="6">
        <f t="shared" si="88"/>
        <v>0</v>
      </c>
      <c r="P548" s="6" t="str">
        <f t="shared" si="95"/>
        <v>N</v>
      </c>
      <c r="Q548" s="6">
        <f t="shared" si="96"/>
        <v>5</v>
      </c>
      <c r="R548" s="6" t="str">
        <f t="shared" si="97"/>
        <v>2022</v>
      </c>
      <c r="S548" s="6" t="str">
        <f t="shared" si="98"/>
        <v>May</v>
      </c>
    </row>
    <row r="549" spans="1:19" x14ac:dyDescent="0.25">
      <c r="A549" s="6">
        <v>264</v>
      </c>
      <c r="B549" s="6" t="str">
        <f t="shared" si="90"/>
        <v>NIKFIN00264</v>
      </c>
      <c r="C549" s="7" t="s">
        <v>248</v>
      </c>
      <c r="D549" s="7" t="s">
        <v>398</v>
      </c>
      <c r="E549" s="7" t="str">
        <f t="shared" si="91"/>
        <v>PRIYANKA GAJANAN</v>
      </c>
      <c r="F549" s="7" t="s">
        <v>12</v>
      </c>
      <c r="G549" s="22">
        <v>44754</v>
      </c>
      <c r="H549" s="8">
        <v>32595</v>
      </c>
      <c r="I549" s="7" t="str">
        <f t="shared" si="92"/>
        <v>priyanka.gajanan@fi.gan.ba</v>
      </c>
      <c r="J549" s="6" t="s">
        <v>1550</v>
      </c>
      <c r="K549" s="6">
        <v>75</v>
      </c>
      <c r="L549" s="7" t="str">
        <f t="shared" si="93"/>
        <v>fi.gan.ba</v>
      </c>
      <c r="M549" s="7" t="str">
        <f t="shared" si="94"/>
        <v>G.Priyanka</v>
      </c>
      <c r="N549" s="6">
        <f t="shared" si="89"/>
        <v>0</v>
      </c>
      <c r="O549" s="6">
        <f t="shared" si="88"/>
        <v>0</v>
      </c>
      <c r="P549" s="6" t="str">
        <f t="shared" si="95"/>
        <v>N</v>
      </c>
      <c r="Q549" s="6">
        <f t="shared" si="96"/>
        <v>15</v>
      </c>
      <c r="R549" s="6" t="str">
        <f t="shared" si="97"/>
        <v>2022</v>
      </c>
      <c r="S549" s="6" t="str">
        <f t="shared" si="98"/>
        <v>Jul</v>
      </c>
    </row>
    <row r="550" spans="1:19" x14ac:dyDescent="0.25">
      <c r="A550" s="6">
        <v>266</v>
      </c>
      <c r="B550" s="6" t="str">
        <f t="shared" si="90"/>
        <v>NIKFIN00266</v>
      </c>
      <c r="C550" s="7" t="s">
        <v>18</v>
      </c>
      <c r="D550" s="7" t="s">
        <v>95</v>
      </c>
      <c r="E550" s="7" t="str">
        <f t="shared" si="91"/>
        <v>MOHIT JOSHI</v>
      </c>
      <c r="F550" s="7" t="s">
        <v>12</v>
      </c>
      <c r="G550" s="22">
        <v>44761</v>
      </c>
      <c r="H550" s="8">
        <v>91375</v>
      </c>
      <c r="I550" s="7" t="str">
        <f t="shared" si="92"/>
        <v>mohit.joshi@fi.joi.ba</v>
      </c>
      <c r="J550" s="6" t="s">
        <v>1546</v>
      </c>
      <c r="K550" s="6">
        <v>76</v>
      </c>
      <c r="L550" s="7" t="str">
        <f t="shared" si="93"/>
        <v>fi.joi.ba</v>
      </c>
      <c r="M550" s="7" t="str">
        <f t="shared" si="94"/>
        <v>J.Mohit</v>
      </c>
      <c r="N550" s="6">
        <f t="shared" si="89"/>
        <v>0</v>
      </c>
      <c r="O550" s="6">
        <f t="shared" si="88"/>
        <v>0</v>
      </c>
      <c r="P550" s="6" t="str">
        <f t="shared" si="95"/>
        <v>N</v>
      </c>
      <c r="Q550" s="6">
        <f t="shared" si="96"/>
        <v>10</v>
      </c>
      <c r="R550" s="6" t="str">
        <f t="shared" si="97"/>
        <v>2022</v>
      </c>
      <c r="S550" s="6" t="str">
        <f t="shared" si="98"/>
        <v>Jul</v>
      </c>
    </row>
    <row r="551" spans="1:19" x14ac:dyDescent="0.25">
      <c r="A551" s="6">
        <v>272</v>
      </c>
      <c r="B551" s="6" t="str">
        <f t="shared" si="90"/>
        <v>NIKFIN00272</v>
      </c>
      <c r="C551" s="7" t="s">
        <v>410</v>
      </c>
      <c r="D551" s="7" t="s">
        <v>411</v>
      </c>
      <c r="E551" s="7" t="str">
        <f t="shared" si="91"/>
        <v>RAKTIM CHAKRAVARTY</v>
      </c>
      <c r="F551" s="7" t="s">
        <v>12</v>
      </c>
      <c r="G551" s="22">
        <v>44805</v>
      </c>
      <c r="H551" s="8">
        <v>34926</v>
      </c>
      <c r="I551" s="7" t="str">
        <f t="shared" si="92"/>
        <v>raktim.chakravarty@fi.chy.ba</v>
      </c>
      <c r="J551" s="6" t="s">
        <v>1542</v>
      </c>
      <c r="K551" s="6">
        <v>82</v>
      </c>
      <c r="L551" s="7" t="str">
        <f t="shared" si="93"/>
        <v>fi.chy.ba</v>
      </c>
      <c r="M551" s="7" t="str">
        <f t="shared" si="94"/>
        <v>C.Raktim</v>
      </c>
      <c r="N551" s="6">
        <f t="shared" si="89"/>
        <v>0</v>
      </c>
      <c r="O551" s="6">
        <f t="shared" si="88"/>
        <v>0</v>
      </c>
      <c r="P551" s="6" t="str">
        <f t="shared" si="95"/>
        <v>N</v>
      </c>
      <c r="Q551" s="6">
        <f t="shared" si="96"/>
        <v>17</v>
      </c>
      <c r="R551" s="6" t="str">
        <f t="shared" si="97"/>
        <v>2022</v>
      </c>
      <c r="S551" s="6" t="str">
        <f t="shared" si="98"/>
        <v>Sep</v>
      </c>
    </row>
    <row r="552" spans="1:19" x14ac:dyDescent="0.25">
      <c r="A552" s="6">
        <v>273</v>
      </c>
      <c r="B552" s="6" t="str">
        <f t="shared" si="90"/>
        <v>NIKFIN00273</v>
      </c>
      <c r="C552" s="7" t="s">
        <v>24</v>
      </c>
      <c r="D552" s="7"/>
      <c r="E552" s="7" t="str">
        <f t="shared" si="91"/>
        <v>RAVI</v>
      </c>
      <c r="F552" s="7" t="s">
        <v>12</v>
      </c>
      <c r="G552" s="22">
        <v>44805</v>
      </c>
      <c r="H552" s="8">
        <v>30038</v>
      </c>
      <c r="I552" s="7" t="str">
        <f t="shared" si="92"/>
        <v>ravi.@fi..ba</v>
      </c>
      <c r="J552" s="6" t="s">
        <v>1542</v>
      </c>
      <c r="K552" s="6">
        <v>38</v>
      </c>
      <c r="L552" s="7" t="str">
        <f t="shared" si="93"/>
        <v>fi..ba</v>
      </c>
      <c r="M552" s="7" t="str">
        <f t="shared" si="94"/>
        <v>.Ravi</v>
      </c>
      <c r="N552" s="6">
        <f t="shared" si="89"/>
        <v>0</v>
      </c>
      <c r="O552" s="6">
        <f t="shared" si="88"/>
        <v>0</v>
      </c>
      <c r="P552" s="6" t="str">
        <f t="shared" si="95"/>
        <v>N</v>
      </c>
      <c r="Q552" s="6">
        <f t="shared" si="96"/>
        <v>4</v>
      </c>
      <c r="R552" s="6" t="str">
        <f t="shared" si="97"/>
        <v>2022</v>
      </c>
      <c r="S552" s="6" t="str">
        <f t="shared" si="98"/>
        <v>Sep</v>
      </c>
    </row>
    <row r="553" spans="1:19" x14ac:dyDescent="0.25">
      <c r="A553" s="6">
        <v>276</v>
      </c>
      <c r="B553" s="6" t="str">
        <f t="shared" si="90"/>
        <v>NIKFIN00276</v>
      </c>
      <c r="C553" s="7" t="s">
        <v>146</v>
      </c>
      <c r="D553" s="7" t="s">
        <v>90</v>
      </c>
      <c r="E553" s="7" t="str">
        <f t="shared" si="91"/>
        <v>ANKIT GARG</v>
      </c>
      <c r="F553" s="7" t="s">
        <v>12</v>
      </c>
      <c r="G553" s="22">
        <v>44844</v>
      </c>
      <c r="H553" s="8">
        <v>40741</v>
      </c>
      <c r="I553" s="7" t="str">
        <f t="shared" si="92"/>
        <v>ankit.garg@fi.gag.ba</v>
      </c>
      <c r="J553" s="6" t="s">
        <v>1542</v>
      </c>
      <c r="K553" s="6">
        <v>90</v>
      </c>
      <c r="L553" s="7" t="str">
        <f t="shared" si="93"/>
        <v>fi.gag.ba</v>
      </c>
      <c r="M553" s="7" t="str">
        <f t="shared" si="94"/>
        <v>G.Ankit</v>
      </c>
      <c r="N553" s="6">
        <f t="shared" si="89"/>
        <v>0</v>
      </c>
      <c r="O553" s="6">
        <f t="shared" si="88"/>
        <v>0</v>
      </c>
      <c r="P553" s="6" t="str">
        <f t="shared" si="95"/>
        <v>N</v>
      </c>
      <c r="Q553" s="6">
        <f t="shared" si="96"/>
        <v>9</v>
      </c>
      <c r="R553" s="6" t="str">
        <f t="shared" si="97"/>
        <v>2022</v>
      </c>
      <c r="S553" s="6" t="str">
        <f t="shared" si="98"/>
        <v>Oct</v>
      </c>
    </row>
    <row r="554" spans="1:19" x14ac:dyDescent="0.25">
      <c r="A554" s="6">
        <v>278</v>
      </c>
      <c r="B554" s="6" t="str">
        <f t="shared" si="90"/>
        <v>NIKFIN00278</v>
      </c>
      <c r="C554" s="7" t="s">
        <v>414</v>
      </c>
      <c r="D554" s="7" t="s">
        <v>168</v>
      </c>
      <c r="E554" s="7" t="str">
        <f t="shared" si="91"/>
        <v>SURABHI TIWARI</v>
      </c>
      <c r="F554" s="7" t="s">
        <v>12</v>
      </c>
      <c r="G554" s="22">
        <v>44851</v>
      </c>
      <c r="H554" s="8">
        <v>43224</v>
      </c>
      <c r="I554" s="7" t="str">
        <f t="shared" si="92"/>
        <v>surabhi.tiwari@fi.tii.ba</v>
      </c>
      <c r="J554" s="6" t="s">
        <v>1540</v>
      </c>
      <c r="K554" s="6">
        <v>88</v>
      </c>
      <c r="L554" s="7" t="str">
        <f t="shared" si="93"/>
        <v>fi.tii.ba</v>
      </c>
      <c r="M554" s="7" t="str">
        <f t="shared" si="94"/>
        <v>T.Surabhi</v>
      </c>
      <c r="N554" s="6">
        <f t="shared" si="89"/>
        <v>0</v>
      </c>
      <c r="O554" s="6">
        <f t="shared" si="88"/>
        <v>0</v>
      </c>
      <c r="P554" s="6" t="str">
        <f t="shared" si="95"/>
        <v>N</v>
      </c>
      <c r="Q554" s="6">
        <f t="shared" si="96"/>
        <v>13</v>
      </c>
      <c r="R554" s="6" t="str">
        <f t="shared" si="97"/>
        <v>2022</v>
      </c>
      <c r="S554" s="6" t="str">
        <f t="shared" si="98"/>
        <v>Oct</v>
      </c>
    </row>
    <row r="555" spans="1:19" x14ac:dyDescent="0.25">
      <c r="A555" s="6">
        <v>289</v>
      </c>
      <c r="B555" s="6" t="str">
        <f t="shared" si="90"/>
        <v>NIKFIN00289</v>
      </c>
      <c r="C555" s="7" t="s">
        <v>430</v>
      </c>
      <c r="D555" s="7" t="s">
        <v>431</v>
      </c>
      <c r="E555" s="7" t="str">
        <f t="shared" si="91"/>
        <v>DOLLY UDAWAT</v>
      </c>
      <c r="F555" s="7" t="s">
        <v>12</v>
      </c>
      <c r="G555" s="22">
        <v>44914</v>
      </c>
      <c r="H555" s="8">
        <v>73028</v>
      </c>
      <c r="I555" s="7" t="str">
        <f t="shared" si="92"/>
        <v>dolly.udawat@fi.udt.ba</v>
      </c>
      <c r="J555" s="6" t="s">
        <v>1538</v>
      </c>
      <c r="K555" s="6">
        <v>46</v>
      </c>
      <c r="L555" s="7" t="str">
        <f t="shared" si="93"/>
        <v>fi.udt.ba</v>
      </c>
      <c r="M555" s="7" t="str">
        <f t="shared" si="94"/>
        <v>U.Dolly</v>
      </c>
      <c r="N555" s="6">
        <f t="shared" si="89"/>
        <v>0</v>
      </c>
      <c r="O555" s="6">
        <f t="shared" si="88"/>
        <v>0</v>
      </c>
      <c r="P555" s="6" t="str">
        <f t="shared" si="95"/>
        <v>N</v>
      </c>
      <c r="Q555" s="6">
        <f t="shared" si="96"/>
        <v>11</v>
      </c>
      <c r="R555" s="6" t="str">
        <f t="shared" si="97"/>
        <v>2022</v>
      </c>
      <c r="S555" s="6" t="str">
        <f t="shared" si="98"/>
        <v>Dec</v>
      </c>
    </row>
    <row r="556" spans="1:19" x14ac:dyDescent="0.25">
      <c r="A556" s="6">
        <v>297</v>
      </c>
      <c r="B556" s="6" t="str">
        <f t="shared" si="90"/>
        <v>NIKFIN00297</v>
      </c>
      <c r="C556" s="7" t="s">
        <v>441</v>
      </c>
      <c r="D556" s="7" t="s">
        <v>221</v>
      </c>
      <c r="E556" s="7" t="str">
        <f t="shared" si="91"/>
        <v>KOMAL DILIP</v>
      </c>
      <c r="F556" s="7" t="s">
        <v>12</v>
      </c>
      <c r="G556" s="22">
        <v>44942</v>
      </c>
      <c r="H556" s="8">
        <v>60570</v>
      </c>
      <c r="I556" s="7" t="str">
        <f t="shared" si="92"/>
        <v>komal.dilip@fi.dip.ba</v>
      </c>
      <c r="J556" s="6" t="s">
        <v>1537</v>
      </c>
      <c r="K556" s="6">
        <v>70</v>
      </c>
      <c r="L556" s="7" t="str">
        <f t="shared" si="93"/>
        <v>fi.dip.ba</v>
      </c>
      <c r="M556" s="7" t="str">
        <f t="shared" si="94"/>
        <v>D.Komal</v>
      </c>
      <c r="N556" s="6">
        <f t="shared" si="89"/>
        <v>0</v>
      </c>
      <c r="O556" s="6">
        <f t="shared" ref="O556:O619" si="99">IFERROR(SEARCH("e",D556),0)</f>
        <v>0</v>
      </c>
      <c r="P556" s="6" t="str">
        <f t="shared" si="95"/>
        <v>N</v>
      </c>
      <c r="Q556" s="6">
        <f t="shared" si="96"/>
        <v>10</v>
      </c>
      <c r="R556" s="6" t="str">
        <f t="shared" si="97"/>
        <v>2023</v>
      </c>
      <c r="S556" s="6" t="str">
        <f t="shared" si="98"/>
        <v>Jan</v>
      </c>
    </row>
    <row r="557" spans="1:19" x14ac:dyDescent="0.25">
      <c r="A557" s="6">
        <v>304</v>
      </c>
      <c r="B557" s="6" t="str">
        <f t="shared" si="90"/>
        <v>NIKFIN00304</v>
      </c>
      <c r="C557" s="7" t="s">
        <v>453</v>
      </c>
      <c r="D557" s="7" t="s">
        <v>68</v>
      </c>
      <c r="E557" s="7" t="str">
        <f t="shared" si="91"/>
        <v>VISHNU KUMAR</v>
      </c>
      <c r="F557" s="7" t="s">
        <v>12</v>
      </c>
      <c r="G557" s="22">
        <v>44970</v>
      </c>
      <c r="H557" s="8">
        <v>51411</v>
      </c>
      <c r="I557" s="7" t="str">
        <f t="shared" si="92"/>
        <v>vishnu.kumar@fi.kur.ba</v>
      </c>
      <c r="J557" s="6" t="s">
        <v>1540</v>
      </c>
      <c r="K557" s="6">
        <v>35</v>
      </c>
      <c r="L557" s="7" t="str">
        <f t="shared" si="93"/>
        <v>fi.kur.ba</v>
      </c>
      <c r="M557" s="7" t="str">
        <f t="shared" si="94"/>
        <v>K.Vishnu</v>
      </c>
      <c r="N557" s="6">
        <f t="shared" si="89"/>
        <v>0</v>
      </c>
      <c r="O557" s="6">
        <f t="shared" si="99"/>
        <v>0</v>
      </c>
      <c r="P557" s="6" t="str">
        <f t="shared" si="95"/>
        <v>N</v>
      </c>
      <c r="Q557" s="6">
        <f t="shared" si="96"/>
        <v>11</v>
      </c>
      <c r="R557" s="6" t="str">
        <f t="shared" si="97"/>
        <v>2023</v>
      </c>
      <c r="S557" s="6" t="str">
        <f t="shared" si="98"/>
        <v>Feb</v>
      </c>
    </row>
    <row r="558" spans="1:19" x14ac:dyDescent="0.25">
      <c r="A558" s="6">
        <v>306</v>
      </c>
      <c r="B558" s="6" t="str">
        <f t="shared" si="90"/>
        <v>NIKFIN00306</v>
      </c>
      <c r="C558" s="7" t="s">
        <v>456</v>
      </c>
      <c r="D558" s="7" t="s">
        <v>457</v>
      </c>
      <c r="E558" s="7" t="str">
        <f t="shared" si="91"/>
        <v>MANALI CHUGH</v>
      </c>
      <c r="F558" s="7" t="s">
        <v>12</v>
      </c>
      <c r="G558" s="22">
        <v>44974</v>
      </c>
      <c r="H558" s="8">
        <v>85173</v>
      </c>
      <c r="I558" s="7" t="str">
        <f t="shared" si="92"/>
        <v>manali.chugh@fi.chh.ba</v>
      </c>
      <c r="J558" s="6" t="s">
        <v>1537</v>
      </c>
      <c r="K558" s="6">
        <v>52</v>
      </c>
      <c r="L558" s="7" t="str">
        <f t="shared" si="93"/>
        <v>fi.chh.ba</v>
      </c>
      <c r="M558" s="7" t="str">
        <f t="shared" si="94"/>
        <v>C.Manali</v>
      </c>
      <c r="N558" s="6">
        <f t="shared" ref="N558:N621" si="100">IFERROR(SEARCH("e",C558),0)</f>
        <v>0</v>
      </c>
      <c r="O558" s="6">
        <f t="shared" si="99"/>
        <v>0</v>
      </c>
      <c r="P558" s="6" t="str">
        <f t="shared" si="95"/>
        <v>N</v>
      </c>
      <c r="Q558" s="6">
        <f t="shared" si="96"/>
        <v>11</v>
      </c>
      <c r="R558" s="6" t="str">
        <f t="shared" si="97"/>
        <v>2023</v>
      </c>
      <c r="S558" s="6" t="str">
        <f t="shared" si="98"/>
        <v>Feb</v>
      </c>
    </row>
    <row r="559" spans="1:19" x14ac:dyDescent="0.25">
      <c r="A559" s="6">
        <v>328</v>
      </c>
      <c r="B559" s="6" t="str">
        <f t="shared" si="90"/>
        <v>NIKFIN00328</v>
      </c>
      <c r="C559" s="7" t="s">
        <v>486</v>
      </c>
      <c r="D559" s="7" t="s">
        <v>487</v>
      </c>
      <c r="E559" s="7" t="str">
        <f t="shared" si="91"/>
        <v>ISHITA BARAT</v>
      </c>
      <c r="F559" s="7" t="s">
        <v>12</v>
      </c>
      <c r="G559" s="22">
        <v>45096</v>
      </c>
      <c r="H559" s="8">
        <v>72988</v>
      </c>
      <c r="I559" s="7" t="str">
        <f t="shared" si="92"/>
        <v>ishita.barat@fi.bat.ba</v>
      </c>
      <c r="J559" s="6" t="s">
        <v>1533</v>
      </c>
      <c r="K559" s="6">
        <v>37</v>
      </c>
      <c r="L559" s="7" t="str">
        <f t="shared" si="93"/>
        <v>fi.bat.ba</v>
      </c>
      <c r="M559" s="7" t="str">
        <f t="shared" si="94"/>
        <v>B.Ishita</v>
      </c>
      <c r="N559" s="6">
        <f t="shared" si="100"/>
        <v>0</v>
      </c>
      <c r="O559" s="6">
        <f t="shared" si="99"/>
        <v>0</v>
      </c>
      <c r="P559" s="6" t="str">
        <f t="shared" si="95"/>
        <v>N</v>
      </c>
      <c r="Q559" s="6">
        <f t="shared" si="96"/>
        <v>11</v>
      </c>
      <c r="R559" s="6" t="str">
        <f t="shared" si="97"/>
        <v>2023</v>
      </c>
      <c r="S559" s="6" t="str">
        <f t="shared" si="98"/>
        <v>Jun</v>
      </c>
    </row>
    <row r="560" spans="1:19" x14ac:dyDescent="0.25">
      <c r="A560" s="6">
        <v>343</v>
      </c>
      <c r="B560" s="6" t="str">
        <f t="shared" si="90"/>
        <v>NIKFIN00343</v>
      </c>
      <c r="C560" s="7" t="s">
        <v>505</v>
      </c>
      <c r="D560" s="7" t="s">
        <v>506</v>
      </c>
      <c r="E560" s="7" t="str">
        <f t="shared" si="91"/>
        <v>HITESH MOHANBHAI</v>
      </c>
      <c r="F560" s="7" t="s">
        <v>12</v>
      </c>
      <c r="G560" s="22">
        <v>45139</v>
      </c>
      <c r="H560" s="8">
        <v>75263</v>
      </c>
      <c r="I560" s="7" t="str">
        <f t="shared" si="92"/>
        <v>hitesh.mohanbhai@fi.moi.ba</v>
      </c>
      <c r="J560" s="6" t="s">
        <v>1550</v>
      </c>
      <c r="K560" s="6">
        <v>54</v>
      </c>
      <c r="L560" s="7" t="str">
        <f t="shared" si="93"/>
        <v>fi.moi.ba</v>
      </c>
      <c r="M560" s="7" t="str">
        <f t="shared" si="94"/>
        <v>M.Hitesh</v>
      </c>
      <c r="N560" s="6">
        <f t="shared" si="100"/>
        <v>4</v>
      </c>
      <c r="O560" s="6">
        <f t="shared" si="99"/>
        <v>0</v>
      </c>
      <c r="P560" s="6" t="str">
        <f t="shared" si="95"/>
        <v>N</v>
      </c>
      <c r="Q560" s="6">
        <f t="shared" si="96"/>
        <v>15</v>
      </c>
      <c r="R560" s="6" t="str">
        <f t="shared" si="97"/>
        <v>2023</v>
      </c>
      <c r="S560" s="6" t="str">
        <f t="shared" si="98"/>
        <v>Aug</v>
      </c>
    </row>
    <row r="561" spans="1:19" x14ac:dyDescent="0.25">
      <c r="A561" s="6">
        <v>351</v>
      </c>
      <c r="B561" s="6" t="str">
        <f t="shared" si="90"/>
        <v>NIKFIN00351</v>
      </c>
      <c r="C561" s="7" t="s">
        <v>515</v>
      </c>
      <c r="D561" s="7" t="s">
        <v>516</v>
      </c>
      <c r="E561" s="7" t="str">
        <f t="shared" si="91"/>
        <v>JALAY VIPULBHAI</v>
      </c>
      <c r="F561" s="7" t="s">
        <v>12</v>
      </c>
      <c r="G561" s="22">
        <v>45170</v>
      </c>
      <c r="H561" s="8">
        <v>65873</v>
      </c>
      <c r="I561" s="7" t="str">
        <f t="shared" si="92"/>
        <v>jalay.vipulbhai@fi.vii.ba</v>
      </c>
      <c r="J561" s="6" t="s">
        <v>1535</v>
      </c>
      <c r="K561" s="6">
        <v>54</v>
      </c>
      <c r="L561" s="7" t="str">
        <f t="shared" si="93"/>
        <v>fi.vii.ba</v>
      </c>
      <c r="M561" s="7" t="str">
        <f t="shared" si="94"/>
        <v>V.Jalay</v>
      </c>
      <c r="N561" s="6">
        <f t="shared" si="100"/>
        <v>0</v>
      </c>
      <c r="O561" s="6">
        <f t="shared" si="99"/>
        <v>0</v>
      </c>
      <c r="P561" s="6" t="str">
        <f t="shared" si="95"/>
        <v>N</v>
      </c>
      <c r="Q561" s="6">
        <f t="shared" si="96"/>
        <v>14</v>
      </c>
      <c r="R561" s="6" t="str">
        <f t="shared" si="97"/>
        <v>2023</v>
      </c>
      <c r="S561" s="6" t="str">
        <f t="shared" si="98"/>
        <v>Sep</v>
      </c>
    </row>
    <row r="562" spans="1:19" x14ac:dyDescent="0.25">
      <c r="A562" s="6">
        <v>352</v>
      </c>
      <c r="B562" s="6" t="str">
        <f t="shared" si="90"/>
        <v>NIKFIN00352</v>
      </c>
      <c r="C562" s="7" t="s">
        <v>517</v>
      </c>
      <c r="D562" s="7" t="s">
        <v>97</v>
      </c>
      <c r="E562" s="7" t="str">
        <f t="shared" si="91"/>
        <v>RAJENDER AGNIHOTRI</v>
      </c>
      <c r="F562" s="7" t="s">
        <v>12</v>
      </c>
      <c r="G562" s="22">
        <v>45184</v>
      </c>
      <c r="H562" s="8">
        <v>63219</v>
      </c>
      <c r="I562" s="7" t="str">
        <f t="shared" si="92"/>
        <v>rajender.agnihotri@fi.agi.ba</v>
      </c>
      <c r="J562" s="6" t="s">
        <v>1550</v>
      </c>
      <c r="K562" s="6">
        <v>72</v>
      </c>
      <c r="L562" s="7" t="str">
        <f t="shared" si="93"/>
        <v>fi.agi.ba</v>
      </c>
      <c r="M562" s="7" t="str">
        <f t="shared" si="94"/>
        <v>A.Rajender</v>
      </c>
      <c r="N562" s="6">
        <f t="shared" si="100"/>
        <v>4</v>
      </c>
      <c r="O562" s="6">
        <f t="shared" si="99"/>
        <v>0</v>
      </c>
      <c r="P562" s="6" t="str">
        <f t="shared" si="95"/>
        <v>N</v>
      </c>
      <c r="Q562" s="6">
        <f t="shared" si="96"/>
        <v>17</v>
      </c>
      <c r="R562" s="6" t="str">
        <f t="shared" si="97"/>
        <v>2023</v>
      </c>
      <c r="S562" s="6" t="str">
        <f t="shared" si="98"/>
        <v>Sep</v>
      </c>
    </row>
    <row r="563" spans="1:19" x14ac:dyDescent="0.25">
      <c r="A563" s="6">
        <v>358</v>
      </c>
      <c r="B563" s="6" t="str">
        <f t="shared" si="90"/>
        <v>NIKFIN00358</v>
      </c>
      <c r="C563" s="7" t="s">
        <v>523</v>
      </c>
      <c r="D563" s="7" t="s">
        <v>70</v>
      </c>
      <c r="E563" s="7" t="str">
        <f t="shared" si="91"/>
        <v>BIKRAMJEET SINGH</v>
      </c>
      <c r="F563" s="7" t="s">
        <v>12</v>
      </c>
      <c r="G563" s="22">
        <v>45261</v>
      </c>
      <c r="H563" s="8">
        <v>69978</v>
      </c>
      <c r="I563" s="7" t="str">
        <f t="shared" si="92"/>
        <v>bikramjeet.singh@fi.sih.ba</v>
      </c>
      <c r="J563" s="6" t="s">
        <v>1546</v>
      </c>
      <c r="K563" s="6">
        <v>60</v>
      </c>
      <c r="L563" s="7" t="str">
        <f t="shared" si="93"/>
        <v>fi.sih.ba</v>
      </c>
      <c r="M563" s="7" t="str">
        <f t="shared" si="94"/>
        <v>S.Bikramjeet</v>
      </c>
      <c r="N563" s="6">
        <f t="shared" si="100"/>
        <v>8</v>
      </c>
      <c r="O563" s="6">
        <f t="shared" si="99"/>
        <v>0</v>
      </c>
      <c r="P563" s="6" t="str">
        <f t="shared" si="95"/>
        <v>N</v>
      </c>
      <c r="Q563" s="6">
        <f t="shared" si="96"/>
        <v>15</v>
      </c>
      <c r="R563" s="6" t="str">
        <f t="shared" si="97"/>
        <v>2023</v>
      </c>
      <c r="S563" s="6" t="str">
        <f t="shared" si="98"/>
        <v>Dec</v>
      </c>
    </row>
    <row r="564" spans="1:19" x14ac:dyDescent="0.25">
      <c r="A564" s="6">
        <v>375</v>
      </c>
      <c r="B564" s="6" t="str">
        <f t="shared" si="90"/>
        <v>NIKFIN00375</v>
      </c>
      <c r="C564" s="7" t="s">
        <v>465</v>
      </c>
      <c r="D564" s="7" t="s">
        <v>545</v>
      </c>
      <c r="E564" s="7" t="str">
        <f t="shared" si="91"/>
        <v>SURESH SHIVAPUTRA</v>
      </c>
      <c r="F564" s="7" t="s">
        <v>12</v>
      </c>
      <c r="G564" s="22">
        <v>45334</v>
      </c>
      <c r="H564" s="8">
        <v>30827</v>
      </c>
      <c r="I564" s="7" t="str">
        <f t="shared" si="92"/>
        <v>suresh.shivaputra@fi.sha.ba</v>
      </c>
      <c r="J564" s="6" t="s">
        <v>1532</v>
      </c>
      <c r="K564" s="6">
        <v>80</v>
      </c>
      <c r="L564" s="7" t="str">
        <f t="shared" si="93"/>
        <v>fi.sha.ba</v>
      </c>
      <c r="M564" s="7" t="str">
        <f t="shared" si="94"/>
        <v>S.Suresh</v>
      </c>
      <c r="N564" s="6">
        <f t="shared" si="100"/>
        <v>4</v>
      </c>
      <c r="O564" s="6">
        <f t="shared" si="99"/>
        <v>0</v>
      </c>
      <c r="P564" s="6" t="str">
        <f t="shared" si="95"/>
        <v>N</v>
      </c>
      <c r="Q564" s="6">
        <f t="shared" si="96"/>
        <v>16</v>
      </c>
      <c r="R564" s="6" t="str">
        <f t="shared" si="97"/>
        <v>2024</v>
      </c>
      <c r="S564" s="6" t="str">
        <f t="shared" si="98"/>
        <v>Feb</v>
      </c>
    </row>
    <row r="565" spans="1:19" x14ac:dyDescent="0.25">
      <c r="A565" s="6">
        <v>408</v>
      </c>
      <c r="B565" s="6" t="str">
        <f t="shared" si="90"/>
        <v>NIKFIN00408</v>
      </c>
      <c r="C565" s="7" t="s">
        <v>584</v>
      </c>
      <c r="D565" s="7" t="s">
        <v>585</v>
      </c>
      <c r="E565" s="7" t="str">
        <f t="shared" si="91"/>
        <v>KRISHI DHOJ</v>
      </c>
      <c r="F565" s="7" t="s">
        <v>12</v>
      </c>
      <c r="G565" s="22">
        <v>45444</v>
      </c>
      <c r="H565" s="8">
        <v>88402</v>
      </c>
      <c r="I565" s="7" t="str">
        <f t="shared" si="92"/>
        <v>krishi.dhoj@fi.dhj.ba</v>
      </c>
      <c r="J565" s="6" t="s">
        <v>1539</v>
      </c>
      <c r="K565" s="6">
        <v>72</v>
      </c>
      <c r="L565" s="7" t="str">
        <f t="shared" si="93"/>
        <v>fi.dhj.ba</v>
      </c>
      <c r="M565" s="7" t="str">
        <f t="shared" si="94"/>
        <v>D.Krishi</v>
      </c>
      <c r="N565" s="6">
        <f t="shared" si="100"/>
        <v>0</v>
      </c>
      <c r="O565" s="6">
        <f t="shared" si="99"/>
        <v>0</v>
      </c>
      <c r="P565" s="6" t="str">
        <f t="shared" si="95"/>
        <v>N</v>
      </c>
      <c r="Q565" s="6">
        <f t="shared" si="96"/>
        <v>10</v>
      </c>
      <c r="R565" s="6" t="str">
        <f t="shared" si="97"/>
        <v>2024</v>
      </c>
      <c r="S565" s="6" t="str">
        <f t="shared" si="98"/>
        <v>Jun</v>
      </c>
    </row>
    <row r="566" spans="1:19" x14ac:dyDescent="0.25">
      <c r="A566" s="6">
        <v>412</v>
      </c>
      <c r="B566" s="6" t="str">
        <f t="shared" si="90"/>
        <v>NIKFIN00412</v>
      </c>
      <c r="C566" s="7" t="s">
        <v>589</v>
      </c>
      <c r="D566" s="7" t="s">
        <v>283</v>
      </c>
      <c r="E566" s="7" t="str">
        <f t="shared" si="91"/>
        <v>FALGUNI PRASAD</v>
      </c>
      <c r="F566" s="7" t="s">
        <v>12</v>
      </c>
      <c r="G566" s="22">
        <v>45462</v>
      </c>
      <c r="H566" s="8">
        <v>58992</v>
      </c>
      <c r="I566" s="7" t="str">
        <f t="shared" si="92"/>
        <v>falguni.prasad@fi.prd.ba</v>
      </c>
      <c r="J566" s="6" t="s">
        <v>1534</v>
      </c>
      <c r="K566" s="6">
        <v>59</v>
      </c>
      <c r="L566" s="7" t="str">
        <f t="shared" si="93"/>
        <v>fi.prd.ba</v>
      </c>
      <c r="M566" s="7" t="str">
        <f t="shared" si="94"/>
        <v>P.Falguni</v>
      </c>
      <c r="N566" s="6">
        <f t="shared" si="100"/>
        <v>0</v>
      </c>
      <c r="O566" s="6">
        <f t="shared" si="99"/>
        <v>0</v>
      </c>
      <c r="P566" s="6" t="str">
        <f t="shared" si="95"/>
        <v>N</v>
      </c>
      <c r="Q566" s="6">
        <f t="shared" si="96"/>
        <v>13</v>
      </c>
      <c r="R566" s="6" t="str">
        <f t="shared" si="97"/>
        <v>2024</v>
      </c>
      <c r="S566" s="6" t="str">
        <f t="shared" si="98"/>
        <v>Jun</v>
      </c>
    </row>
    <row r="567" spans="1:19" x14ac:dyDescent="0.25">
      <c r="A567" s="6">
        <v>417</v>
      </c>
      <c r="B567" s="6" t="str">
        <f t="shared" si="90"/>
        <v>NIKFIN00417</v>
      </c>
      <c r="C567" s="7" t="s">
        <v>560</v>
      </c>
      <c r="D567" s="7" t="s">
        <v>46</v>
      </c>
      <c r="E567" s="7" t="str">
        <f t="shared" si="91"/>
        <v>SAKSHI DINESH</v>
      </c>
      <c r="F567" s="7" t="s">
        <v>12</v>
      </c>
      <c r="G567" s="22">
        <v>45474</v>
      </c>
      <c r="H567" s="8">
        <v>101804</v>
      </c>
      <c r="I567" s="7" t="str">
        <f t="shared" si="92"/>
        <v>sakshi.dinesh@fi.dih.ba</v>
      </c>
      <c r="J567" s="6" t="s">
        <v>1545</v>
      </c>
      <c r="K567" s="6">
        <v>53</v>
      </c>
      <c r="L567" s="7" t="str">
        <f t="shared" si="93"/>
        <v>fi.dih.ba</v>
      </c>
      <c r="M567" s="7" t="str">
        <f t="shared" si="94"/>
        <v>D.Sakshi</v>
      </c>
      <c r="N567" s="6">
        <f t="shared" si="100"/>
        <v>0</v>
      </c>
      <c r="O567" s="6">
        <f t="shared" si="99"/>
        <v>4</v>
      </c>
      <c r="P567" s="6" t="str">
        <f t="shared" si="95"/>
        <v>N</v>
      </c>
      <c r="Q567" s="6">
        <f t="shared" si="96"/>
        <v>12</v>
      </c>
      <c r="R567" s="6" t="str">
        <f t="shared" si="97"/>
        <v>2024</v>
      </c>
      <c r="S567" s="6" t="str">
        <f t="shared" si="98"/>
        <v>Jul</v>
      </c>
    </row>
    <row r="568" spans="1:19" x14ac:dyDescent="0.25">
      <c r="A568" s="6">
        <v>418</v>
      </c>
      <c r="B568" s="6" t="str">
        <f t="shared" si="90"/>
        <v>NIKFIN00418</v>
      </c>
      <c r="C568" s="7" t="s">
        <v>596</v>
      </c>
      <c r="D568" s="7" t="s">
        <v>597</v>
      </c>
      <c r="E568" s="7" t="str">
        <f t="shared" si="91"/>
        <v>AANCHAL DEWANGAN</v>
      </c>
      <c r="F568" s="7" t="s">
        <v>12</v>
      </c>
      <c r="G568" s="22">
        <v>45482</v>
      </c>
      <c r="H568" s="8">
        <v>88129</v>
      </c>
      <c r="I568" s="7" t="str">
        <f t="shared" si="92"/>
        <v>aanchal.dewangan@fi.den.ba</v>
      </c>
      <c r="J568" s="6" t="s">
        <v>1540</v>
      </c>
      <c r="K568" s="6">
        <v>45</v>
      </c>
      <c r="L568" s="7" t="str">
        <f t="shared" si="93"/>
        <v>fi.den.ba</v>
      </c>
      <c r="M568" s="7" t="str">
        <f t="shared" si="94"/>
        <v>D.Aanchal</v>
      </c>
      <c r="N568" s="6">
        <f t="shared" si="100"/>
        <v>0</v>
      </c>
      <c r="O568" s="6">
        <f t="shared" si="99"/>
        <v>2</v>
      </c>
      <c r="P568" s="6" t="str">
        <f t="shared" si="95"/>
        <v>N</v>
      </c>
      <c r="Q568" s="6">
        <f t="shared" si="96"/>
        <v>15</v>
      </c>
      <c r="R568" s="6" t="str">
        <f t="shared" si="97"/>
        <v>2024</v>
      </c>
      <c r="S568" s="6" t="str">
        <f t="shared" si="98"/>
        <v>Jul</v>
      </c>
    </row>
    <row r="569" spans="1:19" x14ac:dyDescent="0.25">
      <c r="A569" s="6">
        <v>438</v>
      </c>
      <c r="B569" s="6" t="str">
        <f t="shared" si="90"/>
        <v>NIKFIN00438</v>
      </c>
      <c r="C569" s="7" t="s">
        <v>616</v>
      </c>
      <c r="D569" s="7" t="s">
        <v>617</v>
      </c>
      <c r="E569" s="7" t="str">
        <f t="shared" si="91"/>
        <v>ANURAG SOMKUMAR</v>
      </c>
      <c r="F569" s="7" t="s">
        <v>12</v>
      </c>
      <c r="G569" s="22">
        <v>45538</v>
      </c>
      <c r="H569" s="8">
        <v>55023</v>
      </c>
      <c r="I569" s="7" t="str">
        <f t="shared" si="92"/>
        <v>anurag.somkumar@fi.sor.ba</v>
      </c>
      <c r="J569" s="6" t="s">
        <v>1539</v>
      </c>
      <c r="K569" s="6">
        <v>43</v>
      </c>
      <c r="L569" s="7" t="str">
        <f t="shared" si="93"/>
        <v>fi.sor.ba</v>
      </c>
      <c r="M569" s="7" t="str">
        <f t="shared" si="94"/>
        <v>S.Anurag</v>
      </c>
      <c r="N569" s="6">
        <f t="shared" si="100"/>
        <v>0</v>
      </c>
      <c r="O569" s="6">
        <f t="shared" si="99"/>
        <v>0</v>
      </c>
      <c r="P569" s="6" t="str">
        <f t="shared" si="95"/>
        <v>N</v>
      </c>
      <c r="Q569" s="6">
        <f t="shared" si="96"/>
        <v>14</v>
      </c>
      <c r="R569" s="6" t="str">
        <f t="shared" si="97"/>
        <v>2024</v>
      </c>
      <c r="S569" s="6" t="str">
        <f t="shared" si="98"/>
        <v>Sep</v>
      </c>
    </row>
    <row r="570" spans="1:19" x14ac:dyDescent="0.25">
      <c r="A570" s="6">
        <v>447</v>
      </c>
      <c r="B570" s="6" t="str">
        <f t="shared" si="90"/>
        <v>NIKFIN00447</v>
      </c>
      <c r="C570" s="7" t="s">
        <v>628</v>
      </c>
      <c r="D570" s="7" t="s">
        <v>629</v>
      </c>
      <c r="E570" s="7" t="str">
        <f t="shared" si="91"/>
        <v>TANIA DIWEDI</v>
      </c>
      <c r="F570" s="7" t="s">
        <v>12</v>
      </c>
      <c r="G570" s="22">
        <v>45551</v>
      </c>
      <c r="H570" s="8">
        <v>28147</v>
      </c>
      <c r="I570" s="7" t="str">
        <f t="shared" si="92"/>
        <v>tania.diwedi@fi.dii.ba</v>
      </c>
      <c r="J570" s="6" t="s">
        <v>1539</v>
      </c>
      <c r="K570" s="6">
        <v>78</v>
      </c>
      <c r="L570" s="7" t="str">
        <f t="shared" si="93"/>
        <v>fi.dii.ba</v>
      </c>
      <c r="M570" s="7" t="str">
        <f t="shared" si="94"/>
        <v>D.Tania</v>
      </c>
      <c r="N570" s="6">
        <f t="shared" si="100"/>
        <v>0</v>
      </c>
      <c r="O570" s="6">
        <f t="shared" si="99"/>
        <v>4</v>
      </c>
      <c r="P570" s="6" t="str">
        <f t="shared" si="95"/>
        <v>N</v>
      </c>
      <c r="Q570" s="6">
        <f t="shared" si="96"/>
        <v>11</v>
      </c>
      <c r="R570" s="6" t="str">
        <f t="shared" si="97"/>
        <v>2024</v>
      </c>
      <c r="S570" s="6" t="str">
        <f t="shared" si="98"/>
        <v>Sep</v>
      </c>
    </row>
    <row r="571" spans="1:19" x14ac:dyDescent="0.25">
      <c r="A571" s="6">
        <v>450</v>
      </c>
      <c r="B571" s="6" t="str">
        <f t="shared" si="90"/>
        <v>NIKFIN00450</v>
      </c>
      <c r="C571" s="7" t="s">
        <v>632</v>
      </c>
      <c r="D571" s="7" t="s">
        <v>55</v>
      </c>
      <c r="E571" s="7" t="str">
        <f t="shared" si="91"/>
        <v>NIMMI SHARMA</v>
      </c>
      <c r="F571" s="7" t="s">
        <v>12</v>
      </c>
      <c r="G571" s="22">
        <v>45568</v>
      </c>
      <c r="H571" s="8">
        <v>94141</v>
      </c>
      <c r="I571" s="7" t="str">
        <f t="shared" si="92"/>
        <v>nimmi.sharma@fi.sha.ba</v>
      </c>
      <c r="J571" s="6" t="s">
        <v>1536</v>
      </c>
      <c r="K571" s="6">
        <v>65</v>
      </c>
      <c r="L571" s="7" t="str">
        <f t="shared" si="93"/>
        <v>fi.sha.ba</v>
      </c>
      <c r="M571" s="7" t="str">
        <f t="shared" si="94"/>
        <v>S.Nimmi</v>
      </c>
      <c r="N571" s="6">
        <f t="shared" si="100"/>
        <v>0</v>
      </c>
      <c r="O571" s="6">
        <f t="shared" si="99"/>
        <v>0</v>
      </c>
      <c r="P571" s="6" t="str">
        <f t="shared" si="95"/>
        <v>N</v>
      </c>
      <c r="Q571" s="6">
        <f t="shared" si="96"/>
        <v>11</v>
      </c>
      <c r="R571" s="6" t="str">
        <f t="shared" si="97"/>
        <v>2024</v>
      </c>
      <c r="S571" s="6" t="str">
        <f t="shared" si="98"/>
        <v>Oct</v>
      </c>
    </row>
    <row r="572" spans="1:19" x14ac:dyDescent="0.25">
      <c r="A572" s="6">
        <v>452</v>
      </c>
      <c r="B572" s="6" t="str">
        <f t="shared" si="90"/>
        <v>NIKFIN00452</v>
      </c>
      <c r="C572" s="7" t="s">
        <v>128</v>
      </c>
      <c r="D572" s="7" t="s">
        <v>633</v>
      </c>
      <c r="E572" s="7" t="str">
        <f t="shared" si="91"/>
        <v>PRAVEEN SONTAKEY</v>
      </c>
      <c r="F572" s="7" t="s">
        <v>12</v>
      </c>
      <c r="G572" s="22">
        <v>45568</v>
      </c>
      <c r="H572" s="8">
        <v>38773</v>
      </c>
      <c r="I572" s="7" t="str">
        <f t="shared" si="92"/>
        <v>praveen.sontakey@fi.soy.ba</v>
      </c>
      <c r="J572" s="6" t="s">
        <v>1545</v>
      </c>
      <c r="K572" s="6">
        <v>81</v>
      </c>
      <c r="L572" s="7" t="str">
        <f t="shared" si="93"/>
        <v>fi.soy.ba</v>
      </c>
      <c r="M572" s="7" t="str">
        <f t="shared" si="94"/>
        <v>S.Praveen</v>
      </c>
      <c r="N572" s="6">
        <f t="shared" si="100"/>
        <v>5</v>
      </c>
      <c r="O572" s="6">
        <f t="shared" si="99"/>
        <v>7</v>
      </c>
      <c r="P572" s="6" t="str">
        <f t="shared" si="95"/>
        <v>Y</v>
      </c>
      <c r="Q572" s="6">
        <f t="shared" si="96"/>
        <v>15</v>
      </c>
      <c r="R572" s="6" t="str">
        <f t="shared" si="97"/>
        <v>2024</v>
      </c>
      <c r="S572" s="6" t="str">
        <f t="shared" si="98"/>
        <v>Oct</v>
      </c>
    </row>
    <row r="573" spans="1:19" x14ac:dyDescent="0.25">
      <c r="A573" s="6">
        <v>464</v>
      </c>
      <c r="B573" s="6" t="str">
        <f t="shared" si="90"/>
        <v>NIKFIN00464</v>
      </c>
      <c r="C573" s="7" t="s">
        <v>121</v>
      </c>
      <c r="D573" s="7" t="s">
        <v>645</v>
      </c>
      <c r="E573" s="7" t="str">
        <f t="shared" si="91"/>
        <v>RICHA MANIKTALA</v>
      </c>
      <c r="F573" s="7" t="s">
        <v>12</v>
      </c>
      <c r="G573" s="22">
        <v>45601</v>
      </c>
      <c r="H573" s="8">
        <v>27696</v>
      </c>
      <c r="I573" s="7" t="str">
        <f t="shared" si="92"/>
        <v>richa.maniktala@fi.maa.ba</v>
      </c>
      <c r="J573" s="6" t="s">
        <v>1537</v>
      </c>
      <c r="K573" s="6">
        <v>65</v>
      </c>
      <c r="L573" s="7" t="str">
        <f t="shared" si="93"/>
        <v>fi.maa.ba</v>
      </c>
      <c r="M573" s="7" t="str">
        <f t="shared" si="94"/>
        <v>M.Richa</v>
      </c>
      <c r="N573" s="6">
        <f t="shared" si="100"/>
        <v>0</v>
      </c>
      <c r="O573" s="6">
        <f t="shared" si="99"/>
        <v>0</v>
      </c>
      <c r="P573" s="6" t="str">
        <f t="shared" si="95"/>
        <v>N</v>
      </c>
      <c r="Q573" s="6">
        <f t="shared" si="96"/>
        <v>14</v>
      </c>
      <c r="R573" s="6" t="str">
        <f t="shared" si="97"/>
        <v>2024</v>
      </c>
      <c r="S573" s="6" t="str">
        <f t="shared" si="98"/>
        <v>Nov</v>
      </c>
    </row>
    <row r="574" spans="1:19" x14ac:dyDescent="0.25">
      <c r="A574" s="6">
        <v>465</v>
      </c>
      <c r="B574" s="6" t="str">
        <f t="shared" si="90"/>
        <v>NIKFIN00465</v>
      </c>
      <c r="C574" s="7" t="s">
        <v>646</v>
      </c>
      <c r="D574" s="7" t="s">
        <v>123</v>
      </c>
      <c r="E574" s="7" t="str">
        <f t="shared" si="91"/>
        <v>SHIVANG ASHWIN</v>
      </c>
      <c r="F574" s="7" t="s">
        <v>12</v>
      </c>
      <c r="G574" s="22">
        <v>45601</v>
      </c>
      <c r="H574" s="8">
        <v>80259</v>
      </c>
      <c r="I574" s="7" t="str">
        <f t="shared" si="92"/>
        <v>shivang.ashwin@fi.asn.ba</v>
      </c>
      <c r="J574" s="6" t="s">
        <v>1535</v>
      </c>
      <c r="K574" s="6">
        <v>59</v>
      </c>
      <c r="L574" s="7" t="str">
        <f t="shared" si="93"/>
        <v>fi.asn.ba</v>
      </c>
      <c r="M574" s="7" t="str">
        <f t="shared" si="94"/>
        <v>A.Shivang</v>
      </c>
      <c r="N574" s="6">
        <f t="shared" si="100"/>
        <v>0</v>
      </c>
      <c r="O574" s="6">
        <f t="shared" si="99"/>
        <v>0</v>
      </c>
      <c r="P574" s="6" t="str">
        <f t="shared" si="95"/>
        <v>N</v>
      </c>
      <c r="Q574" s="6">
        <f t="shared" si="96"/>
        <v>13</v>
      </c>
      <c r="R574" s="6" t="str">
        <f t="shared" si="97"/>
        <v>2024</v>
      </c>
      <c r="S574" s="6" t="str">
        <f t="shared" si="98"/>
        <v>Nov</v>
      </c>
    </row>
    <row r="575" spans="1:19" x14ac:dyDescent="0.25">
      <c r="A575" s="6">
        <v>481</v>
      </c>
      <c r="B575" s="6" t="str">
        <f t="shared" si="90"/>
        <v>NIKFIN00481</v>
      </c>
      <c r="C575" s="7" t="s">
        <v>666</v>
      </c>
      <c r="D575" s="7" t="s">
        <v>498</v>
      </c>
      <c r="E575" s="7" t="str">
        <f t="shared" si="91"/>
        <v>ARSHDEEP KAUR</v>
      </c>
      <c r="F575" s="7" t="s">
        <v>12</v>
      </c>
      <c r="G575" s="22">
        <v>42646</v>
      </c>
      <c r="H575" s="8">
        <v>79377</v>
      </c>
      <c r="I575" s="7" t="str">
        <f t="shared" si="92"/>
        <v>arshdeep.kaur@fi.kar.ba</v>
      </c>
      <c r="J575" s="6" t="s">
        <v>1537</v>
      </c>
      <c r="K575" s="6">
        <v>47</v>
      </c>
      <c r="L575" s="7" t="str">
        <f t="shared" si="93"/>
        <v>fi.kar.ba</v>
      </c>
      <c r="M575" s="7" t="str">
        <f t="shared" si="94"/>
        <v>K.Arshdeep</v>
      </c>
      <c r="N575" s="6">
        <f t="shared" si="100"/>
        <v>6</v>
      </c>
      <c r="O575" s="6">
        <f t="shared" si="99"/>
        <v>0</v>
      </c>
      <c r="P575" s="6" t="str">
        <f t="shared" si="95"/>
        <v>N</v>
      </c>
      <c r="Q575" s="6">
        <f t="shared" si="96"/>
        <v>12</v>
      </c>
      <c r="R575" s="6" t="str">
        <f t="shared" si="97"/>
        <v>2016</v>
      </c>
      <c r="S575" s="6" t="str">
        <f t="shared" si="98"/>
        <v>Oct</v>
      </c>
    </row>
    <row r="576" spans="1:19" x14ac:dyDescent="0.25">
      <c r="A576" s="6">
        <v>485</v>
      </c>
      <c r="B576" s="6" t="str">
        <f t="shared" si="90"/>
        <v>NIKFIN00485</v>
      </c>
      <c r="C576" s="7" t="s">
        <v>77</v>
      </c>
      <c r="D576" s="7" t="s">
        <v>124</v>
      </c>
      <c r="E576" s="7" t="str">
        <f t="shared" si="91"/>
        <v>RAJEEV SHUKLA</v>
      </c>
      <c r="F576" s="7" t="s">
        <v>12</v>
      </c>
      <c r="G576" s="22">
        <v>42410</v>
      </c>
      <c r="H576" s="8">
        <v>72719</v>
      </c>
      <c r="I576" s="7" t="str">
        <f t="shared" si="92"/>
        <v>rajeev.shukla@fi.sha.ba</v>
      </c>
      <c r="J576" s="6" t="s">
        <v>1550</v>
      </c>
      <c r="K576" s="6">
        <v>62</v>
      </c>
      <c r="L576" s="7" t="str">
        <f t="shared" si="93"/>
        <v>fi.sha.ba</v>
      </c>
      <c r="M576" s="7" t="str">
        <f t="shared" si="94"/>
        <v>S.Rajeev</v>
      </c>
      <c r="N576" s="6">
        <f t="shared" si="100"/>
        <v>4</v>
      </c>
      <c r="O576" s="6">
        <f t="shared" si="99"/>
        <v>0</v>
      </c>
      <c r="P576" s="6" t="str">
        <f t="shared" si="95"/>
        <v>N</v>
      </c>
      <c r="Q576" s="6">
        <f t="shared" si="96"/>
        <v>12</v>
      </c>
      <c r="R576" s="6" t="str">
        <f t="shared" si="97"/>
        <v>2016</v>
      </c>
      <c r="S576" s="6" t="str">
        <f t="shared" si="98"/>
        <v>Feb</v>
      </c>
    </row>
    <row r="577" spans="1:19" x14ac:dyDescent="0.25">
      <c r="A577" s="6">
        <v>493</v>
      </c>
      <c r="B577" s="6" t="str">
        <f t="shared" si="90"/>
        <v>NIKFIN00493</v>
      </c>
      <c r="C577" s="7" t="s">
        <v>678</v>
      </c>
      <c r="D577" s="7" t="s">
        <v>679</v>
      </c>
      <c r="E577" s="7" t="str">
        <f t="shared" si="91"/>
        <v>SAGAR U</v>
      </c>
      <c r="F577" s="7" t="s">
        <v>12</v>
      </c>
      <c r="G577" s="22">
        <v>42422</v>
      </c>
      <c r="H577" s="8">
        <v>39163</v>
      </c>
      <c r="I577" s="7" t="str">
        <f t="shared" si="92"/>
        <v>sagar.u@fi.uu.ba</v>
      </c>
      <c r="J577" s="6" t="s">
        <v>1544</v>
      </c>
      <c r="K577" s="6">
        <v>84</v>
      </c>
      <c r="L577" s="7" t="str">
        <f t="shared" si="93"/>
        <v>fi.uu.ba</v>
      </c>
      <c r="M577" s="7" t="str">
        <f t="shared" si="94"/>
        <v>U.Sagar</v>
      </c>
      <c r="N577" s="6">
        <f t="shared" si="100"/>
        <v>0</v>
      </c>
      <c r="O577" s="6">
        <f t="shared" si="99"/>
        <v>0</v>
      </c>
      <c r="P577" s="6" t="str">
        <f t="shared" si="95"/>
        <v>N</v>
      </c>
      <c r="Q577" s="6">
        <f t="shared" si="96"/>
        <v>6</v>
      </c>
      <c r="R577" s="6" t="str">
        <f t="shared" si="97"/>
        <v>2016</v>
      </c>
      <c r="S577" s="6" t="str">
        <f t="shared" si="98"/>
        <v>Feb</v>
      </c>
    </row>
    <row r="578" spans="1:19" x14ac:dyDescent="0.25">
      <c r="A578" s="6">
        <v>508</v>
      </c>
      <c r="B578" s="6" t="str">
        <f t="shared" ref="B578:B641" si="101">_xlfn.TEXTJOIN("",TRUE,"NIK",UPPER(LEFT(SUBSTITUTE(SUBSTITUTE(F578," ",""),"&amp;",""),3)),TEXT(A578,"00000"))</f>
        <v>NIKFIN00508</v>
      </c>
      <c r="C578" s="7" t="s">
        <v>301</v>
      </c>
      <c r="D578" s="7" t="s">
        <v>245</v>
      </c>
      <c r="E578" s="7" t="str">
        <f t="shared" ref="E578:E641" si="102">_xlfn.TEXTJOIN(" ",TRUE,C578,D578)</f>
        <v>DHEERAJ PAREEK</v>
      </c>
      <c r="F578" s="7" t="s">
        <v>12</v>
      </c>
      <c r="G578" s="22">
        <v>39214</v>
      </c>
      <c r="H578" s="8">
        <v>95310</v>
      </c>
      <c r="I578" s="7" t="str">
        <f t="shared" ref="I578:I641" si="103">LOWER(C578&amp;"."&amp;D578&amp;"@"&amp;LEFT(SUBSTITUTE(F578," ",""),2))&amp;LOWER("."&amp;LEFT(D578,2))&amp;LOWER(RIGHT(D578,1))&amp;".ba"</f>
        <v>dheeraj.pareek@fi.pak.ba</v>
      </c>
      <c r="J578" s="6" t="s">
        <v>1532</v>
      </c>
      <c r="K578" s="6">
        <v>83</v>
      </c>
      <c r="L578" s="7" t="str">
        <f t="shared" ref="L578:L641" si="104">RIGHT(I578,LEN(I578)-FIND("@",I578))</f>
        <v>fi.pak.ba</v>
      </c>
      <c r="M578" s="7" t="str">
        <f t="shared" ref="M578:M641" si="105">UPPER(LEFT(D578,1))&amp;"."&amp;PROPER(C578)</f>
        <v>P.Dheeraj</v>
      </c>
      <c r="N578" s="6">
        <f t="shared" si="100"/>
        <v>3</v>
      </c>
      <c r="O578" s="6">
        <f t="shared" si="99"/>
        <v>4</v>
      </c>
      <c r="P578" s="6" t="str">
        <f t="shared" ref="P578:P641" si="106">IF(AND(N578&gt;=1,O578&gt;=1),"Y","N")</f>
        <v>Y</v>
      </c>
      <c r="Q578" s="6">
        <f t="shared" ref="Q578:Q641" si="107">LEN(SUBSTITUTE(E578, " ", ""))</f>
        <v>13</v>
      </c>
      <c r="R578" s="6" t="str">
        <f t="shared" ref="R578:R641" si="108">TEXT(G578,"YYYY")</f>
        <v>2007</v>
      </c>
      <c r="S578" s="6" t="str">
        <f t="shared" ref="S578:S641" si="109">TEXT(G578,"MMM")</f>
        <v>May</v>
      </c>
    </row>
    <row r="579" spans="1:19" x14ac:dyDescent="0.25">
      <c r="A579" s="6">
        <v>531</v>
      </c>
      <c r="B579" s="6" t="str">
        <f t="shared" si="101"/>
        <v>NIKFIN00531</v>
      </c>
      <c r="C579" s="7" t="s">
        <v>259</v>
      </c>
      <c r="D579" s="7" t="s">
        <v>466</v>
      </c>
      <c r="E579" s="7" t="str">
        <f t="shared" si="102"/>
        <v>ASHISH B</v>
      </c>
      <c r="F579" s="7" t="s">
        <v>12</v>
      </c>
      <c r="G579" s="22">
        <v>42893</v>
      </c>
      <c r="H579" s="8">
        <v>29697</v>
      </c>
      <c r="I579" s="7" t="str">
        <f t="shared" si="103"/>
        <v>ashish.b@fi.bb.ba</v>
      </c>
      <c r="J579" s="6" t="s">
        <v>1539</v>
      </c>
      <c r="K579" s="6">
        <v>54</v>
      </c>
      <c r="L579" s="7" t="str">
        <f t="shared" si="104"/>
        <v>fi.bb.ba</v>
      </c>
      <c r="M579" s="7" t="str">
        <f t="shared" si="105"/>
        <v>B.Ashish</v>
      </c>
      <c r="N579" s="6">
        <f t="shared" si="100"/>
        <v>0</v>
      </c>
      <c r="O579" s="6">
        <f t="shared" si="99"/>
        <v>0</v>
      </c>
      <c r="P579" s="6" t="str">
        <f t="shared" si="106"/>
        <v>N</v>
      </c>
      <c r="Q579" s="6">
        <f t="shared" si="107"/>
        <v>7</v>
      </c>
      <c r="R579" s="6" t="str">
        <f t="shared" si="108"/>
        <v>2017</v>
      </c>
      <c r="S579" s="6" t="str">
        <f t="shared" si="109"/>
        <v>Jun</v>
      </c>
    </row>
    <row r="580" spans="1:19" x14ac:dyDescent="0.25">
      <c r="A580" s="6">
        <v>534</v>
      </c>
      <c r="B580" s="6" t="str">
        <f t="shared" si="101"/>
        <v>NIKFIN00534</v>
      </c>
      <c r="C580" s="7" t="s">
        <v>19</v>
      </c>
      <c r="D580" s="7" t="s">
        <v>95</v>
      </c>
      <c r="E580" s="7" t="str">
        <f t="shared" si="102"/>
        <v>AMIT JOSHI</v>
      </c>
      <c r="F580" s="7" t="s">
        <v>12</v>
      </c>
      <c r="G580" s="22">
        <v>41810</v>
      </c>
      <c r="H580" s="8">
        <v>73287</v>
      </c>
      <c r="I580" s="7" t="str">
        <f t="shared" si="103"/>
        <v>amit.joshi@fi.joi.ba</v>
      </c>
      <c r="J580" s="6" t="s">
        <v>1542</v>
      </c>
      <c r="K580" s="6">
        <v>36</v>
      </c>
      <c r="L580" s="7" t="str">
        <f t="shared" si="104"/>
        <v>fi.joi.ba</v>
      </c>
      <c r="M580" s="7" t="str">
        <f t="shared" si="105"/>
        <v>J.Amit</v>
      </c>
      <c r="N580" s="6">
        <f t="shared" si="100"/>
        <v>0</v>
      </c>
      <c r="O580" s="6">
        <f t="shared" si="99"/>
        <v>0</v>
      </c>
      <c r="P580" s="6" t="str">
        <f t="shared" si="106"/>
        <v>N</v>
      </c>
      <c r="Q580" s="6">
        <f t="shared" si="107"/>
        <v>9</v>
      </c>
      <c r="R580" s="6" t="str">
        <f t="shared" si="108"/>
        <v>2014</v>
      </c>
      <c r="S580" s="6" t="str">
        <f t="shared" si="109"/>
        <v>Jun</v>
      </c>
    </row>
    <row r="581" spans="1:19" x14ac:dyDescent="0.25">
      <c r="A581" s="6">
        <v>538</v>
      </c>
      <c r="B581" s="6" t="str">
        <f t="shared" si="101"/>
        <v>NIKFIN00538</v>
      </c>
      <c r="C581" s="7" t="s">
        <v>134</v>
      </c>
      <c r="D581" s="7" t="s">
        <v>55</v>
      </c>
      <c r="E581" s="7" t="str">
        <f t="shared" si="102"/>
        <v>ABHINAV SHARMA</v>
      </c>
      <c r="F581" s="7" t="s">
        <v>12</v>
      </c>
      <c r="G581" s="22">
        <v>42681</v>
      </c>
      <c r="H581" s="8">
        <v>71640</v>
      </c>
      <c r="I581" s="7" t="str">
        <f t="shared" si="103"/>
        <v>abhinav.sharma@fi.sha.ba</v>
      </c>
      <c r="J581" s="6" t="s">
        <v>1541</v>
      </c>
      <c r="K581" s="6">
        <v>35</v>
      </c>
      <c r="L581" s="7" t="str">
        <f t="shared" si="104"/>
        <v>fi.sha.ba</v>
      </c>
      <c r="M581" s="7" t="str">
        <f t="shared" si="105"/>
        <v>S.Abhinav</v>
      </c>
      <c r="N581" s="6">
        <f t="shared" si="100"/>
        <v>0</v>
      </c>
      <c r="O581" s="6">
        <f t="shared" si="99"/>
        <v>0</v>
      </c>
      <c r="P581" s="6" t="str">
        <f t="shared" si="106"/>
        <v>N</v>
      </c>
      <c r="Q581" s="6">
        <f t="shared" si="107"/>
        <v>13</v>
      </c>
      <c r="R581" s="6" t="str">
        <f t="shared" si="108"/>
        <v>2016</v>
      </c>
      <c r="S581" s="6" t="str">
        <f t="shared" si="109"/>
        <v>Nov</v>
      </c>
    </row>
    <row r="582" spans="1:19" x14ac:dyDescent="0.25">
      <c r="A582" s="6">
        <v>562</v>
      </c>
      <c r="B582" s="6" t="str">
        <f t="shared" si="101"/>
        <v>NIKFIN00562</v>
      </c>
      <c r="C582" s="7" t="s">
        <v>275</v>
      </c>
      <c r="D582" s="7" t="s">
        <v>740</v>
      </c>
      <c r="E582" s="7" t="str">
        <f t="shared" si="102"/>
        <v>KRISHNA GOPAL</v>
      </c>
      <c r="F582" s="7" t="s">
        <v>12</v>
      </c>
      <c r="G582" s="22">
        <v>42865</v>
      </c>
      <c r="H582" s="8">
        <v>40204</v>
      </c>
      <c r="I582" s="7" t="str">
        <f t="shared" si="103"/>
        <v>krishna.gopal@fi.gol.ba</v>
      </c>
      <c r="J582" s="6" t="s">
        <v>1542</v>
      </c>
      <c r="K582" s="6">
        <v>57</v>
      </c>
      <c r="L582" s="7" t="str">
        <f t="shared" si="104"/>
        <v>fi.gol.ba</v>
      </c>
      <c r="M582" s="7" t="str">
        <f t="shared" si="105"/>
        <v>G.Krishna</v>
      </c>
      <c r="N582" s="6">
        <f t="shared" si="100"/>
        <v>0</v>
      </c>
      <c r="O582" s="6">
        <f t="shared" si="99"/>
        <v>0</v>
      </c>
      <c r="P582" s="6" t="str">
        <f t="shared" si="106"/>
        <v>N</v>
      </c>
      <c r="Q582" s="6">
        <f t="shared" si="107"/>
        <v>12</v>
      </c>
      <c r="R582" s="6" t="str">
        <f t="shared" si="108"/>
        <v>2017</v>
      </c>
      <c r="S582" s="6" t="str">
        <f t="shared" si="109"/>
        <v>May</v>
      </c>
    </row>
    <row r="583" spans="1:19" x14ac:dyDescent="0.25">
      <c r="A583" s="6">
        <v>577</v>
      </c>
      <c r="B583" s="6" t="str">
        <f t="shared" si="101"/>
        <v>NIKFIN00577</v>
      </c>
      <c r="C583" s="7" t="s">
        <v>759</v>
      </c>
      <c r="D583" s="7" t="s">
        <v>243</v>
      </c>
      <c r="E583" s="7" t="str">
        <f t="shared" si="102"/>
        <v>PRATIBHA AGARWAL</v>
      </c>
      <c r="F583" s="7" t="s">
        <v>12</v>
      </c>
      <c r="G583" s="22">
        <v>42830</v>
      </c>
      <c r="H583" s="8">
        <v>82409</v>
      </c>
      <c r="I583" s="7" t="str">
        <f t="shared" si="103"/>
        <v>pratibha.agarwal@fi.agl.ba</v>
      </c>
      <c r="J583" s="6" t="s">
        <v>1551</v>
      </c>
      <c r="K583" s="6">
        <v>60</v>
      </c>
      <c r="L583" s="7" t="str">
        <f t="shared" si="104"/>
        <v>fi.agl.ba</v>
      </c>
      <c r="M583" s="7" t="str">
        <f t="shared" si="105"/>
        <v>A.Pratibha</v>
      </c>
      <c r="N583" s="6">
        <f t="shared" si="100"/>
        <v>0</v>
      </c>
      <c r="O583" s="6">
        <f t="shared" si="99"/>
        <v>0</v>
      </c>
      <c r="P583" s="6" t="str">
        <f t="shared" si="106"/>
        <v>N</v>
      </c>
      <c r="Q583" s="6">
        <f t="shared" si="107"/>
        <v>15</v>
      </c>
      <c r="R583" s="6" t="str">
        <f t="shared" si="108"/>
        <v>2017</v>
      </c>
      <c r="S583" s="6" t="str">
        <f t="shared" si="109"/>
        <v>Apr</v>
      </c>
    </row>
    <row r="584" spans="1:19" x14ac:dyDescent="0.25">
      <c r="A584" s="6">
        <v>604</v>
      </c>
      <c r="B584" s="6" t="str">
        <f t="shared" si="101"/>
        <v>NIKFIN00604</v>
      </c>
      <c r="C584" s="7" t="s">
        <v>785</v>
      </c>
      <c r="D584" s="7" t="s">
        <v>786</v>
      </c>
      <c r="E584" s="7" t="str">
        <f t="shared" si="102"/>
        <v>ATAM PARKASH</v>
      </c>
      <c r="F584" s="7" t="s">
        <v>12</v>
      </c>
      <c r="G584" s="22">
        <v>43012</v>
      </c>
      <c r="H584" s="8">
        <v>42024</v>
      </c>
      <c r="I584" s="7" t="str">
        <f t="shared" si="103"/>
        <v>atam.parkash@fi.pah.ba</v>
      </c>
      <c r="J584" s="6" t="s">
        <v>1538</v>
      </c>
      <c r="K584" s="6">
        <v>35</v>
      </c>
      <c r="L584" s="7" t="str">
        <f t="shared" si="104"/>
        <v>fi.pah.ba</v>
      </c>
      <c r="M584" s="7" t="str">
        <f t="shared" si="105"/>
        <v>P.Atam</v>
      </c>
      <c r="N584" s="6">
        <f t="shared" si="100"/>
        <v>0</v>
      </c>
      <c r="O584" s="6">
        <f t="shared" si="99"/>
        <v>0</v>
      </c>
      <c r="P584" s="6" t="str">
        <f t="shared" si="106"/>
        <v>N</v>
      </c>
      <c r="Q584" s="6">
        <f t="shared" si="107"/>
        <v>11</v>
      </c>
      <c r="R584" s="6" t="str">
        <f t="shared" si="108"/>
        <v>2017</v>
      </c>
      <c r="S584" s="6" t="str">
        <f t="shared" si="109"/>
        <v>Oct</v>
      </c>
    </row>
    <row r="585" spans="1:19" x14ac:dyDescent="0.25">
      <c r="A585" s="6">
        <v>608</v>
      </c>
      <c r="B585" s="6" t="str">
        <f t="shared" si="101"/>
        <v>NIKFIN00608</v>
      </c>
      <c r="C585" s="7" t="s">
        <v>790</v>
      </c>
      <c r="D585" s="7" t="s">
        <v>70</v>
      </c>
      <c r="E585" s="7" t="str">
        <f t="shared" si="102"/>
        <v>NAVJOT SINGH</v>
      </c>
      <c r="F585" s="7" t="s">
        <v>12</v>
      </c>
      <c r="G585" s="22">
        <v>41888</v>
      </c>
      <c r="H585" s="8">
        <v>102952</v>
      </c>
      <c r="I585" s="7" t="str">
        <f t="shared" si="103"/>
        <v>navjot.singh@fi.sih.ba</v>
      </c>
      <c r="J585" s="6" t="s">
        <v>1532</v>
      </c>
      <c r="K585" s="6">
        <v>82</v>
      </c>
      <c r="L585" s="7" t="str">
        <f t="shared" si="104"/>
        <v>fi.sih.ba</v>
      </c>
      <c r="M585" s="7" t="str">
        <f t="shared" si="105"/>
        <v>S.Navjot</v>
      </c>
      <c r="N585" s="6">
        <f t="shared" si="100"/>
        <v>0</v>
      </c>
      <c r="O585" s="6">
        <f t="shared" si="99"/>
        <v>0</v>
      </c>
      <c r="P585" s="6" t="str">
        <f t="shared" si="106"/>
        <v>N</v>
      </c>
      <c r="Q585" s="6">
        <f t="shared" si="107"/>
        <v>11</v>
      </c>
      <c r="R585" s="6" t="str">
        <f t="shared" si="108"/>
        <v>2014</v>
      </c>
      <c r="S585" s="6" t="str">
        <f t="shared" si="109"/>
        <v>Sep</v>
      </c>
    </row>
    <row r="586" spans="1:19" x14ac:dyDescent="0.25">
      <c r="A586" s="6">
        <v>612</v>
      </c>
      <c r="B586" s="6" t="str">
        <f t="shared" si="101"/>
        <v>NIKFIN00612</v>
      </c>
      <c r="C586" s="7" t="s">
        <v>795</v>
      </c>
      <c r="D586" s="7" t="s">
        <v>359</v>
      </c>
      <c r="E586" s="7" t="str">
        <f t="shared" si="102"/>
        <v>KRISHAN DUTT</v>
      </c>
      <c r="F586" s="7" t="s">
        <v>12</v>
      </c>
      <c r="G586" s="22">
        <v>39674</v>
      </c>
      <c r="H586" s="8">
        <v>51542</v>
      </c>
      <c r="I586" s="7" t="str">
        <f t="shared" si="103"/>
        <v>krishan.dutt@fi.dut.ba</v>
      </c>
      <c r="J586" s="6" t="s">
        <v>1543</v>
      </c>
      <c r="K586" s="6">
        <v>74</v>
      </c>
      <c r="L586" s="7" t="str">
        <f t="shared" si="104"/>
        <v>fi.dut.ba</v>
      </c>
      <c r="M586" s="7" t="str">
        <f t="shared" si="105"/>
        <v>D.Krishan</v>
      </c>
      <c r="N586" s="6">
        <f t="shared" si="100"/>
        <v>0</v>
      </c>
      <c r="O586" s="6">
        <f t="shared" si="99"/>
        <v>0</v>
      </c>
      <c r="P586" s="6" t="str">
        <f t="shared" si="106"/>
        <v>N</v>
      </c>
      <c r="Q586" s="6">
        <f t="shared" si="107"/>
        <v>11</v>
      </c>
      <c r="R586" s="6" t="str">
        <f t="shared" si="108"/>
        <v>2008</v>
      </c>
      <c r="S586" s="6" t="str">
        <f t="shared" si="109"/>
        <v>Aug</v>
      </c>
    </row>
    <row r="587" spans="1:19" x14ac:dyDescent="0.25">
      <c r="A587" s="6">
        <v>650</v>
      </c>
      <c r="B587" s="6" t="str">
        <f t="shared" si="101"/>
        <v>NIKFIN00650</v>
      </c>
      <c r="C587" s="7" t="s">
        <v>829</v>
      </c>
      <c r="D587" s="7" t="s">
        <v>830</v>
      </c>
      <c r="E587" s="7" t="str">
        <f t="shared" si="102"/>
        <v>MUSHARRIF KHAN</v>
      </c>
      <c r="F587" s="7" t="s">
        <v>12</v>
      </c>
      <c r="G587" s="22">
        <v>43070</v>
      </c>
      <c r="H587" s="8">
        <v>51756</v>
      </c>
      <c r="I587" s="7" t="str">
        <f t="shared" si="103"/>
        <v>musharrif.khan@fi.khn.ba</v>
      </c>
      <c r="J587" s="6" t="s">
        <v>1547</v>
      </c>
      <c r="K587" s="6">
        <v>83</v>
      </c>
      <c r="L587" s="7" t="str">
        <f t="shared" si="104"/>
        <v>fi.khn.ba</v>
      </c>
      <c r="M587" s="7" t="str">
        <f t="shared" si="105"/>
        <v>K.Musharrif</v>
      </c>
      <c r="N587" s="6">
        <f t="shared" si="100"/>
        <v>0</v>
      </c>
      <c r="O587" s="6">
        <f t="shared" si="99"/>
        <v>0</v>
      </c>
      <c r="P587" s="6" t="str">
        <f t="shared" si="106"/>
        <v>N</v>
      </c>
      <c r="Q587" s="6">
        <f t="shared" si="107"/>
        <v>13</v>
      </c>
      <c r="R587" s="6" t="str">
        <f t="shared" si="108"/>
        <v>2017</v>
      </c>
      <c r="S587" s="6" t="str">
        <f t="shared" si="109"/>
        <v>Dec</v>
      </c>
    </row>
    <row r="588" spans="1:19" x14ac:dyDescent="0.25">
      <c r="A588" s="6">
        <v>671</v>
      </c>
      <c r="B588" s="6" t="str">
        <f t="shared" si="101"/>
        <v>NIKFIN00671</v>
      </c>
      <c r="C588" s="7" t="s">
        <v>851</v>
      </c>
      <c r="D588" s="7" t="s">
        <v>55</v>
      </c>
      <c r="E588" s="7" t="str">
        <f t="shared" si="102"/>
        <v>BHUPESH SHARMA</v>
      </c>
      <c r="F588" s="7" t="s">
        <v>12</v>
      </c>
      <c r="G588" s="22">
        <v>43040</v>
      </c>
      <c r="H588" s="8">
        <v>80467</v>
      </c>
      <c r="I588" s="7" t="str">
        <f t="shared" si="103"/>
        <v>bhupesh.sharma@fi.sha.ba</v>
      </c>
      <c r="J588" s="6" t="s">
        <v>1544</v>
      </c>
      <c r="K588" s="6">
        <v>54</v>
      </c>
      <c r="L588" s="7" t="str">
        <f t="shared" si="104"/>
        <v>fi.sha.ba</v>
      </c>
      <c r="M588" s="7" t="str">
        <f t="shared" si="105"/>
        <v>S.Bhupesh</v>
      </c>
      <c r="N588" s="6">
        <f t="shared" si="100"/>
        <v>5</v>
      </c>
      <c r="O588" s="6">
        <f t="shared" si="99"/>
        <v>0</v>
      </c>
      <c r="P588" s="6" t="str">
        <f t="shared" si="106"/>
        <v>N</v>
      </c>
      <c r="Q588" s="6">
        <f t="shared" si="107"/>
        <v>13</v>
      </c>
      <c r="R588" s="6" t="str">
        <f t="shared" si="108"/>
        <v>2017</v>
      </c>
      <c r="S588" s="6" t="str">
        <f t="shared" si="109"/>
        <v>Nov</v>
      </c>
    </row>
    <row r="589" spans="1:19" x14ac:dyDescent="0.25">
      <c r="A589" s="6">
        <v>689</v>
      </c>
      <c r="B589" s="6" t="str">
        <f t="shared" si="101"/>
        <v>NIKFIN00689</v>
      </c>
      <c r="C589" s="7" t="s">
        <v>125</v>
      </c>
      <c r="D589" s="7" t="s">
        <v>95</v>
      </c>
      <c r="E589" s="7" t="str">
        <f t="shared" si="102"/>
        <v>VIKAS JOSHI</v>
      </c>
      <c r="F589" s="7" t="s">
        <v>12</v>
      </c>
      <c r="G589" s="22">
        <v>43199</v>
      </c>
      <c r="H589" s="8">
        <v>89017</v>
      </c>
      <c r="I589" s="7" t="str">
        <f t="shared" si="103"/>
        <v>vikas.joshi@fi.joi.ba</v>
      </c>
      <c r="J589" s="6" t="s">
        <v>1538</v>
      </c>
      <c r="K589" s="6">
        <v>70</v>
      </c>
      <c r="L589" s="7" t="str">
        <f t="shared" si="104"/>
        <v>fi.joi.ba</v>
      </c>
      <c r="M589" s="7" t="str">
        <f t="shared" si="105"/>
        <v>J.Vikas</v>
      </c>
      <c r="N589" s="6">
        <f t="shared" si="100"/>
        <v>0</v>
      </c>
      <c r="O589" s="6">
        <f t="shared" si="99"/>
        <v>0</v>
      </c>
      <c r="P589" s="6" t="str">
        <f t="shared" si="106"/>
        <v>N</v>
      </c>
      <c r="Q589" s="6">
        <f t="shared" si="107"/>
        <v>10</v>
      </c>
      <c r="R589" s="6" t="str">
        <f t="shared" si="108"/>
        <v>2018</v>
      </c>
      <c r="S589" s="6" t="str">
        <f t="shared" si="109"/>
        <v>Apr</v>
      </c>
    </row>
    <row r="590" spans="1:19" x14ac:dyDescent="0.25">
      <c r="A590" s="6">
        <v>701</v>
      </c>
      <c r="B590" s="6" t="str">
        <f t="shared" si="101"/>
        <v>NIKFIN00701</v>
      </c>
      <c r="C590" s="7" t="s">
        <v>878</v>
      </c>
      <c r="D590" s="7" t="s">
        <v>68</v>
      </c>
      <c r="E590" s="7" t="str">
        <f t="shared" si="102"/>
        <v>UMESH KUMAR</v>
      </c>
      <c r="F590" s="7" t="s">
        <v>12</v>
      </c>
      <c r="G590" s="22">
        <v>42767</v>
      </c>
      <c r="H590" s="8">
        <v>37358</v>
      </c>
      <c r="I590" s="7" t="str">
        <f t="shared" si="103"/>
        <v>umesh.kumar@fi.kur.ba</v>
      </c>
      <c r="J590" s="6" t="s">
        <v>1550</v>
      </c>
      <c r="K590" s="6">
        <v>48</v>
      </c>
      <c r="L590" s="7" t="str">
        <f t="shared" si="104"/>
        <v>fi.kur.ba</v>
      </c>
      <c r="M590" s="7" t="str">
        <f t="shared" si="105"/>
        <v>K.Umesh</v>
      </c>
      <c r="N590" s="6">
        <f t="shared" si="100"/>
        <v>3</v>
      </c>
      <c r="O590" s="6">
        <f t="shared" si="99"/>
        <v>0</v>
      </c>
      <c r="P590" s="6" t="str">
        <f t="shared" si="106"/>
        <v>N</v>
      </c>
      <c r="Q590" s="6">
        <f t="shared" si="107"/>
        <v>10</v>
      </c>
      <c r="R590" s="6" t="str">
        <f t="shared" si="108"/>
        <v>2017</v>
      </c>
      <c r="S590" s="6" t="str">
        <f t="shared" si="109"/>
        <v>Feb</v>
      </c>
    </row>
    <row r="591" spans="1:19" x14ac:dyDescent="0.25">
      <c r="A591" s="6">
        <v>715</v>
      </c>
      <c r="B591" s="6" t="str">
        <f t="shared" si="101"/>
        <v>NIKFIN00715</v>
      </c>
      <c r="C591" s="7" t="s">
        <v>892</v>
      </c>
      <c r="D591" s="7" t="s">
        <v>55</v>
      </c>
      <c r="E591" s="7" t="str">
        <f t="shared" si="102"/>
        <v>LAKULISH SHARMA</v>
      </c>
      <c r="F591" s="7" t="s">
        <v>12</v>
      </c>
      <c r="G591" s="22">
        <v>42625</v>
      </c>
      <c r="H591" s="8">
        <v>38927</v>
      </c>
      <c r="I591" s="7" t="str">
        <f t="shared" si="103"/>
        <v>lakulish.sharma@fi.sha.ba</v>
      </c>
      <c r="J591" s="6" t="s">
        <v>1532</v>
      </c>
      <c r="K591" s="6">
        <v>47</v>
      </c>
      <c r="L591" s="7" t="str">
        <f t="shared" si="104"/>
        <v>fi.sha.ba</v>
      </c>
      <c r="M591" s="7" t="str">
        <f t="shared" si="105"/>
        <v>S.Lakulish</v>
      </c>
      <c r="N591" s="6">
        <f t="shared" si="100"/>
        <v>0</v>
      </c>
      <c r="O591" s="6">
        <f t="shared" si="99"/>
        <v>0</v>
      </c>
      <c r="P591" s="6" t="str">
        <f t="shared" si="106"/>
        <v>N</v>
      </c>
      <c r="Q591" s="6">
        <f t="shared" si="107"/>
        <v>14</v>
      </c>
      <c r="R591" s="6" t="str">
        <f t="shared" si="108"/>
        <v>2016</v>
      </c>
      <c r="S591" s="6" t="str">
        <f t="shared" si="109"/>
        <v>Sep</v>
      </c>
    </row>
    <row r="592" spans="1:19" x14ac:dyDescent="0.25">
      <c r="A592" s="6">
        <v>758</v>
      </c>
      <c r="B592" s="6" t="str">
        <f t="shared" si="101"/>
        <v>NIKFIN00758</v>
      </c>
      <c r="C592" s="7" t="s">
        <v>926</v>
      </c>
      <c r="D592" s="7" t="s">
        <v>338</v>
      </c>
      <c r="E592" s="7" t="str">
        <f t="shared" si="102"/>
        <v>VISHWA BHAVESH</v>
      </c>
      <c r="F592" s="7" t="s">
        <v>12</v>
      </c>
      <c r="G592" s="22">
        <v>42795</v>
      </c>
      <c r="H592" s="8">
        <v>30774</v>
      </c>
      <c r="I592" s="7" t="str">
        <f t="shared" si="103"/>
        <v>vishwa.bhavesh@fi.bhh.ba</v>
      </c>
      <c r="J592" s="6" t="s">
        <v>1543</v>
      </c>
      <c r="K592" s="6">
        <v>75</v>
      </c>
      <c r="L592" s="7" t="str">
        <f t="shared" si="104"/>
        <v>fi.bhh.ba</v>
      </c>
      <c r="M592" s="7" t="str">
        <f t="shared" si="105"/>
        <v>B.Vishwa</v>
      </c>
      <c r="N592" s="6">
        <f t="shared" si="100"/>
        <v>0</v>
      </c>
      <c r="O592" s="6">
        <f t="shared" si="99"/>
        <v>5</v>
      </c>
      <c r="P592" s="6" t="str">
        <f t="shared" si="106"/>
        <v>N</v>
      </c>
      <c r="Q592" s="6">
        <f t="shared" si="107"/>
        <v>13</v>
      </c>
      <c r="R592" s="6" t="str">
        <f t="shared" si="108"/>
        <v>2017</v>
      </c>
      <c r="S592" s="6" t="str">
        <f t="shared" si="109"/>
        <v>Mar</v>
      </c>
    </row>
    <row r="593" spans="1:19" x14ac:dyDescent="0.25">
      <c r="A593" s="6">
        <v>760</v>
      </c>
      <c r="B593" s="6" t="str">
        <f t="shared" si="101"/>
        <v>NIKFIN00760</v>
      </c>
      <c r="C593" s="7" t="s">
        <v>40</v>
      </c>
      <c r="D593" s="7" t="s">
        <v>927</v>
      </c>
      <c r="E593" s="7" t="str">
        <f t="shared" si="102"/>
        <v>SHUBHAM PRADEEP</v>
      </c>
      <c r="F593" s="7" t="s">
        <v>12</v>
      </c>
      <c r="G593" s="22">
        <v>43283</v>
      </c>
      <c r="H593" s="8">
        <v>79995</v>
      </c>
      <c r="I593" s="7" t="str">
        <f t="shared" si="103"/>
        <v>shubham.pradeep@fi.prp.ba</v>
      </c>
      <c r="J593" s="6" t="s">
        <v>1551</v>
      </c>
      <c r="K593" s="6">
        <v>70</v>
      </c>
      <c r="L593" s="7" t="str">
        <f t="shared" si="104"/>
        <v>fi.prp.ba</v>
      </c>
      <c r="M593" s="7" t="str">
        <f t="shared" si="105"/>
        <v>P.Shubham</v>
      </c>
      <c r="N593" s="6">
        <f t="shared" si="100"/>
        <v>0</v>
      </c>
      <c r="O593" s="6">
        <f t="shared" si="99"/>
        <v>5</v>
      </c>
      <c r="P593" s="6" t="str">
        <f t="shared" si="106"/>
        <v>N</v>
      </c>
      <c r="Q593" s="6">
        <f t="shared" si="107"/>
        <v>14</v>
      </c>
      <c r="R593" s="6" t="str">
        <f t="shared" si="108"/>
        <v>2018</v>
      </c>
      <c r="S593" s="6" t="str">
        <f t="shared" si="109"/>
        <v>Jul</v>
      </c>
    </row>
    <row r="594" spans="1:19" x14ac:dyDescent="0.25">
      <c r="A594" s="6">
        <v>761</v>
      </c>
      <c r="B594" s="6" t="str">
        <f t="shared" si="101"/>
        <v>NIKFIN00761</v>
      </c>
      <c r="C594" s="7" t="s">
        <v>711</v>
      </c>
      <c r="D594" s="7" t="s">
        <v>928</v>
      </c>
      <c r="E594" s="7" t="str">
        <f t="shared" si="102"/>
        <v>PARAG SHANTARAM</v>
      </c>
      <c r="F594" s="7" t="s">
        <v>12</v>
      </c>
      <c r="G594" s="22">
        <v>42583</v>
      </c>
      <c r="H594" s="8">
        <v>46341</v>
      </c>
      <c r="I594" s="7" t="str">
        <f t="shared" si="103"/>
        <v>parag.shantaram@fi.shm.ba</v>
      </c>
      <c r="J594" s="6" t="s">
        <v>1551</v>
      </c>
      <c r="K594" s="6">
        <v>67</v>
      </c>
      <c r="L594" s="7" t="str">
        <f t="shared" si="104"/>
        <v>fi.shm.ba</v>
      </c>
      <c r="M594" s="7" t="str">
        <f t="shared" si="105"/>
        <v>S.Parag</v>
      </c>
      <c r="N594" s="6">
        <f t="shared" si="100"/>
        <v>0</v>
      </c>
      <c r="O594" s="6">
        <f t="shared" si="99"/>
        <v>0</v>
      </c>
      <c r="P594" s="6" t="str">
        <f t="shared" si="106"/>
        <v>N</v>
      </c>
      <c r="Q594" s="6">
        <f t="shared" si="107"/>
        <v>14</v>
      </c>
      <c r="R594" s="6" t="str">
        <f t="shared" si="108"/>
        <v>2016</v>
      </c>
      <c r="S594" s="6" t="str">
        <f t="shared" si="109"/>
        <v>Aug</v>
      </c>
    </row>
    <row r="595" spans="1:19" x14ac:dyDescent="0.25">
      <c r="A595" s="6">
        <v>762</v>
      </c>
      <c r="B595" s="6" t="str">
        <f t="shared" si="101"/>
        <v>NIKFIN00762</v>
      </c>
      <c r="C595" s="7" t="s">
        <v>929</v>
      </c>
      <c r="D595" s="7" t="s">
        <v>55</v>
      </c>
      <c r="E595" s="7" t="str">
        <f t="shared" si="102"/>
        <v>HEMRAJ SHARMA</v>
      </c>
      <c r="F595" s="7" t="s">
        <v>12</v>
      </c>
      <c r="G595" s="22">
        <v>42767</v>
      </c>
      <c r="H595" s="8">
        <v>79874</v>
      </c>
      <c r="I595" s="7" t="str">
        <f t="shared" si="103"/>
        <v>hemraj.sharma@fi.sha.ba</v>
      </c>
      <c r="J595" s="6" t="s">
        <v>1541</v>
      </c>
      <c r="K595" s="6">
        <v>50</v>
      </c>
      <c r="L595" s="7" t="str">
        <f t="shared" si="104"/>
        <v>fi.sha.ba</v>
      </c>
      <c r="M595" s="7" t="str">
        <f t="shared" si="105"/>
        <v>S.Hemraj</v>
      </c>
      <c r="N595" s="6">
        <f t="shared" si="100"/>
        <v>2</v>
      </c>
      <c r="O595" s="6">
        <f t="shared" si="99"/>
        <v>0</v>
      </c>
      <c r="P595" s="6" t="str">
        <f t="shared" si="106"/>
        <v>N</v>
      </c>
      <c r="Q595" s="6">
        <f t="shared" si="107"/>
        <v>12</v>
      </c>
      <c r="R595" s="6" t="str">
        <f t="shared" si="108"/>
        <v>2017</v>
      </c>
      <c r="S595" s="6" t="str">
        <f t="shared" si="109"/>
        <v>Feb</v>
      </c>
    </row>
    <row r="596" spans="1:19" x14ac:dyDescent="0.25">
      <c r="A596" s="6">
        <v>787</v>
      </c>
      <c r="B596" s="6" t="str">
        <f t="shared" si="101"/>
        <v>NIKFIN00787</v>
      </c>
      <c r="C596" s="7" t="s">
        <v>950</v>
      </c>
      <c r="D596" s="7" t="s">
        <v>951</v>
      </c>
      <c r="E596" s="7" t="str">
        <f t="shared" si="102"/>
        <v>UMANG KIRTIKUMAR</v>
      </c>
      <c r="F596" s="7" t="s">
        <v>12</v>
      </c>
      <c r="G596" s="22">
        <v>42828</v>
      </c>
      <c r="H596" s="8">
        <v>96610</v>
      </c>
      <c r="I596" s="7" t="str">
        <f t="shared" si="103"/>
        <v>umang.kirtikumar@fi.kir.ba</v>
      </c>
      <c r="J596" s="6" t="s">
        <v>1534</v>
      </c>
      <c r="K596" s="6">
        <v>46</v>
      </c>
      <c r="L596" s="7" t="str">
        <f t="shared" si="104"/>
        <v>fi.kir.ba</v>
      </c>
      <c r="M596" s="7" t="str">
        <f t="shared" si="105"/>
        <v>K.Umang</v>
      </c>
      <c r="N596" s="6">
        <f t="shared" si="100"/>
        <v>0</v>
      </c>
      <c r="O596" s="6">
        <f t="shared" si="99"/>
        <v>0</v>
      </c>
      <c r="P596" s="6" t="str">
        <f t="shared" si="106"/>
        <v>N</v>
      </c>
      <c r="Q596" s="6">
        <f t="shared" si="107"/>
        <v>15</v>
      </c>
      <c r="R596" s="6" t="str">
        <f t="shared" si="108"/>
        <v>2017</v>
      </c>
      <c r="S596" s="6" t="str">
        <f t="shared" si="109"/>
        <v>Apr</v>
      </c>
    </row>
    <row r="597" spans="1:19" x14ac:dyDescent="0.25">
      <c r="A597" s="6">
        <v>805</v>
      </c>
      <c r="B597" s="6" t="str">
        <f t="shared" si="101"/>
        <v>NIKFIN00805</v>
      </c>
      <c r="C597" s="7" t="s">
        <v>967</v>
      </c>
      <c r="D597" s="7" t="s">
        <v>55</v>
      </c>
      <c r="E597" s="7" t="str">
        <f t="shared" si="102"/>
        <v>VALERIE SHARMA</v>
      </c>
      <c r="F597" s="7" t="s">
        <v>12</v>
      </c>
      <c r="G597" s="22">
        <v>43497</v>
      </c>
      <c r="H597" s="8">
        <v>47988</v>
      </c>
      <c r="I597" s="7" t="str">
        <f t="shared" si="103"/>
        <v>valerie.sharma@fi.sha.ba</v>
      </c>
      <c r="J597" s="6" t="s">
        <v>1538</v>
      </c>
      <c r="K597" s="6">
        <v>83</v>
      </c>
      <c r="L597" s="7" t="str">
        <f t="shared" si="104"/>
        <v>fi.sha.ba</v>
      </c>
      <c r="M597" s="7" t="str">
        <f t="shared" si="105"/>
        <v>S.Valerie</v>
      </c>
      <c r="N597" s="6">
        <f t="shared" si="100"/>
        <v>4</v>
      </c>
      <c r="O597" s="6">
        <f t="shared" si="99"/>
        <v>0</v>
      </c>
      <c r="P597" s="6" t="str">
        <f t="shared" si="106"/>
        <v>N</v>
      </c>
      <c r="Q597" s="6">
        <f t="shared" si="107"/>
        <v>13</v>
      </c>
      <c r="R597" s="6" t="str">
        <f t="shared" si="108"/>
        <v>2019</v>
      </c>
      <c r="S597" s="6" t="str">
        <f t="shared" si="109"/>
        <v>Feb</v>
      </c>
    </row>
    <row r="598" spans="1:19" x14ac:dyDescent="0.25">
      <c r="A598" s="6">
        <v>819</v>
      </c>
      <c r="B598" s="6" t="str">
        <f t="shared" si="101"/>
        <v>NIKFIN00819</v>
      </c>
      <c r="C598" s="7" t="s">
        <v>981</v>
      </c>
      <c r="D598" s="7" t="s">
        <v>300</v>
      </c>
      <c r="E598" s="7" t="str">
        <f t="shared" si="102"/>
        <v>PARITOSH CHATURVEDI</v>
      </c>
      <c r="F598" s="7" t="s">
        <v>12</v>
      </c>
      <c r="G598" s="22">
        <v>42534</v>
      </c>
      <c r="H598" s="8">
        <v>58405</v>
      </c>
      <c r="I598" s="7" t="str">
        <f t="shared" si="103"/>
        <v>paritosh.chaturvedi@fi.chi.ba</v>
      </c>
      <c r="J598" s="6" t="s">
        <v>1539</v>
      </c>
      <c r="K598" s="6">
        <v>78</v>
      </c>
      <c r="L598" s="7" t="str">
        <f t="shared" si="104"/>
        <v>fi.chi.ba</v>
      </c>
      <c r="M598" s="7" t="str">
        <f t="shared" si="105"/>
        <v>C.Paritosh</v>
      </c>
      <c r="N598" s="6">
        <f t="shared" si="100"/>
        <v>0</v>
      </c>
      <c r="O598" s="6">
        <f t="shared" si="99"/>
        <v>8</v>
      </c>
      <c r="P598" s="6" t="str">
        <f t="shared" si="106"/>
        <v>N</v>
      </c>
      <c r="Q598" s="6">
        <f t="shared" si="107"/>
        <v>18</v>
      </c>
      <c r="R598" s="6" t="str">
        <f t="shared" si="108"/>
        <v>2016</v>
      </c>
      <c r="S598" s="6" t="str">
        <f t="shared" si="109"/>
        <v>Jun</v>
      </c>
    </row>
    <row r="599" spans="1:19" x14ac:dyDescent="0.25">
      <c r="A599" s="6">
        <v>821</v>
      </c>
      <c r="B599" s="6" t="str">
        <f t="shared" si="101"/>
        <v>NIKFIN00821</v>
      </c>
      <c r="C599" s="7" t="s">
        <v>744</v>
      </c>
      <c r="D599" s="7" t="s">
        <v>89</v>
      </c>
      <c r="E599" s="7" t="str">
        <f t="shared" si="102"/>
        <v>ASHWINI VIJAY</v>
      </c>
      <c r="F599" s="7" t="s">
        <v>12</v>
      </c>
      <c r="G599" s="22">
        <v>43070</v>
      </c>
      <c r="H599" s="8">
        <v>39747</v>
      </c>
      <c r="I599" s="7" t="str">
        <f t="shared" si="103"/>
        <v>ashwini.vijay@fi.viy.ba</v>
      </c>
      <c r="J599" s="6" t="s">
        <v>1539</v>
      </c>
      <c r="K599" s="6">
        <v>46</v>
      </c>
      <c r="L599" s="7" t="str">
        <f t="shared" si="104"/>
        <v>fi.viy.ba</v>
      </c>
      <c r="M599" s="7" t="str">
        <f t="shared" si="105"/>
        <v>V.Ashwini</v>
      </c>
      <c r="N599" s="6">
        <f t="shared" si="100"/>
        <v>0</v>
      </c>
      <c r="O599" s="6">
        <f t="shared" si="99"/>
        <v>0</v>
      </c>
      <c r="P599" s="6" t="str">
        <f t="shared" si="106"/>
        <v>N</v>
      </c>
      <c r="Q599" s="6">
        <f t="shared" si="107"/>
        <v>12</v>
      </c>
      <c r="R599" s="6" t="str">
        <f t="shared" si="108"/>
        <v>2017</v>
      </c>
      <c r="S599" s="6" t="str">
        <f t="shared" si="109"/>
        <v>Dec</v>
      </c>
    </row>
    <row r="600" spans="1:19" x14ac:dyDescent="0.25">
      <c r="A600" s="6">
        <v>825</v>
      </c>
      <c r="B600" s="6" t="str">
        <f t="shared" si="101"/>
        <v>NIKFIN00825</v>
      </c>
      <c r="C600" s="7" t="s">
        <v>288</v>
      </c>
      <c r="D600" s="7" t="s">
        <v>985</v>
      </c>
      <c r="E600" s="7" t="str">
        <f t="shared" si="102"/>
        <v>PIYUSH PARESHBHAI</v>
      </c>
      <c r="F600" s="7" t="s">
        <v>12</v>
      </c>
      <c r="G600" s="22">
        <v>43405</v>
      </c>
      <c r="H600" s="8">
        <v>102809</v>
      </c>
      <c r="I600" s="7" t="str">
        <f t="shared" si="103"/>
        <v>piyush.pareshbhai@fi.pai.ba</v>
      </c>
      <c r="J600" s="6" t="s">
        <v>1535</v>
      </c>
      <c r="K600" s="6">
        <v>73</v>
      </c>
      <c r="L600" s="7" t="str">
        <f t="shared" si="104"/>
        <v>fi.pai.ba</v>
      </c>
      <c r="M600" s="7" t="str">
        <f t="shared" si="105"/>
        <v>P.Piyush</v>
      </c>
      <c r="N600" s="6">
        <f t="shared" si="100"/>
        <v>0</v>
      </c>
      <c r="O600" s="6">
        <f t="shared" si="99"/>
        <v>4</v>
      </c>
      <c r="P600" s="6" t="str">
        <f t="shared" si="106"/>
        <v>N</v>
      </c>
      <c r="Q600" s="6">
        <f t="shared" si="107"/>
        <v>16</v>
      </c>
      <c r="R600" s="6" t="str">
        <f t="shared" si="108"/>
        <v>2018</v>
      </c>
      <c r="S600" s="6" t="str">
        <f t="shared" si="109"/>
        <v>Nov</v>
      </c>
    </row>
    <row r="601" spans="1:19" x14ac:dyDescent="0.25">
      <c r="A601" s="6">
        <v>842</v>
      </c>
      <c r="B601" s="6" t="str">
        <f t="shared" si="101"/>
        <v>NIKFIN00842</v>
      </c>
      <c r="C601" s="7" t="s">
        <v>994</v>
      </c>
      <c r="D601" s="7" t="s">
        <v>498</v>
      </c>
      <c r="E601" s="7" t="str">
        <f t="shared" si="102"/>
        <v>RAMINDER KAUR</v>
      </c>
      <c r="F601" s="7" t="s">
        <v>12</v>
      </c>
      <c r="G601" s="22">
        <v>42949</v>
      </c>
      <c r="H601" s="8">
        <v>50540</v>
      </c>
      <c r="I601" s="7" t="str">
        <f t="shared" si="103"/>
        <v>raminder.kaur@fi.kar.ba</v>
      </c>
      <c r="J601" s="6" t="s">
        <v>1541</v>
      </c>
      <c r="K601" s="6">
        <v>66</v>
      </c>
      <c r="L601" s="7" t="str">
        <f t="shared" si="104"/>
        <v>fi.kar.ba</v>
      </c>
      <c r="M601" s="7" t="str">
        <f t="shared" si="105"/>
        <v>K.Raminder</v>
      </c>
      <c r="N601" s="6">
        <f t="shared" si="100"/>
        <v>7</v>
      </c>
      <c r="O601" s="6">
        <f t="shared" si="99"/>
        <v>0</v>
      </c>
      <c r="P601" s="6" t="str">
        <f t="shared" si="106"/>
        <v>N</v>
      </c>
      <c r="Q601" s="6">
        <f t="shared" si="107"/>
        <v>12</v>
      </c>
      <c r="R601" s="6" t="str">
        <f t="shared" si="108"/>
        <v>2017</v>
      </c>
      <c r="S601" s="6" t="str">
        <f t="shared" si="109"/>
        <v>Aug</v>
      </c>
    </row>
    <row r="602" spans="1:19" x14ac:dyDescent="0.25">
      <c r="A602" s="6">
        <v>848</v>
      </c>
      <c r="B602" s="6" t="str">
        <f t="shared" si="101"/>
        <v>NIKFIN00848</v>
      </c>
      <c r="C602" s="7" t="s">
        <v>1000</v>
      </c>
      <c r="D602" s="7" t="s">
        <v>211</v>
      </c>
      <c r="E602" s="7" t="str">
        <f t="shared" si="102"/>
        <v>RUTIKA ASHOK</v>
      </c>
      <c r="F602" s="7" t="s">
        <v>12</v>
      </c>
      <c r="G602" s="22">
        <v>43353</v>
      </c>
      <c r="H602" s="8">
        <v>31826</v>
      </c>
      <c r="I602" s="7" t="str">
        <f t="shared" si="103"/>
        <v>rutika.ashok@fi.ask.ba</v>
      </c>
      <c r="J602" s="6" t="s">
        <v>1534</v>
      </c>
      <c r="K602" s="6">
        <v>84</v>
      </c>
      <c r="L602" s="7" t="str">
        <f t="shared" si="104"/>
        <v>fi.ask.ba</v>
      </c>
      <c r="M602" s="7" t="str">
        <f t="shared" si="105"/>
        <v>A.Rutika</v>
      </c>
      <c r="N602" s="6">
        <f t="shared" si="100"/>
        <v>0</v>
      </c>
      <c r="O602" s="6">
        <f t="shared" si="99"/>
        <v>0</v>
      </c>
      <c r="P602" s="6" t="str">
        <f t="shared" si="106"/>
        <v>N</v>
      </c>
      <c r="Q602" s="6">
        <f t="shared" si="107"/>
        <v>11</v>
      </c>
      <c r="R602" s="6" t="str">
        <f t="shared" si="108"/>
        <v>2018</v>
      </c>
      <c r="S602" s="6" t="str">
        <f t="shared" si="109"/>
        <v>Sep</v>
      </c>
    </row>
    <row r="603" spans="1:19" x14ac:dyDescent="0.25">
      <c r="A603" s="6">
        <v>849</v>
      </c>
      <c r="B603" s="6" t="str">
        <f t="shared" si="101"/>
        <v>NIKFIN00849</v>
      </c>
      <c r="C603" s="7" t="s">
        <v>640</v>
      </c>
      <c r="D603" s="7" t="s">
        <v>55</v>
      </c>
      <c r="E603" s="7" t="str">
        <f t="shared" si="102"/>
        <v>ANSHUL SHARMA</v>
      </c>
      <c r="F603" s="7" t="s">
        <v>12</v>
      </c>
      <c r="G603" s="22">
        <v>42646</v>
      </c>
      <c r="H603" s="8">
        <v>90889</v>
      </c>
      <c r="I603" s="7" t="str">
        <f t="shared" si="103"/>
        <v>anshul.sharma@fi.sha.ba</v>
      </c>
      <c r="J603" s="6" t="s">
        <v>1550</v>
      </c>
      <c r="K603" s="6">
        <v>44</v>
      </c>
      <c r="L603" s="7" t="str">
        <f t="shared" si="104"/>
        <v>fi.sha.ba</v>
      </c>
      <c r="M603" s="7" t="str">
        <f t="shared" si="105"/>
        <v>S.Anshul</v>
      </c>
      <c r="N603" s="6">
        <f t="shared" si="100"/>
        <v>0</v>
      </c>
      <c r="O603" s="6">
        <f t="shared" si="99"/>
        <v>0</v>
      </c>
      <c r="P603" s="6" t="str">
        <f t="shared" si="106"/>
        <v>N</v>
      </c>
      <c r="Q603" s="6">
        <f t="shared" si="107"/>
        <v>12</v>
      </c>
      <c r="R603" s="6" t="str">
        <f t="shared" si="108"/>
        <v>2016</v>
      </c>
      <c r="S603" s="6" t="str">
        <f t="shared" si="109"/>
        <v>Oct</v>
      </c>
    </row>
    <row r="604" spans="1:19" x14ac:dyDescent="0.25">
      <c r="A604" s="6">
        <v>850</v>
      </c>
      <c r="B604" s="6" t="str">
        <f t="shared" si="101"/>
        <v>NIKFIN00850</v>
      </c>
      <c r="C604" s="7" t="s">
        <v>1001</v>
      </c>
      <c r="D604" s="7" t="s">
        <v>1002</v>
      </c>
      <c r="E604" s="7" t="str">
        <f t="shared" si="102"/>
        <v>KINJAL RUCHIT</v>
      </c>
      <c r="F604" s="7" t="s">
        <v>12</v>
      </c>
      <c r="G604" s="22">
        <v>43416</v>
      </c>
      <c r="H604" s="8">
        <v>74558</v>
      </c>
      <c r="I604" s="7" t="str">
        <f t="shared" si="103"/>
        <v>kinjal.ruchit@fi.rut.ba</v>
      </c>
      <c r="J604" s="6" t="s">
        <v>1550</v>
      </c>
      <c r="K604" s="6">
        <v>71</v>
      </c>
      <c r="L604" s="7" t="str">
        <f t="shared" si="104"/>
        <v>fi.rut.ba</v>
      </c>
      <c r="M604" s="7" t="str">
        <f t="shared" si="105"/>
        <v>R.Kinjal</v>
      </c>
      <c r="N604" s="6">
        <f t="shared" si="100"/>
        <v>0</v>
      </c>
      <c r="O604" s="6">
        <f t="shared" si="99"/>
        <v>0</v>
      </c>
      <c r="P604" s="6" t="str">
        <f t="shared" si="106"/>
        <v>N</v>
      </c>
      <c r="Q604" s="6">
        <f t="shared" si="107"/>
        <v>12</v>
      </c>
      <c r="R604" s="6" t="str">
        <f t="shared" si="108"/>
        <v>2018</v>
      </c>
      <c r="S604" s="6" t="str">
        <f t="shared" si="109"/>
        <v>Nov</v>
      </c>
    </row>
    <row r="605" spans="1:19" x14ac:dyDescent="0.25">
      <c r="A605" s="6">
        <v>858</v>
      </c>
      <c r="B605" s="6" t="str">
        <f t="shared" si="101"/>
        <v>NIKFIN00858</v>
      </c>
      <c r="C605" s="7" t="s">
        <v>1007</v>
      </c>
      <c r="D605" s="7" t="s">
        <v>293</v>
      </c>
      <c r="E605" s="7" t="str">
        <f t="shared" si="102"/>
        <v>ANIMESH JAGDISH</v>
      </c>
      <c r="F605" s="7" t="s">
        <v>12</v>
      </c>
      <c r="G605" s="22">
        <v>43563</v>
      </c>
      <c r="H605" s="8">
        <v>68055</v>
      </c>
      <c r="I605" s="7" t="str">
        <f t="shared" si="103"/>
        <v>animesh.jagdish@fi.jah.ba</v>
      </c>
      <c r="J605" s="6" t="s">
        <v>1551</v>
      </c>
      <c r="K605" s="6">
        <v>57</v>
      </c>
      <c r="L605" s="7" t="str">
        <f t="shared" si="104"/>
        <v>fi.jah.ba</v>
      </c>
      <c r="M605" s="7" t="str">
        <f t="shared" si="105"/>
        <v>J.Animesh</v>
      </c>
      <c r="N605" s="6">
        <f t="shared" si="100"/>
        <v>5</v>
      </c>
      <c r="O605" s="6">
        <f t="shared" si="99"/>
        <v>0</v>
      </c>
      <c r="P605" s="6" t="str">
        <f t="shared" si="106"/>
        <v>N</v>
      </c>
      <c r="Q605" s="6">
        <f t="shared" si="107"/>
        <v>14</v>
      </c>
      <c r="R605" s="6" t="str">
        <f t="shared" si="108"/>
        <v>2019</v>
      </c>
      <c r="S605" s="6" t="str">
        <f t="shared" si="109"/>
        <v>Apr</v>
      </c>
    </row>
    <row r="606" spans="1:19" x14ac:dyDescent="0.25">
      <c r="A606" s="6">
        <v>860</v>
      </c>
      <c r="B606" s="6" t="str">
        <f t="shared" si="101"/>
        <v>NIKFIN00860</v>
      </c>
      <c r="C606" s="7" t="s">
        <v>146</v>
      </c>
      <c r="D606" s="7" t="s">
        <v>1008</v>
      </c>
      <c r="E606" s="7" t="str">
        <f t="shared" si="102"/>
        <v>ANKIT SAHU</v>
      </c>
      <c r="F606" s="7" t="s">
        <v>12</v>
      </c>
      <c r="G606" s="22">
        <v>43132</v>
      </c>
      <c r="H606" s="8">
        <v>79326</v>
      </c>
      <c r="I606" s="7" t="str">
        <f t="shared" si="103"/>
        <v>ankit.sahu@fi.sau.ba</v>
      </c>
      <c r="J606" s="6" t="s">
        <v>1539</v>
      </c>
      <c r="K606" s="6">
        <v>88</v>
      </c>
      <c r="L606" s="7" t="str">
        <f t="shared" si="104"/>
        <v>fi.sau.ba</v>
      </c>
      <c r="M606" s="7" t="str">
        <f t="shared" si="105"/>
        <v>S.Ankit</v>
      </c>
      <c r="N606" s="6">
        <f t="shared" si="100"/>
        <v>0</v>
      </c>
      <c r="O606" s="6">
        <f t="shared" si="99"/>
        <v>0</v>
      </c>
      <c r="P606" s="6" t="str">
        <f t="shared" si="106"/>
        <v>N</v>
      </c>
      <c r="Q606" s="6">
        <f t="shared" si="107"/>
        <v>9</v>
      </c>
      <c r="R606" s="6" t="str">
        <f t="shared" si="108"/>
        <v>2018</v>
      </c>
      <c r="S606" s="6" t="str">
        <f t="shared" si="109"/>
        <v>Feb</v>
      </c>
    </row>
    <row r="607" spans="1:19" x14ac:dyDescent="0.25">
      <c r="A607" s="6">
        <v>881</v>
      </c>
      <c r="B607" s="6" t="str">
        <f t="shared" si="101"/>
        <v>NIKFIN00881</v>
      </c>
      <c r="C607" s="7" t="s">
        <v>1024</v>
      </c>
      <c r="D607" s="7" t="s">
        <v>208</v>
      </c>
      <c r="E607" s="7" t="str">
        <f t="shared" si="102"/>
        <v>AKSHAYA KAPOOR</v>
      </c>
      <c r="F607" s="7" t="s">
        <v>12</v>
      </c>
      <c r="G607" s="22">
        <v>43713</v>
      </c>
      <c r="H607" s="8">
        <v>83511</v>
      </c>
      <c r="I607" s="7" t="str">
        <f t="shared" si="103"/>
        <v>akshaya.kapoor@fi.kar.ba</v>
      </c>
      <c r="J607" s="6" t="s">
        <v>1533</v>
      </c>
      <c r="K607" s="6">
        <v>84</v>
      </c>
      <c r="L607" s="7" t="str">
        <f t="shared" si="104"/>
        <v>fi.kar.ba</v>
      </c>
      <c r="M607" s="7" t="str">
        <f t="shared" si="105"/>
        <v>K.Akshaya</v>
      </c>
      <c r="N607" s="6">
        <f t="shared" si="100"/>
        <v>0</v>
      </c>
      <c r="O607" s="6">
        <f t="shared" si="99"/>
        <v>0</v>
      </c>
      <c r="P607" s="6" t="str">
        <f t="shared" si="106"/>
        <v>N</v>
      </c>
      <c r="Q607" s="6">
        <f t="shared" si="107"/>
        <v>13</v>
      </c>
      <c r="R607" s="6" t="str">
        <f t="shared" si="108"/>
        <v>2019</v>
      </c>
      <c r="S607" s="6" t="str">
        <f t="shared" si="109"/>
        <v>Sep</v>
      </c>
    </row>
    <row r="608" spans="1:19" x14ac:dyDescent="0.25">
      <c r="A608" s="6">
        <v>884</v>
      </c>
      <c r="B608" s="6" t="str">
        <f t="shared" si="101"/>
        <v>NIKFIN00884</v>
      </c>
      <c r="C608" s="7" t="s">
        <v>416</v>
      </c>
      <c r="D608" s="7" t="s">
        <v>1027</v>
      </c>
      <c r="E608" s="7" t="str">
        <f t="shared" si="102"/>
        <v>DNYANESHWAR SAMBHAJIRAO</v>
      </c>
      <c r="F608" s="7" t="s">
        <v>12</v>
      </c>
      <c r="G608" s="22">
        <v>43512</v>
      </c>
      <c r="H608" s="8">
        <v>98138</v>
      </c>
      <c r="I608" s="7" t="str">
        <f t="shared" si="103"/>
        <v>dnyaneshwar.sambhajirao@fi.sao.ba</v>
      </c>
      <c r="J608" s="6" t="s">
        <v>1535</v>
      </c>
      <c r="K608" s="6">
        <v>66</v>
      </c>
      <c r="L608" s="7" t="str">
        <f t="shared" si="104"/>
        <v>fi.sao.ba</v>
      </c>
      <c r="M608" s="7" t="str">
        <f t="shared" si="105"/>
        <v>S.Dnyaneshwar</v>
      </c>
      <c r="N608" s="6">
        <f t="shared" si="100"/>
        <v>6</v>
      </c>
      <c r="O608" s="6">
        <f t="shared" si="99"/>
        <v>0</v>
      </c>
      <c r="P608" s="6" t="str">
        <f t="shared" si="106"/>
        <v>N</v>
      </c>
      <c r="Q608" s="6">
        <f t="shared" si="107"/>
        <v>22</v>
      </c>
      <c r="R608" s="6" t="str">
        <f t="shared" si="108"/>
        <v>2019</v>
      </c>
      <c r="S608" s="6" t="str">
        <f t="shared" si="109"/>
        <v>Feb</v>
      </c>
    </row>
    <row r="609" spans="1:19" x14ac:dyDescent="0.25">
      <c r="A609" s="6">
        <v>890</v>
      </c>
      <c r="B609" s="6" t="str">
        <f t="shared" si="101"/>
        <v>NIKFIN00890</v>
      </c>
      <c r="C609" s="7" t="s">
        <v>258</v>
      </c>
      <c r="D609" s="7" t="s">
        <v>485</v>
      </c>
      <c r="E609" s="7" t="str">
        <f t="shared" si="102"/>
        <v>MAHESH KUMBHAR</v>
      </c>
      <c r="F609" s="7" t="s">
        <v>12</v>
      </c>
      <c r="G609" s="22">
        <v>43586</v>
      </c>
      <c r="H609" s="8">
        <v>74845</v>
      </c>
      <c r="I609" s="7" t="str">
        <f t="shared" si="103"/>
        <v>mahesh.kumbhar@fi.kur.ba</v>
      </c>
      <c r="J609" s="6" t="s">
        <v>1550</v>
      </c>
      <c r="K609" s="6">
        <v>48</v>
      </c>
      <c r="L609" s="7" t="str">
        <f t="shared" si="104"/>
        <v>fi.kur.ba</v>
      </c>
      <c r="M609" s="7" t="str">
        <f t="shared" si="105"/>
        <v>K.Mahesh</v>
      </c>
      <c r="N609" s="6">
        <f t="shared" si="100"/>
        <v>4</v>
      </c>
      <c r="O609" s="6">
        <f t="shared" si="99"/>
        <v>0</v>
      </c>
      <c r="P609" s="6" t="str">
        <f t="shared" si="106"/>
        <v>N</v>
      </c>
      <c r="Q609" s="6">
        <f t="shared" si="107"/>
        <v>13</v>
      </c>
      <c r="R609" s="6" t="str">
        <f t="shared" si="108"/>
        <v>2019</v>
      </c>
      <c r="S609" s="6" t="str">
        <f t="shared" si="109"/>
        <v>May</v>
      </c>
    </row>
    <row r="610" spans="1:19" x14ac:dyDescent="0.25">
      <c r="A610" s="6">
        <v>922</v>
      </c>
      <c r="B610" s="6" t="str">
        <f t="shared" si="101"/>
        <v>NIKFIN00922</v>
      </c>
      <c r="C610" s="7" t="s">
        <v>36</v>
      </c>
      <c r="D610" s="7"/>
      <c r="E610" s="7" t="str">
        <f t="shared" si="102"/>
        <v>PINKI</v>
      </c>
      <c r="F610" s="7" t="s">
        <v>12</v>
      </c>
      <c r="G610" s="22">
        <v>43283</v>
      </c>
      <c r="H610" s="8">
        <v>107576</v>
      </c>
      <c r="I610" s="7" t="str">
        <f t="shared" si="103"/>
        <v>pinki.@fi..ba</v>
      </c>
      <c r="J610" s="6" t="s">
        <v>1551</v>
      </c>
      <c r="K610" s="6">
        <v>50</v>
      </c>
      <c r="L610" s="7" t="str">
        <f t="shared" si="104"/>
        <v>fi..ba</v>
      </c>
      <c r="M610" s="7" t="str">
        <f t="shared" si="105"/>
        <v>.Pinki</v>
      </c>
      <c r="N610" s="6">
        <f t="shared" si="100"/>
        <v>0</v>
      </c>
      <c r="O610" s="6">
        <f t="shared" si="99"/>
        <v>0</v>
      </c>
      <c r="P610" s="6" t="str">
        <f t="shared" si="106"/>
        <v>N</v>
      </c>
      <c r="Q610" s="6">
        <f t="shared" si="107"/>
        <v>5</v>
      </c>
      <c r="R610" s="6" t="str">
        <f t="shared" si="108"/>
        <v>2018</v>
      </c>
      <c r="S610" s="6" t="str">
        <f t="shared" si="109"/>
        <v>Jul</v>
      </c>
    </row>
    <row r="611" spans="1:19" x14ac:dyDescent="0.25">
      <c r="A611" s="6">
        <v>930</v>
      </c>
      <c r="B611" s="6" t="str">
        <f t="shared" si="101"/>
        <v>NIKFIN00930</v>
      </c>
      <c r="C611" s="7" t="s">
        <v>1071</v>
      </c>
      <c r="D611" s="7" t="s">
        <v>70</v>
      </c>
      <c r="E611" s="7" t="str">
        <f t="shared" si="102"/>
        <v>HARDEEP SINGH</v>
      </c>
      <c r="F611" s="7" t="s">
        <v>12</v>
      </c>
      <c r="G611" s="22">
        <v>42513</v>
      </c>
      <c r="H611" s="8">
        <v>48416</v>
      </c>
      <c r="I611" s="7" t="str">
        <f t="shared" si="103"/>
        <v>hardeep.singh@fi.sih.ba</v>
      </c>
      <c r="J611" s="6" t="s">
        <v>1532</v>
      </c>
      <c r="K611" s="6">
        <v>63</v>
      </c>
      <c r="L611" s="7" t="str">
        <f t="shared" si="104"/>
        <v>fi.sih.ba</v>
      </c>
      <c r="M611" s="7" t="str">
        <f t="shared" si="105"/>
        <v>S.Hardeep</v>
      </c>
      <c r="N611" s="6">
        <f t="shared" si="100"/>
        <v>5</v>
      </c>
      <c r="O611" s="6">
        <f t="shared" si="99"/>
        <v>0</v>
      </c>
      <c r="P611" s="6" t="str">
        <f t="shared" si="106"/>
        <v>N</v>
      </c>
      <c r="Q611" s="6">
        <f t="shared" si="107"/>
        <v>12</v>
      </c>
      <c r="R611" s="6" t="str">
        <f t="shared" si="108"/>
        <v>2016</v>
      </c>
      <c r="S611" s="6" t="str">
        <f t="shared" si="109"/>
        <v>May</v>
      </c>
    </row>
    <row r="612" spans="1:19" x14ac:dyDescent="0.25">
      <c r="A612" s="6">
        <v>934</v>
      </c>
      <c r="B612" s="6" t="str">
        <f t="shared" si="101"/>
        <v>NIKFIN00934</v>
      </c>
      <c r="C612" s="7" t="s">
        <v>38</v>
      </c>
      <c r="D612" s="7"/>
      <c r="E612" s="7" t="str">
        <f t="shared" si="102"/>
        <v>SUHANI</v>
      </c>
      <c r="F612" s="7" t="s">
        <v>12</v>
      </c>
      <c r="G612" s="22">
        <v>43040</v>
      </c>
      <c r="H612" s="8">
        <v>96028</v>
      </c>
      <c r="I612" s="7" t="str">
        <f t="shared" si="103"/>
        <v>suhani.@fi..ba</v>
      </c>
      <c r="J612" s="6" t="s">
        <v>1536</v>
      </c>
      <c r="K612" s="6">
        <v>54</v>
      </c>
      <c r="L612" s="7" t="str">
        <f t="shared" si="104"/>
        <v>fi..ba</v>
      </c>
      <c r="M612" s="7" t="str">
        <f t="shared" si="105"/>
        <v>.Suhani</v>
      </c>
      <c r="N612" s="6">
        <f t="shared" si="100"/>
        <v>0</v>
      </c>
      <c r="O612" s="6">
        <f t="shared" si="99"/>
        <v>0</v>
      </c>
      <c r="P612" s="6" t="str">
        <f t="shared" si="106"/>
        <v>N</v>
      </c>
      <c r="Q612" s="6">
        <f t="shared" si="107"/>
        <v>6</v>
      </c>
      <c r="R612" s="6" t="str">
        <f t="shared" si="108"/>
        <v>2017</v>
      </c>
      <c r="S612" s="6" t="str">
        <f t="shared" si="109"/>
        <v>Nov</v>
      </c>
    </row>
    <row r="613" spans="1:19" x14ac:dyDescent="0.25">
      <c r="A613" s="6">
        <v>978</v>
      </c>
      <c r="B613" s="6" t="str">
        <f t="shared" si="101"/>
        <v>NIKFIN00978</v>
      </c>
      <c r="C613" s="7" t="s">
        <v>1104</v>
      </c>
      <c r="D613" s="7" t="s">
        <v>85</v>
      </c>
      <c r="E613" s="7" t="str">
        <f t="shared" si="102"/>
        <v>RUCHI RAJESH</v>
      </c>
      <c r="F613" s="7" t="s">
        <v>12</v>
      </c>
      <c r="G613" s="22">
        <v>43201</v>
      </c>
      <c r="H613" s="8">
        <v>108584</v>
      </c>
      <c r="I613" s="7" t="str">
        <f t="shared" si="103"/>
        <v>ruchi.rajesh@fi.rah.ba</v>
      </c>
      <c r="J613" s="6" t="s">
        <v>1542</v>
      </c>
      <c r="K613" s="6">
        <v>75</v>
      </c>
      <c r="L613" s="7" t="str">
        <f t="shared" si="104"/>
        <v>fi.rah.ba</v>
      </c>
      <c r="M613" s="7" t="str">
        <f t="shared" si="105"/>
        <v>R.Ruchi</v>
      </c>
      <c r="N613" s="6">
        <f t="shared" si="100"/>
        <v>0</v>
      </c>
      <c r="O613" s="6">
        <f t="shared" si="99"/>
        <v>4</v>
      </c>
      <c r="P613" s="6" t="str">
        <f t="shared" si="106"/>
        <v>N</v>
      </c>
      <c r="Q613" s="6">
        <f t="shared" si="107"/>
        <v>11</v>
      </c>
      <c r="R613" s="6" t="str">
        <f t="shared" si="108"/>
        <v>2018</v>
      </c>
      <c r="S613" s="6" t="str">
        <f t="shared" si="109"/>
        <v>Apr</v>
      </c>
    </row>
    <row r="614" spans="1:19" x14ac:dyDescent="0.25">
      <c r="A614" s="6">
        <v>985</v>
      </c>
      <c r="B614" s="6" t="str">
        <f t="shared" si="101"/>
        <v>NIKFIN00985</v>
      </c>
      <c r="C614" s="7" t="s">
        <v>1111</v>
      </c>
      <c r="D614" s="7" t="s">
        <v>306</v>
      </c>
      <c r="E614" s="7" t="str">
        <f t="shared" si="102"/>
        <v>KAMDAR SIDDHARTH</v>
      </c>
      <c r="F614" s="7" t="s">
        <v>12</v>
      </c>
      <c r="G614" s="22">
        <v>43832</v>
      </c>
      <c r="H614" s="8">
        <v>29812</v>
      </c>
      <c r="I614" s="7" t="str">
        <f t="shared" si="103"/>
        <v>kamdar.siddharth@fi.sih.ba</v>
      </c>
      <c r="J614" s="6" t="s">
        <v>1547</v>
      </c>
      <c r="K614" s="6">
        <v>75</v>
      </c>
      <c r="L614" s="7" t="str">
        <f t="shared" si="104"/>
        <v>fi.sih.ba</v>
      </c>
      <c r="M614" s="7" t="str">
        <f t="shared" si="105"/>
        <v>S.Kamdar</v>
      </c>
      <c r="N614" s="6">
        <f t="shared" si="100"/>
        <v>0</v>
      </c>
      <c r="O614" s="6">
        <f t="shared" si="99"/>
        <v>0</v>
      </c>
      <c r="P614" s="6" t="str">
        <f t="shared" si="106"/>
        <v>N</v>
      </c>
      <c r="Q614" s="6">
        <f t="shared" si="107"/>
        <v>15</v>
      </c>
      <c r="R614" s="6" t="str">
        <f t="shared" si="108"/>
        <v>2020</v>
      </c>
      <c r="S614" s="6" t="str">
        <f t="shared" si="109"/>
        <v>Jan</v>
      </c>
    </row>
    <row r="615" spans="1:19" x14ac:dyDescent="0.25">
      <c r="A615" s="6">
        <v>992</v>
      </c>
      <c r="B615" s="6" t="str">
        <f t="shared" si="101"/>
        <v>NIKFIN00992</v>
      </c>
      <c r="C615" s="7" t="s">
        <v>984</v>
      </c>
      <c r="D615" s="7" t="s">
        <v>1118</v>
      </c>
      <c r="E615" s="7" t="str">
        <f t="shared" si="102"/>
        <v>SANJANA DADLANI</v>
      </c>
      <c r="F615" s="7" t="s">
        <v>12</v>
      </c>
      <c r="G615" s="22">
        <v>44092</v>
      </c>
      <c r="H615" s="8">
        <v>83426</v>
      </c>
      <c r="I615" s="7" t="str">
        <f t="shared" si="103"/>
        <v>sanjana.dadlani@fi.dai.ba</v>
      </c>
      <c r="J615" s="6" t="s">
        <v>1544</v>
      </c>
      <c r="K615" s="6">
        <v>47</v>
      </c>
      <c r="L615" s="7" t="str">
        <f t="shared" si="104"/>
        <v>fi.dai.ba</v>
      </c>
      <c r="M615" s="7" t="str">
        <f t="shared" si="105"/>
        <v>D.Sanjana</v>
      </c>
      <c r="N615" s="6">
        <f t="shared" si="100"/>
        <v>0</v>
      </c>
      <c r="O615" s="6">
        <f t="shared" si="99"/>
        <v>0</v>
      </c>
      <c r="P615" s="6" t="str">
        <f t="shared" si="106"/>
        <v>N</v>
      </c>
      <c r="Q615" s="6">
        <f t="shared" si="107"/>
        <v>14</v>
      </c>
      <c r="R615" s="6" t="str">
        <f t="shared" si="108"/>
        <v>2020</v>
      </c>
      <c r="S615" s="6" t="str">
        <f t="shared" si="109"/>
        <v>Sep</v>
      </c>
    </row>
    <row r="616" spans="1:19" x14ac:dyDescent="0.25">
      <c r="A616" s="6">
        <v>1009</v>
      </c>
      <c r="B616" s="6" t="str">
        <f t="shared" si="101"/>
        <v>NIKFIN01009</v>
      </c>
      <c r="C616" s="7" t="s">
        <v>1137</v>
      </c>
      <c r="D616" s="7" t="s">
        <v>1138</v>
      </c>
      <c r="E616" s="7" t="str">
        <f t="shared" si="102"/>
        <v>RACHIT PATNI</v>
      </c>
      <c r="F616" s="7" t="s">
        <v>12</v>
      </c>
      <c r="G616" s="22">
        <v>42676</v>
      </c>
      <c r="H616" s="8">
        <v>58303</v>
      </c>
      <c r="I616" s="7" t="str">
        <f t="shared" si="103"/>
        <v>rachit.patni@fi.pai.ba</v>
      </c>
      <c r="J616" s="6" t="s">
        <v>1535</v>
      </c>
      <c r="K616" s="6">
        <v>66</v>
      </c>
      <c r="L616" s="7" t="str">
        <f t="shared" si="104"/>
        <v>fi.pai.ba</v>
      </c>
      <c r="M616" s="7" t="str">
        <f t="shared" si="105"/>
        <v>P.Rachit</v>
      </c>
      <c r="N616" s="6">
        <f t="shared" si="100"/>
        <v>0</v>
      </c>
      <c r="O616" s="6">
        <f t="shared" si="99"/>
        <v>0</v>
      </c>
      <c r="P616" s="6" t="str">
        <f t="shared" si="106"/>
        <v>N</v>
      </c>
      <c r="Q616" s="6">
        <f t="shared" si="107"/>
        <v>11</v>
      </c>
      <c r="R616" s="6" t="str">
        <f t="shared" si="108"/>
        <v>2016</v>
      </c>
      <c r="S616" s="6" t="str">
        <f t="shared" si="109"/>
        <v>Nov</v>
      </c>
    </row>
    <row r="617" spans="1:19" x14ac:dyDescent="0.25">
      <c r="A617" s="6">
        <v>1012</v>
      </c>
      <c r="B617" s="6" t="str">
        <f t="shared" si="101"/>
        <v>NIKFIN01012</v>
      </c>
      <c r="C617" s="7" t="s">
        <v>181</v>
      </c>
      <c r="D617" s="7" t="s">
        <v>1141</v>
      </c>
      <c r="E617" s="7" t="str">
        <f t="shared" si="102"/>
        <v>ABHIJEET MANOHAR</v>
      </c>
      <c r="F617" s="7" t="s">
        <v>12</v>
      </c>
      <c r="G617" s="22">
        <v>43832</v>
      </c>
      <c r="H617" s="8">
        <v>65368</v>
      </c>
      <c r="I617" s="7" t="str">
        <f t="shared" si="103"/>
        <v>abhijeet.manohar@fi.mar.ba</v>
      </c>
      <c r="J617" s="6" t="s">
        <v>1543</v>
      </c>
      <c r="K617" s="6">
        <v>40</v>
      </c>
      <c r="L617" s="7" t="str">
        <f t="shared" si="104"/>
        <v>fi.mar.ba</v>
      </c>
      <c r="M617" s="7" t="str">
        <f t="shared" si="105"/>
        <v>M.Abhijeet</v>
      </c>
      <c r="N617" s="6">
        <f t="shared" si="100"/>
        <v>6</v>
      </c>
      <c r="O617" s="6">
        <f t="shared" si="99"/>
        <v>0</v>
      </c>
      <c r="P617" s="6" t="str">
        <f t="shared" si="106"/>
        <v>N</v>
      </c>
      <c r="Q617" s="6">
        <f t="shared" si="107"/>
        <v>15</v>
      </c>
      <c r="R617" s="6" t="str">
        <f t="shared" si="108"/>
        <v>2020</v>
      </c>
      <c r="S617" s="6" t="str">
        <f t="shared" si="109"/>
        <v>Jan</v>
      </c>
    </row>
    <row r="618" spans="1:19" x14ac:dyDescent="0.25">
      <c r="A618" s="6">
        <v>1016</v>
      </c>
      <c r="B618" s="6" t="str">
        <f t="shared" si="101"/>
        <v>NIKFIN01016</v>
      </c>
      <c r="C618" s="7" t="s">
        <v>582</v>
      </c>
      <c r="D618" s="7" t="s">
        <v>62</v>
      </c>
      <c r="E618" s="7" t="str">
        <f t="shared" si="102"/>
        <v>AAYUSHI JAIN</v>
      </c>
      <c r="F618" s="7" t="s">
        <v>12</v>
      </c>
      <c r="G618" s="22">
        <v>43252</v>
      </c>
      <c r="H618" s="8">
        <v>107672</v>
      </c>
      <c r="I618" s="7" t="str">
        <f t="shared" si="103"/>
        <v>aayushi.jain@fi.jan.ba</v>
      </c>
      <c r="J618" s="6" t="s">
        <v>1547</v>
      </c>
      <c r="K618" s="6">
        <v>72</v>
      </c>
      <c r="L618" s="7" t="str">
        <f t="shared" si="104"/>
        <v>fi.jan.ba</v>
      </c>
      <c r="M618" s="7" t="str">
        <f t="shared" si="105"/>
        <v>J.Aayushi</v>
      </c>
      <c r="N618" s="6">
        <f t="shared" si="100"/>
        <v>0</v>
      </c>
      <c r="O618" s="6">
        <f t="shared" si="99"/>
        <v>0</v>
      </c>
      <c r="P618" s="6" t="str">
        <f t="shared" si="106"/>
        <v>N</v>
      </c>
      <c r="Q618" s="6">
        <f t="shared" si="107"/>
        <v>11</v>
      </c>
      <c r="R618" s="6" t="str">
        <f t="shared" si="108"/>
        <v>2018</v>
      </c>
      <c r="S618" s="6" t="str">
        <f t="shared" si="109"/>
        <v>Jun</v>
      </c>
    </row>
    <row r="619" spans="1:19" x14ac:dyDescent="0.25">
      <c r="A619" s="6">
        <v>1022</v>
      </c>
      <c r="B619" s="6" t="str">
        <f t="shared" si="101"/>
        <v>NIKFIN01022</v>
      </c>
      <c r="C619" s="7" t="s">
        <v>982</v>
      </c>
      <c r="D619" s="7" t="s">
        <v>1140</v>
      </c>
      <c r="E619" s="7" t="str">
        <f t="shared" si="102"/>
        <v>VIPIN CHANDRA</v>
      </c>
      <c r="F619" s="7" t="s">
        <v>12</v>
      </c>
      <c r="G619" s="22">
        <v>42812</v>
      </c>
      <c r="H619" s="8">
        <v>59273</v>
      </c>
      <c r="I619" s="7" t="str">
        <f t="shared" si="103"/>
        <v>vipin.chandra@fi.cha.ba</v>
      </c>
      <c r="J619" s="6" t="s">
        <v>1542</v>
      </c>
      <c r="K619" s="6">
        <v>42</v>
      </c>
      <c r="L619" s="7" t="str">
        <f t="shared" si="104"/>
        <v>fi.cha.ba</v>
      </c>
      <c r="M619" s="7" t="str">
        <f t="shared" si="105"/>
        <v>C.Vipin</v>
      </c>
      <c r="N619" s="6">
        <f t="shared" si="100"/>
        <v>0</v>
      </c>
      <c r="O619" s="6">
        <f t="shared" si="99"/>
        <v>0</v>
      </c>
      <c r="P619" s="6" t="str">
        <f t="shared" si="106"/>
        <v>N</v>
      </c>
      <c r="Q619" s="6">
        <f t="shared" si="107"/>
        <v>12</v>
      </c>
      <c r="R619" s="6" t="str">
        <f t="shared" si="108"/>
        <v>2017</v>
      </c>
      <c r="S619" s="6" t="str">
        <f t="shared" si="109"/>
        <v>Mar</v>
      </c>
    </row>
    <row r="620" spans="1:19" x14ac:dyDescent="0.25">
      <c r="A620" s="6">
        <v>1025</v>
      </c>
      <c r="B620" s="6" t="str">
        <f t="shared" si="101"/>
        <v>NIKFIN01025</v>
      </c>
      <c r="C620" s="7" t="s">
        <v>1148</v>
      </c>
      <c r="D620" s="7" t="s">
        <v>1149</v>
      </c>
      <c r="E620" s="7" t="str">
        <f t="shared" si="102"/>
        <v>NABA KISHORE</v>
      </c>
      <c r="F620" s="7" t="s">
        <v>12</v>
      </c>
      <c r="G620" s="22">
        <v>41862</v>
      </c>
      <c r="H620" s="8">
        <v>31821</v>
      </c>
      <c r="I620" s="7" t="str">
        <f t="shared" si="103"/>
        <v>naba.kishore@fi.kie.ba</v>
      </c>
      <c r="J620" s="6" t="s">
        <v>1551</v>
      </c>
      <c r="K620" s="6">
        <v>79</v>
      </c>
      <c r="L620" s="7" t="str">
        <f t="shared" si="104"/>
        <v>fi.kie.ba</v>
      </c>
      <c r="M620" s="7" t="str">
        <f t="shared" si="105"/>
        <v>K.Naba</v>
      </c>
      <c r="N620" s="6">
        <f t="shared" si="100"/>
        <v>0</v>
      </c>
      <c r="O620" s="6">
        <f t="shared" ref="O620:O683" si="110">IFERROR(SEARCH("e",D620),0)</f>
        <v>7</v>
      </c>
      <c r="P620" s="6" t="str">
        <f t="shared" si="106"/>
        <v>N</v>
      </c>
      <c r="Q620" s="6">
        <f t="shared" si="107"/>
        <v>11</v>
      </c>
      <c r="R620" s="6" t="str">
        <f t="shared" si="108"/>
        <v>2014</v>
      </c>
      <c r="S620" s="6" t="str">
        <f t="shared" si="109"/>
        <v>Aug</v>
      </c>
    </row>
    <row r="621" spans="1:19" x14ac:dyDescent="0.25">
      <c r="A621" s="6">
        <v>1038</v>
      </c>
      <c r="B621" s="6" t="str">
        <f t="shared" si="101"/>
        <v>NIKFIN01038</v>
      </c>
      <c r="C621" s="7" t="s">
        <v>1156</v>
      </c>
      <c r="D621" s="7" t="s">
        <v>1157</v>
      </c>
      <c r="E621" s="7" t="str">
        <f t="shared" si="102"/>
        <v>MEGHA KHULVE</v>
      </c>
      <c r="F621" s="7" t="s">
        <v>12</v>
      </c>
      <c r="G621" s="22">
        <v>44200</v>
      </c>
      <c r="H621" s="8">
        <v>30720</v>
      </c>
      <c r="I621" s="7" t="str">
        <f t="shared" si="103"/>
        <v>megha.khulve@fi.khe.ba</v>
      </c>
      <c r="J621" s="6" t="s">
        <v>1533</v>
      </c>
      <c r="K621" s="6">
        <v>66</v>
      </c>
      <c r="L621" s="7" t="str">
        <f t="shared" si="104"/>
        <v>fi.khe.ba</v>
      </c>
      <c r="M621" s="7" t="str">
        <f t="shared" si="105"/>
        <v>K.Megha</v>
      </c>
      <c r="N621" s="6">
        <f t="shared" si="100"/>
        <v>2</v>
      </c>
      <c r="O621" s="6">
        <f t="shared" si="110"/>
        <v>6</v>
      </c>
      <c r="P621" s="6" t="str">
        <f t="shared" si="106"/>
        <v>Y</v>
      </c>
      <c r="Q621" s="6">
        <f t="shared" si="107"/>
        <v>11</v>
      </c>
      <c r="R621" s="6" t="str">
        <f t="shared" si="108"/>
        <v>2021</v>
      </c>
      <c r="S621" s="6" t="str">
        <f t="shared" si="109"/>
        <v>Jan</v>
      </c>
    </row>
    <row r="622" spans="1:19" x14ac:dyDescent="0.25">
      <c r="A622" s="6">
        <v>1039</v>
      </c>
      <c r="B622" s="6" t="str">
        <f t="shared" si="101"/>
        <v>NIKFIN01039</v>
      </c>
      <c r="C622" s="7" t="s">
        <v>1098</v>
      </c>
      <c r="D622" s="7" t="s">
        <v>1158</v>
      </c>
      <c r="E622" s="7" t="str">
        <f t="shared" si="102"/>
        <v>SNEHA KOCHER</v>
      </c>
      <c r="F622" s="7" t="s">
        <v>12</v>
      </c>
      <c r="G622" s="22">
        <v>44060</v>
      </c>
      <c r="H622" s="8">
        <v>86293</v>
      </c>
      <c r="I622" s="7" t="str">
        <f t="shared" si="103"/>
        <v>sneha.kocher@fi.kor.ba</v>
      </c>
      <c r="J622" s="6" t="s">
        <v>1532</v>
      </c>
      <c r="K622" s="6">
        <v>89</v>
      </c>
      <c r="L622" s="7" t="str">
        <f t="shared" si="104"/>
        <v>fi.kor.ba</v>
      </c>
      <c r="M622" s="7" t="str">
        <f t="shared" si="105"/>
        <v>K.Sneha</v>
      </c>
      <c r="N622" s="6">
        <f t="shared" ref="N622:N685" si="111">IFERROR(SEARCH("e",C622),0)</f>
        <v>3</v>
      </c>
      <c r="O622" s="6">
        <f t="shared" si="110"/>
        <v>5</v>
      </c>
      <c r="P622" s="6" t="str">
        <f t="shared" si="106"/>
        <v>Y</v>
      </c>
      <c r="Q622" s="6">
        <f t="shared" si="107"/>
        <v>11</v>
      </c>
      <c r="R622" s="6" t="str">
        <f t="shared" si="108"/>
        <v>2020</v>
      </c>
      <c r="S622" s="6" t="str">
        <f t="shared" si="109"/>
        <v>Aug</v>
      </c>
    </row>
    <row r="623" spans="1:19" x14ac:dyDescent="0.25">
      <c r="A623" s="6">
        <v>1042</v>
      </c>
      <c r="B623" s="6" t="str">
        <f t="shared" si="101"/>
        <v>NIKFIN01042</v>
      </c>
      <c r="C623" s="7" t="s">
        <v>1161</v>
      </c>
      <c r="D623" s="7" t="s">
        <v>54</v>
      </c>
      <c r="E623" s="7" t="str">
        <f t="shared" si="102"/>
        <v>WAGH GANESH</v>
      </c>
      <c r="F623" s="7" t="s">
        <v>12</v>
      </c>
      <c r="G623" s="22">
        <v>44357</v>
      </c>
      <c r="H623" s="8">
        <v>44276</v>
      </c>
      <c r="I623" s="7" t="str">
        <f t="shared" si="103"/>
        <v>wagh.ganesh@fi.gah.ba</v>
      </c>
      <c r="J623" s="6" t="s">
        <v>1550</v>
      </c>
      <c r="K623" s="6">
        <v>58</v>
      </c>
      <c r="L623" s="7" t="str">
        <f t="shared" si="104"/>
        <v>fi.gah.ba</v>
      </c>
      <c r="M623" s="7" t="str">
        <f t="shared" si="105"/>
        <v>G.Wagh</v>
      </c>
      <c r="N623" s="6">
        <f t="shared" si="111"/>
        <v>0</v>
      </c>
      <c r="O623" s="6">
        <f t="shared" si="110"/>
        <v>4</v>
      </c>
      <c r="P623" s="6" t="str">
        <f t="shared" si="106"/>
        <v>N</v>
      </c>
      <c r="Q623" s="6">
        <f t="shared" si="107"/>
        <v>10</v>
      </c>
      <c r="R623" s="6" t="str">
        <f t="shared" si="108"/>
        <v>2021</v>
      </c>
      <c r="S623" s="6" t="str">
        <f t="shared" si="109"/>
        <v>Jun</v>
      </c>
    </row>
    <row r="624" spans="1:19" x14ac:dyDescent="0.25">
      <c r="A624" s="6">
        <v>1045</v>
      </c>
      <c r="B624" s="6" t="str">
        <f t="shared" si="101"/>
        <v>NIKFIN01045</v>
      </c>
      <c r="C624" s="7" t="s">
        <v>80</v>
      </c>
      <c r="D624" s="7" t="s">
        <v>68</v>
      </c>
      <c r="E624" s="7" t="str">
        <f t="shared" si="102"/>
        <v>PRASHANT KUMAR</v>
      </c>
      <c r="F624" s="7" t="s">
        <v>12</v>
      </c>
      <c r="G624" s="22">
        <v>43405</v>
      </c>
      <c r="H624" s="8">
        <v>25099</v>
      </c>
      <c r="I624" s="7" t="str">
        <f t="shared" si="103"/>
        <v>prashant.kumar@fi.kur.ba</v>
      </c>
      <c r="J624" s="6" t="s">
        <v>1534</v>
      </c>
      <c r="K624" s="6">
        <v>80</v>
      </c>
      <c r="L624" s="7" t="str">
        <f t="shared" si="104"/>
        <v>fi.kur.ba</v>
      </c>
      <c r="M624" s="7" t="str">
        <f t="shared" si="105"/>
        <v>K.Prashant</v>
      </c>
      <c r="N624" s="6">
        <f t="shared" si="111"/>
        <v>0</v>
      </c>
      <c r="O624" s="6">
        <f t="shared" si="110"/>
        <v>0</v>
      </c>
      <c r="P624" s="6" t="str">
        <f t="shared" si="106"/>
        <v>N</v>
      </c>
      <c r="Q624" s="6">
        <f t="shared" si="107"/>
        <v>13</v>
      </c>
      <c r="R624" s="6" t="str">
        <f t="shared" si="108"/>
        <v>2018</v>
      </c>
      <c r="S624" s="6" t="str">
        <f t="shared" si="109"/>
        <v>Nov</v>
      </c>
    </row>
    <row r="625" spans="1:19" x14ac:dyDescent="0.25">
      <c r="A625" s="6">
        <v>1052</v>
      </c>
      <c r="B625" s="6" t="str">
        <f t="shared" si="101"/>
        <v>NIKFIN01052</v>
      </c>
      <c r="C625" s="7" t="s">
        <v>891</v>
      </c>
      <c r="D625" s="7" t="s">
        <v>170</v>
      </c>
      <c r="E625" s="7" t="str">
        <f t="shared" si="102"/>
        <v>POORNIMA VINOD</v>
      </c>
      <c r="F625" s="7" t="s">
        <v>12</v>
      </c>
      <c r="G625" s="22">
        <v>43227</v>
      </c>
      <c r="H625" s="8">
        <v>58622</v>
      </c>
      <c r="I625" s="7" t="str">
        <f t="shared" si="103"/>
        <v>poornima.vinod@fi.vid.ba</v>
      </c>
      <c r="J625" s="6" t="s">
        <v>1533</v>
      </c>
      <c r="K625" s="6">
        <v>83</v>
      </c>
      <c r="L625" s="7" t="str">
        <f t="shared" si="104"/>
        <v>fi.vid.ba</v>
      </c>
      <c r="M625" s="7" t="str">
        <f t="shared" si="105"/>
        <v>V.Poornima</v>
      </c>
      <c r="N625" s="6">
        <f t="shared" si="111"/>
        <v>0</v>
      </c>
      <c r="O625" s="6">
        <f t="shared" si="110"/>
        <v>0</v>
      </c>
      <c r="P625" s="6" t="str">
        <f t="shared" si="106"/>
        <v>N</v>
      </c>
      <c r="Q625" s="6">
        <f t="shared" si="107"/>
        <v>13</v>
      </c>
      <c r="R625" s="6" t="str">
        <f t="shared" si="108"/>
        <v>2018</v>
      </c>
      <c r="S625" s="6" t="str">
        <f t="shared" si="109"/>
        <v>May</v>
      </c>
    </row>
    <row r="626" spans="1:19" x14ac:dyDescent="0.25">
      <c r="A626" s="6">
        <v>1063</v>
      </c>
      <c r="B626" s="6" t="str">
        <f t="shared" si="101"/>
        <v>NIKFIN01063</v>
      </c>
      <c r="C626" s="7" t="s">
        <v>1175</v>
      </c>
      <c r="D626" s="7" t="s">
        <v>1176</v>
      </c>
      <c r="E626" s="7" t="str">
        <f t="shared" si="102"/>
        <v>NIKETA SANE</v>
      </c>
      <c r="F626" s="7" t="s">
        <v>12</v>
      </c>
      <c r="G626" s="22">
        <v>42249</v>
      </c>
      <c r="H626" s="8">
        <v>45907</v>
      </c>
      <c r="I626" s="7" t="str">
        <f t="shared" si="103"/>
        <v>niketa.sane@fi.sae.ba</v>
      </c>
      <c r="J626" s="6" t="s">
        <v>1535</v>
      </c>
      <c r="K626" s="6">
        <v>50</v>
      </c>
      <c r="L626" s="7" t="str">
        <f t="shared" si="104"/>
        <v>fi.sae.ba</v>
      </c>
      <c r="M626" s="7" t="str">
        <f t="shared" si="105"/>
        <v>S.Niketa</v>
      </c>
      <c r="N626" s="6">
        <f t="shared" si="111"/>
        <v>4</v>
      </c>
      <c r="O626" s="6">
        <f t="shared" si="110"/>
        <v>4</v>
      </c>
      <c r="P626" s="6" t="str">
        <f t="shared" si="106"/>
        <v>Y</v>
      </c>
      <c r="Q626" s="6">
        <f t="shared" si="107"/>
        <v>10</v>
      </c>
      <c r="R626" s="6" t="str">
        <f t="shared" si="108"/>
        <v>2015</v>
      </c>
      <c r="S626" s="6" t="str">
        <f t="shared" si="109"/>
        <v>Sep</v>
      </c>
    </row>
    <row r="627" spans="1:19" x14ac:dyDescent="0.25">
      <c r="A627" s="6">
        <v>1068</v>
      </c>
      <c r="B627" s="6" t="str">
        <f t="shared" si="101"/>
        <v>NIKFIN01068</v>
      </c>
      <c r="C627" s="7" t="s">
        <v>1180</v>
      </c>
      <c r="D627" s="7" t="s">
        <v>1181</v>
      </c>
      <c r="E627" s="7" t="str">
        <f t="shared" si="102"/>
        <v>SIDHARATH GANDOTRA</v>
      </c>
      <c r="F627" s="7" t="s">
        <v>12</v>
      </c>
      <c r="G627" s="22">
        <v>44396</v>
      </c>
      <c r="H627" s="8">
        <v>68655</v>
      </c>
      <c r="I627" s="7" t="str">
        <f t="shared" si="103"/>
        <v>sidharath.gandotra@fi.gaa.ba</v>
      </c>
      <c r="J627" s="6" t="s">
        <v>1534</v>
      </c>
      <c r="K627" s="6">
        <v>41</v>
      </c>
      <c r="L627" s="7" t="str">
        <f t="shared" si="104"/>
        <v>fi.gaa.ba</v>
      </c>
      <c r="M627" s="7" t="str">
        <f t="shared" si="105"/>
        <v>G.Sidharath</v>
      </c>
      <c r="N627" s="6">
        <f t="shared" si="111"/>
        <v>0</v>
      </c>
      <c r="O627" s="6">
        <f t="shared" si="110"/>
        <v>0</v>
      </c>
      <c r="P627" s="6" t="str">
        <f t="shared" si="106"/>
        <v>N</v>
      </c>
      <c r="Q627" s="6">
        <f t="shared" si="107"/>
        <v>17</v>
      </c>
      <c r="R627" s="6" t="str">
        <f t="shared" si="108"/>
        <v>2021</v>
      </c>
      <c r="S627" s="6" t="str">
        <f t="shared" si="109"/>
        <v>Jul</v>
      </c>
    </row>
    <row r="628" spans="1:19" x14ac:dyDescent="0.25">
      <c r="A628" s="6">
        <v>1089</v>
      </c>
      <c r="B628" s="6" t="str">
        <f t="shared" si="101"/>
        <v>NIKFIN01089</v>
      </c>
      <c r="C628" s="7" t="s">
        <v>1201</v>
      </c>
      <c r="D628" s="7" t="s">
        <v>187</v>
      </c>
      <c r="E628" s="7" t="str">
        <f t="shared" si="102"/>
        <v>PRARTHIT ANAND</v>
      </c>
      <c r="F628" s="7" t="s">
        <v>12</v>
      </c>
      <c r="G628" s="22">
        <v>43169</v>
      </c>
      <c r="H628" s="8">
        <v>37174</v>
      </c>
      <c r="I628" s="7" t="str">
        <f t="shared" si="103"/>
        <v>prarthit.anand@fi.and.ba</v>
      </c>
      <c r="J628" s="6" t="s">
        <v>1540</v>
      </c>
      <c r="K628" s="6">
        <v>40</v>
      </c>
      <c r="L628" s="7" t="str">
        <f t="shared" si="104"/>
        <v>fi.and.ba</v>
      </c>
      <c r="M628" s="7" t="str">
        <f t="shared" si="105"/>
        <v>A.Prarthit</v>
      </c>
      <c r="N628" s="6">
        <f t="shared" si="111"/>
        <v>0</v>
      </c>
      <c r="O628" s="6">
        <f t="shared" si="110"/>
        <v>0</v>
      </c>
      <c r="P628" s="6" t="str">
        <f t="shared" si="106"/>
        <v>N</v>
      </c>
      <c r="Q628" s="6">
        <f t="shared" si="107"/>
        <v>13</v>
      </c>
      <c r="R628" s="6" t="str">
        <f t="shared" si="108"/>
        <v>2018</v>
      </c>
      <c r="S628" s="6" t="str">
        <f t="shared" si="109"/>
        <v>Mar</v>
      </c>
    </row>
    <row r="629" spans="1:19" x14ac:dyDescent="0.25">
      <c r="A629" s="6">
        <v>1092</v>
      </c>
      <c r="B629" s="6" t="str">
        <f t="shared" si="101"/>
        <v>NIKFIN01092</v>
      </c>
      <c r="C629" s="7" t="s">
        <v>55</v>
      </c>
      <c r="D629" s="7" t="s">
        <v>24</v>
      </c>
      <c r="E629" s="7" t="str">
        <f t="shared" si="102"/>
        <v>SHARMA RAVI</v>
      </c>
      <c r="F629" s="7" t="s">
        <v>12</v>
      </c>
      <c r="G629" s="22">
        <v>43810</v>
      </c>
      <c r="H629" s="8">
        <v>66008</v>
      </c>
      <c r="I629" s="7" t="str">
        <f t="shared" si="103"/>
        <v>sharma.ravi@fi.rai.ba</v>
      </c>
      <c r="J629" s="6" t="s">
        <v>1538</v>
      </c>
      <c r="K629" s="6">
        <v>44</v>
      </c>
      <c r="L629" s="7" t="str">
        <f t="shared" si="104"/>
        <v>fi.rai.ba</v>
      </c>
      <c r="M629" s="7" t="str">
        <f t="shared" si="105"/>
        <v>R.Sharma</v>
      </c>
      <c r="N629" s="6">
        <f t="shared" si="111"/>
        <v>0</v>
      </c>
      <c r="O629" s="6">
        <f t="shared" si="110"/>
        <v>0</v>
      </c>
      <c r="P629" s="6" t="str">
        <f t="shared" si="106"/>
        <v>N</v>
      </c>
      <c r="Q629" s="6">
        <f t="shared" si="107"/>
        <v>10</v>
      </c>
      <c r="R629" s="6" t="str">
        <f t="shared" si="108"/>
        <v>2019</v>
      </c>
      <c r="S629" s="6" t="str">
        <f t="shared" si="109"/>
        <v>Dec</v>
      </c>
    </row>
    <row r="630" spans="1:19" x14ac:dyDescent="0.25">
      <c r="A630" s="6">
        <v>1098</v>
      </c>
      <c r="B630" s="6" t="str">
        <f t="shared" si="101"/>
        <v>NIKFIN01098</v>
      </c>
      <c r="C630" s="7" t="s">
        <v>41</v>
      </c>
      <c r="D630" s="7"/>
      <c r="E630" s="7" t="str">
        <f t="shared" si="102"/>
        <v>JITENDER</v>
      </c>
      <c r="F630" s="7" t="s">
        <v>12</v>
      </c>
      <c r="G630" s="22">
        <v>42291</v>
      </c>
      <c r="H630" s="8">
        <v>103670</v>
      </c>
      <c r="I630" s="7" t="str">
        <f t="shared" si="103"/>
        <v>jitender.@fi..ba</v>
      </c>
      <c r="J630" s="6" t="s">
        <v>1538</v>
      </c>
      <c r="K630" s="6">
        <v>61</v>
      </c>
      <c r="L630" s="7" t="str">
        <f t="shared" si="104"/>
        <v>fi..ba</v>
      </c>
      <c r="M630" s="7" t="str">
        <f t="shared" si="105"/>
        <v>.Jitender</v>
      </c>
      <c r="N630" s="6">
        <f t="shared" si="111"/>
        <v>4</v>
      </c>
      <c r="O630" s="6">
        <f t="shared" si="110"/>
        <v>0</v>
      </c>
      <c r="P630" s="6" t="str">
        <f t="shared" si="106"/>
        <v>N</v>
      </c>
      <c r="Q630" s="6">
        <f t="shared" si="107"/>
        <v>8</v>
      </c>
      <c r="R630" s="6" t="str">
        <f t="shared" si="108"/>
        <v>2015</v>
      </c>
      <c r="S630" s="6" t="str">
        <f t="shared" si="109"/>
        <v>Oct</v>
      </c>
    </row>
    <row r="631" spans="1:19" x14ac:dyDescent="0.25">
      <c r="A631" s="6">
        <v>1102</v>
      </c>
      <c r="B631" s="6" t="str">
        <f t="shared" si="101"/>
        <v>NIKFIN01102</v>
      </c>
      <c r="C631" s="7" t="s">
        <v>1209</v>
      </c>
      <c r="D631" s="7" t="s">
        <v>731</v>
      </c>
      <c r="E631" s="7" t="str">
        <f t="shared" si="102"/>
        <v>MITHU GHOSH</v>
      </c>
      <c r="F631" s="7" t="s">
        <v>12</v>
      </c>
      <c r="G631" s="22">
        <v>44487</v>
      </c>
      <c r="H631" s="8">
        <v>81737</v>
      </c>
      <c r="I631" s="7" t="str">
        <f t="shared" si="103"/>
        <v>mithu.ghosh@fi.ghh.ba</v>
      </c>
      <c r="J631" s="6" t="s">
        <v>1535</v>
      </c>
      <c r="K631" s="6">
        <v>77</v>
      </c>
      <c r="L631" s="7" t="str">
        <f t="shared" si="104"/>
        <v>fi.ghh.ba</v>
      </c>
      <c r="M631" s="7" t="str">
        <f t="shared" si="105"/>
        <v>G.Mithu</v>
      </c>
      <c r="N631" s="6">
        <f t="shared" si="111"/>
        <v>0</v>
      </c>
      <c r="O631" s="6">
        <f t="shared" si="110"/>
        <v>0</v>
      </c>
      <c r="P631" s="6" t="str">
        <f t="shared" si="106"/>
        <v>N</v>
      </c>
      <c r="Q631" s="6">
        <f t="shared" si="107"/>
        <v>10</v>
      </c>
      <c r="R631" s="6" t="str">
        <f t="shared" si="108"/>
        <v>2021</v>
      </c>
      <c r="S631" s="6" t="str">
        <f t="shared" si="109"/>
        <v>Oct</v>
      </c>
    </row>
    <row r="632" spans="1:19" x14ac:dyDescent="0.25">
      <c r="A632" s="6">
        <v>1112</v>
      </c>
      <c r="B632" s="6" t="str">
        <f t="shared" si="101"/>
        <v>NIKFIN01112</v>
      </c>
      <c r="C632" s="7" t="s">
        <v>1218</v>
      </c>
      <c r="D632" s="7" t="s">
        <v>1219</v>
      </c>
      <c r="E632" s="7" t="str">
        <f t="shared" si="102"/>
        <v>SUMANT LAKHTAKIA</v>
      </c>
      <c r="F632" s="7" t="s">
        <v>12</v>
      </c>
      <c r="G632" s="22">
        <v>43571</v>
      </c>
      <c r="H632" s="8">
        <v>28790</v>
      </c>
      <c r="I632" s="7" t="str">
        <f t="shared" si="103"/>
        <v>sumant.lakhtakia@fi.laa.ba</v>
      </c>
      <c r="J632" s="6" t="s">
        <v>1536</v>
      </c>
      <c r="K632" s="6">
        <v>46</v>
      </c>
      <c r="L632" s="7" t="str">
        <f t="shared" si="104"/>
        <v>fi.laa.ba</v>
      </c>
      <c r="M632" s="7" t="str">
        <f t="shared" si="105"/>
        <v>L.Sumant</v>
      </c>
      <c r="N632" s="6">
        <f t="shared" si="111"/>
        <v>0</v>
      </c>
      <c r="O632" s="6">
        <f t="shared" si="110"/>
        <v>0</v>
      </c>
      <c r="P632" s="6" t="str">
        <f t="shared" si="106"/>
        <v>N</v>
      </c>
      <c r="Q632" s="6">
        <f t="shared" si="107"/>
        <v>15</v>
      </c>
      <c r="R632" s="6" t="str">
        <f t="shared" si="108"/>
        <v>2019</v>
      </c>
      <c r="S632" s="6" t="str">
        <f t="shared" si="109"/>
        <v>Apr</v>
      </c>
    </row>
    <row r="633" spans="1:19" x14ac:dyDescent="0.25">
      <c r="A633" s="6">
        <v>1121</v>
      </c>
      <c r="B633" s="6" t="str">
        <f t="shared" si="101"/>
        <v>NIKFIN01121</v>
      </c>
      <c r="C633" s="7" t="s">
        <v>626</v>
      </c>
      <c r="D633" s="7" t="s">
        <v>102</v>
      </c>
      <c r="E633" s="7" t="str">
        <f t="shared" si="102"/>
        <v>MEHAK CHAUHAN</v>
      </c>
      <c r="F633" s="7" t="s">
        <v>12</v>
      </c>
      <c r="G633" s="22">
        <v>44245</v>
      </c>
      <c r="H633" s="8">
        <v>65384</v>
      </c>
      <c r="I633" s="7" t="str">
        <f t="shared" si="103"/>
        <v>mehak.chauhan@fi.chn.ba</v>
      </c>
      <c r="J633" s="6" t="s">
        <v>1544</v>
      </c>
      <c r="K633" s="6">
        <v>49</v>
      </c>
      <c r="L633" s="7" t="str">
        <f t="shared" si="104"/>
        <v>fi.chn.ba</v>
      </c>
      <c r="M633" s="7" t="str">
        <f t="shared" si="105"/>
        <v>C.Mehak</v>
      </c>
      <c r="N633" s="6">
        <f t="shared" si="111"/>
        <v>2</v>
      </c>
      <c r="O633" s="6">
        <f t="shared" si="110"/>
        <v>0</v>
      </c>
      <c r="P633" s="6" t="str">
        <f t="shared" si="106"/>
        <v>N</v>
      </c>
      <c r="Q633" s="6">
        <f t="shared" si="107"/>
        <v>12</v>
      </c>
      <c r="R633" s="6" t="str">
        <f t="shared" si="108"/>
        <v>2021</v>
      </c>
      <c r="S633" s="6" t="str">
        <f t="shared" si="109"/>
        <v>Feb</v>
      </c>
    </row>
    <row r="634" spans="1:19" x14ac:dyDescent="0.25">
      <c r="A634" s="6">
        <v>1125</v>
      </c>
      <c r="B634" s="6" t="str">
        <f t="shared" si="101"/>
        <v>NIKFIN01125</v>
      </c>
      <c r="C634" s="7" t="s">
        <v>166</v>
      </c>
      <c r="D634" s="7" t="s">
        <v>304</v>
      </c>
      <c r="E634" s="7" t="str">
        <f t="shared" si="102"/>
        <v>NEHA BANSAL</v>
      </c>
      <c r="F634" s="7" t="s">
        <v>12</v>
      </c>
      <c r="G634" s="22">
        <v>43689</v>
      </c>
      <c r="H634" s="8">
        <v>26971</v>
      </c>
      <c r="I634" s="7" t="str">
        <f t="shared" si="103"/>
        <v>neha.bansal@fi.bal.ba</v>
      </c>
      <c r="J634" s="6" t="s">
        <v>1537</v>
      </c>
      <c r="K634" s="6">
        <v>84</v>
      </c>
      <c r="L634" s="7" t="str">
        <f t="shared" si="104"/>
        <v>fi.bal.ba</v>
      </c>
      <c r="M634" s="7" t="str">
        <f t="shared" si="105"/>
        <v>B.Neha</v>
      </c>
      <c r="N634" s="6">
        <f t="shared" si="111"/>
        <v>2</v>
      </c>
      <c r="O634" s="6">
        <f t="shared" si="110"/>
        <v>0</v>
      </c>
      <c r="P634" s="6" t="str">
        <f t="shared" si="106"/>
        <v>N</v>
      </c>
      <c r="Q634" s="6">
        <f t="shared" si="107"/>
        <v>10</v>
      </c>
      <c r="R634" s="6" t="str">
        <f t="shared" si="108"/>
        <v>2019</v>
      </c>
      <c r="S634" s="6" t="str">
        <f t="shared" si="109"/>
        <v>Aug</v>
      </c>
    </row>
    <row r="635" spans="1:19" x14ac:dyDescent="0.25">
      <c r="A635" s="6">
        <v>1127</v>
      </c>
      <c r="B635" s="6" t="str">
        <f t="shared" si="101"/>
        <v>NIKFIN01127</v>
      </c>
      <c r="C635" s="7" t="s">
        <v>1228</v>
      </c>
      <c r="D635" s="7" t="s">
        <v>70</v>
      </c>
      <c r="E635" s="7" t="str">
        <f t="shared" si="102"/>
        <v>SAGRIKA SINGH</v>
      </c>
      <c r="F635" s="7" t="s">
        <v>12</v>
      </c>
      <c r="G635" s="22">
        <v>44440</v>
      </c>
      <c r="H635" s="8">
        <v>75931</v>
      </c>
      <c r="I635" s="7" t="str">
        <f t="shared" si="103"/>
        <v>sagrika.singh@fi.sih.ba</v>
      </c>
      <c r="J635" s="6" t="s">
        <v>1535</v>
      </c>
      <c r="K635" s="6">
        <v>42</v>
      </c>
      <c r="L635" s="7" t="str">
        <f t="shared" si="104"/>
        <v>fi.sih.ba</v>
      </c>
      <c r="M635" s="7" t="str">
        <f t="shared" si="105"/>
        <v>S.Sagrika</v>
      </c>
      <c r="N635" s="6">
        <f t="shared" si="111"/>
        <v>0</v>
      </c>
      <c r="O635" s="6">
        <f t="shared" si="110"/>
        <v>0</v>
      </c>
      <c r="P635" s="6" t="str">
        <f t="shared" si="106"/>
        <v>N</v>
      </c>
      <c r="Q635" s="6">
        <f t="shared" si="107"/>
        <v>12</v>
      </c>
      <c r="R635" s="6" t="str">
        <f t="shared" si="108"/>
        <v>2021</v>
      </c>
      <c r="S635" s="6" t="str">
        <f t="shared" si="109"/>
        <v>Sep</v>
      </c>
    </row>
    <row r="636" spans="1:19" x14ac:dyDescent="0.25">
      <c r="A636" s="6">
        <v>1138</v>
      </c>
      <c r="B636" s="6" t="str">
        <f t="shared" si="101"/>
        <v>NIKFIN01138</v>
      </c>
      <c r="C636" s="7" t="s">
        <v>1234</v>
      </c>
      <c r="D636" s="7" t="s">
        <v>70</v>
      </c>
      <c r="E636" s="7" t="str">
        <f t="shared" si="102"/>
        <v>VANDITA SINGH</v>
      </c>
      <c r="F636" s="7" t="s">
        <v>12</v>
      </c>
      <c r="G636" s="22">
        <v>44365</v>
      </c>
      <c r="H636" s="8">
        <v>75077</v>
      </c>
      <c r="I636" s="7" t="str">
        <f t="shared" si="103"/>
        <v>vandita.singh@fi.sih.ba</v>
      </c>
      <c r="J636" s="6" t="s">
        <v>1549</v>
      </c>
      <c r="K636" s="6">
        <v>42</v>
      </c>
      <c r="L636" s="7" t="str">
        <f t="shared" si="104"/>
        <v>fi.sih.ba</v>
      </c>
      <c r="M636" s="7" t="str">
        <f t="shared" si="105"/>
        <v>S.Vandita</v>
      </c>
      <c r="N636" s="6">
        <f t="shared" si="111"/>
        <v>0</v>
      </c>
      <c r="O636" s="6">
        <f t="shared" si="110"/>
        <v>0</v>
      </c>
      <c r="P636" s="6" t="str">
        <f t="shared" si="106"/>
        <v>N</v>
      </c>
      <c r="Q636" s="6">
        <f t="shared" si="107"/>
        <v>12</v>
      </c>
      <c r="R636" s="6" t="str">
        <f t="shared" si="108"/>
        <v>2021</v>
      </c>
      <c r="S636" s="6" t="str">
        <f t="shared" si="109"/>
        <v>Jun</v>
      </c>
    </row>
    <row r="637" spans="1:19" x14ac:dyDescent="0.25">
      <c r="A637" s="6">
        <v>1156</v>
      </c>
      <c r="B637" s="6" t="str">
        <f t="shared" si="101"/>
        <v>NIKFIN01156</v>
      </c>
      <c r="C637" s="7" t="s">
        <v>114</v>
      </c>
      <c r="D637" s="7" t="s">
        <v>68</v>
      </c>
      <c r="E637" s="7" t="str">
        <f t="shared" si="102"/>
        <v>SUNIL KUMAR</v>
      </c>
      <c r="F637" s="7" t="s">
        <v>12</v>
      </c>
      <c r="G637" s="22">
        <v>42100</v>
      </c>
      <c r="H637" s="8">
        <v>42917</v>
      </c>
      <c r="I637" s="7" t="str">
        <f t="shared" si="103"/>
        <v>sunil.kumar@fi.kur.ba</v>
      </c>
      <c r="J637" s="6" t="s">
        <v>1548</v>
      </c>
      <c r="K637" s="6">
        <v>70</v>
      </c>
      <c r="L637" s="7" t="str">
        <f t="shared" si="104"/>
        <v>fi.kur.ba</v>
      </c>
      <c r="M637" s="7" t="str">
        <f t="shared" si="105"/>
        <v>K.Sunil</v>
      </c>
      <c r="N637" s="6">
        <f t="shared" si="111"/>
        <v>0</v>
      </c>
      <c r="O637" s="6">
        <f t="shared" si="110"/>
        <v>0</v>
      </c>
      <c r="P637" s="6" t="str">
        <f t="shared" si="106"/>
        <v>N</v>
      </c>
      <c r="Q637" s="6">
        <f t="shared" si="107"/>
        <v>10</v>
      </c>
      <c r="R637" s="6" t="str">
        <f t="shared" si="108"/>
        <v>2015</v>
      </c>
      <c r="S637" s="6" t="str">
        <f t="shared" si="109"/>
        <v>Apr</v>
      </c>
    </row>
    <row r="638" spans="1:19" x14ac:dyDescent="0.25">
      <c r="A638" s="6">
        <v>1158</v>
      </c>
      <c r="B638" s="6" t="str">
        <f t="shared" si="101"/>
        <v>NIKFIN01158</v>
      </c>
      <c r="C638" s="7" t="s">
        <v>60</v>
      </c>
      <c r="D638" s="7" t="s">
        <v>1252</v>
      </c>
      <c r="E638" s="7" t="str">
        <f t="shared" si="102"/>
        <v>AJAY ISHWAR</v>
      </c>
      <c r="F638" s="7" t="s">
        <v>12</v>
      </c>
      <c r="G638" s="22">
        <v>44519</v>
      </c>
      <c r="H638" s="8">
        <v>64151</v>
      </c>
      <c r="I638" s="7" t="str">
        <f t="shared" si="103"/>
        <v>ajay.ishwar@fi.isr.ba</v>
      </c>
      <c r="J638" s="6" t="s">
        <v>1540</v>
      </c>
      <c r="K638" s="6">
        <v>82</v>
      </c>
      <c r="L638" s="7" t="str">
        <f t="shared" si="104"/>
        <v>fi.isr.ba</v>
      </c>
      <c r="M638" s="7" t="str">
        <f t="shared" si="105"/>
        <v>I.Ajay</v>
      </c>
      <c r="N638" s="6">
        <f t="shared" si="111"/>
        <v>0</v>
      </c>
      <c r="O638" s="6">
        <f t="shared" si="110"/>
        <v>0</v>
      </c>
      <c r="P638" s="6" t="str">
        <f t="shared" si="106"/>
        <v>N</v>
      </c>
      <c r="Q638" s="6">
        <f t="shared" si="107"/>
        <v>10</v>
      </c>
      <c r="R638" s="6" t="str">
        <f t="shared" si="108"/>
        <v>2021</v>
      </c>
      <c r="S638" s="6" t="str">
        <f t="shared" si="109"/>
        <v>Nov</v>
      </c>
    </row>
    <row r="639" spans="1:19" x14ac:dyDescent="0.25">
      <c r="A639" s="6">
        <v>1159</v>
      </c>
      <c r="B639" s="6" t="str">
        <f t="shared" si="101"/>
        <v>NIKFIN01159</v>
      </c>
      <c r="C639" s="7" t="s">
        <v>1253</v>
      </c>
      <c r="D639" s="7" t="s">
        <v>664</v>
      </c>
      <c r="E639" s="7" t="str">
        <f t="shared" si="102"/>
        <v>OSHAN ROHAN</v>
      </c>
      <c r="F639" s="7" t="s">
        <v>12</v>
      </c>
      <c r="G639" s="22">
        <v>43832</v>
      </c>
      <c r="H639" s="8">
        <v>71186</v>
      </c>
      <c r="I639" s="7" t="str">
        <f t="shared" si="103"/>
        <v>oshan.rohan@fi.ron.ba</v>
      </c>
      <c r="J639" s="6" t="s">
        <v>1544</v>
      </c>
      <c r="K639" s="6">
        <v>37</v>
      </c>
      <c r="L639" s="7" t="str">
        <f t="shared" si="104"/>
        <v>fi.ron.ba</v>
      </c>
      <c r="M639" s="7" t="str">
        <f t="shared" si="105"/>
        <v>R.Oshan</v>
      </c>
      <c r="N639" s="6">
        <f t="shared" si="111"/>
        <v>0</v>
      </c>
      <c r="O639" s="6">
        <f t="shared" si="110"/>
        <v>0</v>
      </c>
      <c r="P639" s="6" t="str">
        <f t="shared" si="106"/>
        <v>N</v>
      </c>
      <c r="Q639" s="6">
        <f t="shared" si="107"/>
        <v>10</v>
      </c>
      <c r="R639" s="6" t="str">
        <f t="shared" si="108"/>
        <v>2020</v>
      </c>
      <c r="S639" s="6" t="str">
        <f t="shared" si="109"/>
        <v>Jan</v>
      </c>
    </row>
    <row r="640" spans="1:19" x14ac:dyDescent="0.25">
      <c r="A640" s="6">
        <v>1160</v>
      </c>
      <c r="B640" s="6" t="str">
        <f t="shared" si="101"/>
        <v>NIKFIN01160</v>
      </c>
      <c r="C640" s="7" t="s">
        <v>65</v>
      </c>
      <c r="D640" s="7" t="s">
        <v>55</v>
      </c>
      <c r="E640" s="7" t="str">
        <f t="shared" si="102"/>
        <v>RAHUL SHARMA</v>
      </c>
      <c r="F640" s="7" t="s">
        <v>12</v>
      </c>
      <c r="G640" s="22">
        <v>40968</v>
      </c>
      <c r="H640" s="8">
        <v>29096</v>
      </c>
      <c r="I640" s="7" t="str">
        <f t="shared" si="103"/>
        <v>rahul.sharma@fi.sha.ba</v>
      </c>
      <c r="J640" s="6" t="s">
        <v>1544</v>
      </c>
      <c r="K640" s="6">
        <v>49</v>
      </c>
      <c r="L640" s="7" t="str">
        <f t="shared" si="104"/>
        <v>fi.sha.ba</v>
      </c>
      <c r="M640" s="7" t="str">
        <f t="shared" si="105"/>
        <v>S.Rahul</v>
      </c>
      <c r="N640" s="6">
        <f t="shared" si="111"/>
        <v>0</v>
      </c>
      <c r="O640" s="6">
        <f t="shared" si="110"/>
        <v>0</v>
      </c>
      <c r="P640" s="6" t="str">
        <f t="shared" si="106"/>
        <v>N</v>
      </c>
      <c r="Q640" s="6">
        <f t="shared" si="107"/>
        <v>11</v>
      </c>
      <c r="R640" s="6" t="str">
        <f t="shared" si="108"/>
        <v>2012</v>
      </c>
      <c r="S640" s="6" t="str">
        <f t="shared" si="109"/>
        <v>Feb</v>
      </c>
    </row>
    <row r="641" spans="1:19" x14ac:dyDescent="0.25">
      <c r="A641" s="6">
        <v>1196</v>
      </c>
      <c r="B641" s="6" t="str">
        <f t="shared" si="101"/>
        <v>NIKFIN01196</v>
      </c>
      <c r="C641" s="7" t="s">
        <v>24</v>
      </c>
      <c r="D641" s="7" t="s">
        <v>797</v>
      </c>
      <c r="E641" s="7" t="str">
        <f t="shared" si="102"/>
        <v>RAVI S</v>
      </c>
      <c r="F641" s="7" t="s">
        <v>12</v>
      </c>
      <c r="G641" s="22">
        <v>42628</v>
      </c>
      <c r="H641" s="8">
        <v>25218</v>
      </c>
      <c r="I641" s="7" t="str">
        <f t="shared" si="103"/>
        <v>ravi.s@fi.ss.ba</v>
      </c>
      <c r="J641" s="6" t="s">
        <v>1535</v>
      </c>
      <c r="K641" s="6">
        <v>84</v>
      </c>
      <c r="L641" s="7" t="str">
        <f t="shared" si="104"/>
        <v>fi.ss.ba</v>
      </c>
      <c r="M641" s="7" t="str">
        <f t="shared" si="105"/>
        <v>S.Ravi</v>
      </c>
      <c r="N641" s="6">
        <f t="shared" si="111"/>
        <v>0</v>
      </c>
      <c r="O641" s="6">
        <f t="shared" si="110"/>
        <v>0</v>
      </c>
      <c r="P641" s="6" t="str">
        <f t="shared" si="106"/>
        <v>N</v>
      </c>
      <c r="Q641" s="6">
        <f t="shared" si="107"/>
        <v>5</v>
      </c>
      <c r="R641" s="6" t="str">
        <f t="shared" si="108"/>
        <v>2016</v>
      </c>
      <c r="S641" s="6" t="str">
        <f t="shared" si="109"/>
        <v>Sep</v>
      </c>
    </row>
    <row r="642" spans="1:19" x14ac:dyDescent="0.25">
      <c r="A642" s="6">
        <v>1212</v>
      </c>
      <c r="B642" s="6" t="str">
        <f t="shared" ref="B642:B705" si="112">_xlfn.TEXTJOIN("",TRUE,"NIK",UPPER(LEFT(SUBSTITUTE(SUBSTITUTE(F642," ",""),"&amp;",""),3)),TEXT(A642,"00000"))</f>
        <v>NIKFIN01212</v>
      </c>
      <c r="C642" s="7" t="s">
        <v>1285</v>
      </c>
      <c r="D642" s="7" t="s">
        <v>205</v>
      </c>
      <c r="E642" s="7" t="str">
        <f t="shared" ref="E642:E705" si="113">_xlfn.TEXTJOIN(" ",TRUE,C642,D642)</f>
        <v>VIKKRAMADITYA VERMA</v>
      </c>
      <c r="F642" s="7" t="s">
        <v>12</v>
      </c>
      <c r="G642" s="22">
        <v>41460</v>
      </c>
      <c r="H642" s="8">
        <v>32694</v>
      </c>
      <c r="I642" s="7" t="str">
        <f t="shared" ref="I642:I705" si="114">LOWER(C642&amp;"."&amp;D642&amp;"@"&amp;LEFT(SUBSTITUTE(F642," ",""),2))&amp;LOWER("."&amp;LEFT(D642,2))&amp;LOWER(RIGHT(D642,1))&amp;".ba"</f>
        <v>vikkramaditya.verma@fi.vea.ba</v>
      </c>
      <c r="J642" s="6" t="s">
        <v>1537</v>
      </c>
      <c r="K642" s="6">
        <v>73</v>
      </c>
      <c r="L642" s="7" t="str">
        <f t="shared" ref="L642:L705" si="115">RIGHT(I642,LEN(I642)-FIND("@",I642))</f>
        <v>fi.vea.ba</v>
      </c>
      <c r="M642" s="7" t="str">
        <f t="shared" ref="M642:M705" si="116">UPPER(LEFT(D642,1))&amp;"."&amp;PROPER(C642)</f>
        <v>V.Vikkramaditya</v>
      </c>
      <c r="N642" s="6">
        <f t="shared" si="111"/>
        <v>0</v>
      </c>
      <c r="O642" s="6">
        <f t="shared" si="110"/>
        <v>2</v>
      </c>
      <c r="P642" s="6" t="str">
        <f t="shared" ref="P642:P705" si="117">IF(AND(N642&gt;=1,O642&gt;=1),"Y","N")</f>
        <v>N</v>
      </c>
      <c r="Q642" s="6">
        <f t="shared" ref="Q642:Q705" si="118">LEN(SUBSTITUTE(E642, " ", ""))</f>
        <v>18</v>
      </c>
      <c r="R642" s="6" t="str">
        <f t="shared" ref="R642:R705" si="119">TEXT(G642,"YYYY")</f>
        <v>2013</v>
      </c>
      <c r="S642" s="6" t="str">
        <f t="shared" ref="S642:S705" si="120">TEXT(G642,"MMM")</f>
        <v>Jul</v>
      </c>
    </row>
    <row r="643" spans="1:19" x14ac:dyDescent="0.25">
      <c r="A643" s="6">
        <v>1216</v>
      </c>
      <c r="B643" s="6" t="str">
        <f t="shared" si="112"/>
        <v>NIKFIN01216</v>
      </c>
      <c r="C643" s="7" t="s">
        <v>1288</v>
      </c>
      <c r="D643" s="7" t="s">
        <v>191</v>
      </c>
      <c r="E643" s="7" t="str">
        <f t="shared" si="113"/>
        <v>ANJUL ANIL</v>
      </c>
      <c r="F643" s="7" t="s">
        <v>12</v>
      </c>
      <c r="G643" s="22">
        <v>42754</v>
      </c>
      <c r="H643" s="8">
        <v>107271</v>
      </c>
      <c r="I643" s="7" t="str">
        <f t="shared" si="114"/>
        <v>anjul.anil@fi.anl.ba</v>
      </c>
      <c r="J643" s="6" t="s">
        <v>1532</v>
      </c>
      <c r="K643" s="6">
        <v>78</v>
      </c>
      <c r="L643" s="7" t="str">
        <f t="shared" si="115"/>
        <v>fi.anl.ba</v>
      </c>
      <c r="M643" s="7" t="str">
        <f t="shared" si="116"/>
        <v>A.Anjul</v>
      </c>
      <c r="N643" s="6">
        <f t="shared" si="111"/>
        <v>0</v>
      </c>
      <c r="O643" s="6">
        <f t="shared" si="110"/>
        <v>0</v>
      </c>
      <c r="P643" s="6" t="str">
        <f t="shared" si="117"/>
        <v>N</v>
      </c>
      <c r="Q643" s="6">
        <f t="shared" si="118"/>
        <v>9</v>
      </c>
      <c r="R643" s="6" t="str">
        <f t="shared" si="119"/>
        <v>2017</v>
      </c>
      <c r="S643" s="6" t="str">
        <f t="shared" si="120"/>
        <v>Jan</v>
      </c>
    </row>
    <row r="644" spans="1:19" x14ac:dyDescent="0.25">
      <c r="A644" s="6">
        <v>1222</v>
      </c>
      <c r="B644" s="6" t="str">
        <f t="shared" si="112"/>
        <v>NIKFIN01222</v>
      </c>
      <c r="C644" s="7" t="s">
        <v>1295</v>
      </c>
      <c r="D644" s="7" t="s">
        <v>557</v>
      </c>
      <c r="E644" s="7" t="str">
        <f t="shared" si="113"/>
        <v>ANANYA DUBEY</v>
      </c>
      <c r="F644" s="7" t="s">
        <v>12</v>
      </c>
      <c r="G644" s="22">
        <v>44393</v>
      </c>
      <c r="H644" s="8">
        <v>33947</v>
      </c>
      <c r="I644" s="7" t="str">
        <f t="shared" si="114"/>
        <v>ananya.dubey@fi.duy.ba</v>
      </c>
      <c r="J644" s="6" t="s">
        <v>1543</v>
      </c>
      <c r="K644" s="6">
        <v>41</v>
      </c>
      <c r="L644" s="7" t="str">
        <f t="shared" si="115"/>
        <v>fi.duy.ba</v>
      </c>
      <c r="M644" s="7" t="str">
        <f t="shared" si="116"/>
        <v>D.Ananya</v>
      </c>
      <c r="N644" s="6">
        <f t="shared" si="111"/>
        <v>0</v>
      </c>
      <c r="O644" s="6">
        <f t="shared" si="110"/>
        <v>4</v>
      </c>
      <c r="P644" s="6" t="str">
        <f t="shared" si="117"/>
        <v>N</v>
      </c>
      <c r="Q644" s="6">
        <f t="shared" si="118"/>
        <v>11</v>
      </c>
      <c r="R644" s="6" t="str">
        <f t="shared" si="119"/>
        <v>2021</v>
      </c>
      <c r="S644" s="6" t="str">
        <f t="shared" si="120"/>
        <v>Jul</v>
      </c>
    </row>
    <row r="645" spans="1:19" x14ac:dyDescent="0.25">
      <c r="A645" s="6">
        <v>1223</v>
      </c>
      <c r="B645" s="6" t="str">
        <f t="shared" si="112"/>
        <v>NIKFIN01223</v>
      </c>
      <c r="C645" s="7" t="s">
        <v>320</v>
      </c>
      <c r="D645" s="7" t="s">
        <v>1296</v>
      </c>
      <c r="E645" s="7" t="str">
        <f t="shared" si="113"/>
        <v>VISHAL NILESHKUMAR</v>
      </c>
      <c r="F645" s="7" t="s">
        <v>12</v>
      </c>
      <c r="G645" s="22">
        <v>44655</v>
      </c>
      <c r="H645" s="8">
        <v>73923</v>
      </c>
      <c r="I645" s="7" t="str">
        <f t="shared" si="114"/>
        <v>vishal.nileshkumar@fi.nir.ba</v>
      </c>
      <c r="J645" s="6" t="s">
        <v>1551</v>
      </c>
      <c r="K645" s="6">
        <v>88</v>
      </c>
      <c r="L645" s="7" t="str">
        <f t="shared" si="115"/>
        <v>fi.nir.ba</v>
      </c>
      <c r="M645" s="7" t="str">
        <f t="shared" si="116"/>
        <v>N.Vishal</v>
      </c>
      <c r="N645" s="6">
        <f t="shared" si="111"/>
        <v>0</v>
      </c>
      <c r="O645" s="6">
        <f t="shared" si="110"/>
        <v>4</v>
      </c>
      <c r="P645" s="6" t="str">
        <f t="shared" si="117"/>
        <v>N</v>
      </c>
      <c r="Q645" s="6">
        <f t="shared" si="118"/>
        <v>17</v>
      </c>
      <c r="R645" s="6" t="str">
        <f t="shared" si="119"/>
        <v>2022</v>
      </c>
      <c r="S645" s="6" t="str">
        <f t="shared" si="120"/>
        <v>Apr</v>
      </c>
    </row>
    <row r="646" spans="1:19" x14ac:dyDescent="0.25">
      <c r="A646" s="6">
        <v>1226</v>
      </c>
      <c r="B646" s="6" t="str">
        <f t="shared" si="112"/>
        <v>NIKFIN01226</v>
      </c>
      <c r="C646" s="7" t="s">
        <v>1297</v>
      </c>
      <c r="D646" s="7" t="s">
        <v>1298</v>
      </c>
      <c r="E646" s="7" t="str">
        <f t="shared" si="113"/>
        <v>SHOUNAK UDAY</v>
      </c>
      <c r="F646" s="7" t="s">
        <v>12</v>
      </c>
      <c r="G646" s="22">
        <v>44123</v>
      </c>
      <c r="H646" s="8">
        <v>102062</v>
      </c>
      <c r="I646" s="7" t="str">
        <f t="shared" si="114"/>
        <v>shounak.uday@fi.udy.ba</v>
      </c>
      <c r="J646" s="6" t="s">
        <v>1551</v>
      </c>
      <c r="K646" s="6">
        <v>70</v>
      </c>
      <c r="L646" s="7" t="str">
        <f t="shared" si="115"/>
        <v>fi.udy.ba</v>
      </c>
      <c r="M646" s="7" t="str">
        <f t="shared" si="116"/>
        <v>U.Shounak</v>
      </c>
      <c r="N646" s="6">
        <f t="shared" si="111"/>
        <v>0</v>
      </c>
      <c r="O646" s="6">
        <f t="shared" si="110"/>
        <v>0</v>
      </c>
      <c r="P646" s="6" t="str">
        <f t="shared" si="117"/>
        <v>N</v>
      </c>
      <c r="Q646" s="6">
        <f t="shared" si="118"/>
        <v>11</v>
      </c>
      <c r="R646" s="6" t="str">
        <f t="shared" si="119"/>
        <v>2020</v>
      </c>
      <c r="S646" s="6" t="str">
        <f t="shared" si="120"/>
        <v>Oct</v>
      </c>
    </row>
    <row r="647" spans="1:19" x14ac:dyDescent="0.25">
      <c r="A647" s="6">
        <v>1228</v>
      </c>
      <c r="B647" s="6" t="str">
        <f t="shared" si="112"/>
        <v>NIKFIN01228</v>
      </c>
      <c r="C647" s="7" t="s">
        <v>261</v>
      </c>
      <c r="D647" s="7" t="s">
        <v>142</v>
      </c>
      <c r="E647" s="7" t="str">
        <f t="shared" si="113"/>
        <v>ADITYA RAJ</v>
      </c>
      <c r="F647" s="7" t="s">
        <v>12</v>
      </c>
      <c r="G647" s="22">
        <v>43417</v>
      </c>
      <c r="H647" s="8">
        <v>101128</v>
      </c>
      <c r="I647" s="7" t="str">
        <f t="shared" si="114"/>
        <v>aditya.raj@fi.raj.ba</v>
      </c>
      <c r="J647" s="6" t="s">
        <v>1532</v>
      </c>
      <c r="K647" s="6">
        <v>86</v>
      </c>
      <c r="L647" s="7" t="str">
        <f t="shared" si="115"/>
        <v>fi.raj.ba</v>
      </c>
      <c r="M647" s="7" t="str">
        <f t="shared" si="116"/>
        <v>R.Aditya</v>
      </c>
      <c r="N647" s="6">
        <f t="shared" si="111"/>
        <v>0</v>
      </c>
      <c r="O647" s="6">
        <f t="shared" si="110"/>
        <v>0</v>
      </c>
      <c r="P647" s="6" t="str">
        <f t="shared" si="117"/>
        <v>N</v>
      </c>
      <c r="Q647" s="6">
        <f t="shared" si="118"/>
        <v>9</v>
      </c>
      <c r="R647" s="6" t="str">
        <f t="shared" si="119"/>
        <v>2018</v>
      </c>
      <c r="S647" s="6" t="str">
        <f t="shared" si="120"/>
        <v>Nov</v>
      </c>
    </row>
    <row r="648" spans="1:19" x14ac:dyDescent="0.25">
      <c r="A648" s="6">
        <v>1232</v>
      </c>
      <c r="B648" s="6" t="str">
        <f t="shared" si="112"/>
        <v>NIKFIN01232</v>
      </c>
      <c r="C648" s="7" t="s">
        <v>203</v>
      </c>
      <c r="D648" s="7" t="s">
        <v>1304</v>
      </c>
      <c r="E648" s="7" t="str">
        <f t="shared" si="113"/>
        <v>KALE DARSHAN</v>
      </c>
      <c r="F648" s="7" t="s">
        <v>12</v>
      </c>
      <c r="G648" s="22">
        <v>44510</v>
      </c>
      <c r="H648" s="8">
        <v>106368</v>
      </c>
      <c r="I648" s="7" t="str">
        <f t="shared" si="114"/>
        <v>kale.darshan@fi.dan.ba</v>
      </c>
      <c r="J648" s="6" t="s">
        <v>1544</v>
      </c>
      <c r="K648" s="6">
        <v>63</v>
      </c>
      <c r="L648" s="7" t="str">
        <f t="shared" si="115"/>
        <v>fi.dan.ba</v>
      </c>
      <c r="M648" s="7" t="str">
        <f t="shared" si="116"/>
        <v>D.Kale</v>
      </c>
      <c r="N648" s="6">
        <f t="shared" si="111"/>
        <v>4</v>
      </c>
      <c r="O648" s="6">
        <f t="shared" si="110"/>
        <v>0</v>
      </c>
      <c r="P648" s="6" t="str">
        <f t="shared" si="117"/>
        <v>N</v>
      </c>
      <c r="Q648" s="6">
        <f t="shared" si="118"/>
        <v>11</v>
      </c>
      <c r="R648" s="6" t="str">
        <f t="shared" si="119"/>
        <v>2021</v>
      </c>
      <c r="S648" s="6" t="str">
        <f t="shared" si="120"/>
        <v>Nov</v>
      </c>
    </row>
    <row r="649" spans="1:19" x14ac:dyDescent="0.25">
      <c r="A649" s="6">
        <v>1254</v>
      </c>
      <c r="B649" s="6" t="str">
        <f t="shared" si="112"/>
        <v>NIKFIN01254</v>
      </c>
      <c r="C649" s="7" t="s">
        <v>889</v>
      </c>
      <c r="D649" s="7" t="s">
        <v>1321</v>
      </c>
      <c r="E649" s="7" t="str">
        <f t="shared" si="113"/>
        <v>PURNIMA MANDAL</v>
      </c>
      <c r="F649" s="7" t="s">
        <v>12</v>
      </c>
      <c r="G649" s="22">
        <v>44580</v>
      </c>
      <c r="H649" s="8">
        <v>70481</v>
      </c>
      <c r="I649" s="7" t="str">
        <f t="shared" si="114"/>
        <v>purnima.mandal@fi.mal.ba</v>
      </c>
      <c r="J649" s="6" t="s">
        <v>1533</v>
      </c>
      <c r="K649" s="6">
        <v>42</v>
      </c>
      <c r="L649" s="7" t="str">
        <f t="shared" si="115"/>
        <v>fi.mal.ba</v>
      </c>
      <c r="M649" s="7" t="str">
        <f t="shared" si="116"/>
        <v>M.Purnima</v>
      </c>
      <c r="N649" s="6">
        <f t="shared" si="111"/>
        <v>0</v>
      </c>
      <c r="O649" s="6">
        <f t="shared" si="110"/>
        <v>0</v>
      </c>
      <c r="P649" s="6" t="str">
        <f t="shared" si="117"/>
        <v>N</v>
      </c>
      <c r="Q649" s="6">
        <f t="shared" si="118"/>
        <v>13</v>
      </c>
      <c r="R649" s="6" t="str">
        <f t="shared" si="119"/>
        <v>2022</v>
      </c>
      <c r="S649" s="6" t="str">
        <f t="shared" si="120"/>
        <v>Jan</v>
      </c>
    </row>
    <row r="650" spans="1:19" x14ac:dyDescent="0.25">
      <c r="A650" s="6">
        <v>1256</v>
      </c>
      <c r="B650" s="6" t="str">
        <f t="shared" si="112"/>
        <v>NIKFIN01256</v>
      </c>
      <c r="C650" s="7" t="s">
        <v>112</v>
      </c>
      <c r="D650" s="7" t="s">
        <v>476</v>
      </c>
      <c r="E650" s="7" t="str">
        <f t="shared" si="113"/>
        <v>NISHANT DWIVEDI</v>
      </c>
      <c r="F650" s="7" t="s">
        <v>12</v>
      </c>
      <c r="G650" s="22">
        <v>42563</v>
      </c>
      <c r="H650" s="8">
        <v>91727</v>
      </c>
      <c r="I650" s="7" t="str">
        <f t="shared" si="114"/>
        <v>nishant.dwivedi@fi.dwi.ba</v>
      </c>
      <c r="J650" s="6" t="s">
        <v>1547</v>
      </c>
      <c r="K650" s="6">
        <v>56</v>
      </c>
      <c r="L650" s="7" t="str">
        <f t="shared" si="115"/>
        <v>fi.dwi.ba</v>
      </c>
      <c r="M650" s="7" t="str">
        <f t="shared" si="116"/>
        <v>D.Nishant</v>
      </c>
      <c r="N650" s="6">
        <f t="shared" si="111"/>
        <v>0</v>
      </c>
      <c r="O650" s="6">
        <f t="shared" si="110"/>
        <v>5</v>
      </c>
      <c r="P650" s="6" t="str">
        <f t="shared" si="117"/>
        <v>N</v>
      </c>
      <c r="Q650" s="6">
        <f t="shared" si="118"/>
        <v>14</v>
      </c>
      <c r="R650" s="6" t="str">
        <f t="shared" si="119"/>
        <v>2016</v>
      </c>
      <c r="S650" s="6" t="str">
        <f t="shared" si="120"/>
        <v>Jul</v>
      </c>
    </row>
    <row r="651" spans="1:19" x14ac:dyDescent="0.25">
      <c r="A651" s="6">
        <v>1257</v>
      </c>
      <c r="B651" s="6" t="str">
        <f t="shared" si="112"/>
        <v>NIKFIN01257</v>
      </c>
      <c r="C651" s="7" t="s">
        <v>146</v>
      </c>
      <c r="D651" s="7" t="s">
        <v>1323</v>
      </c>
      <c r="E651" s="7" t="str">
        <f t="shared" si="113"/>
        <v>ANKIT SINGHI</v>
      </c>
      <c r="F651" s="7" t="s">
        <v>12</v>
      </c>
      <c r="G651" s="22">
        <v>44630</v>
      </c>
      <c r="H651" s="8">
        <v>66612</v>
      </c>
      <c r="I651" s="7" t="str">
        <f t="shared" si="114"/>
        <v>ankit.singhi@fi.sii.ba</v>
      </c>
      <c r="J651" s="6" t="s">
        <v>1533</v>
      </c>
      <c r="K651" s="6">
        <v>42</v>
      </c>
      <c r="L651" s="7" t="str">
        <f t="shared" si="115"/>
        <v>fi.sii.ba</v>
      </c>
      <c r="M651" s="7" t="str">
        <f t="shared" si="116"/>
        <v>S.Ankit</v>
      </c>
      <c r="N651" s="6">
        <f t="shared" si="111"/>
        <v>0</v>
      </c>
      <c r="O651" s="6">
        <f t="shared" si="110"/>
        <v>0</v>
      </c>
      <c r="P651" s="6" t="str">
        <f t="shared" si="117"/>
        <v>N</v>
      </c>
      <c r="Q651" s="6">
        <f t="shared" si="118"/>
        <v>11</v>
      </c>
      <c r="R651" s="6" t="str">
        <f t="shared" si="119"/>
        <v>2022</v>
      </c>
      <c r="S651" s="6" t="str">
        <f t="shared" si="120"/>
        <v>Mar</v>
      </c>
    </row>
    <row r="652" spans="1:19" x14ac:dyDescent="0.25">
      <c r="A652" s="6">
        <v>1264</v>
      </c>
      <c r="B652" s="6" t="str">
        <f t="shared" si="112"/>
        <v>NIKFIN01264</v>
      </c>
      <c r="C652" s="7" t="s">
        <v>1330</v>
      </c>
      <c r="D652" s="7" t="s">
        <v>205</v>
      </c>
      <c r="E652" s="7" t="str">
        <f t="shared" si="113"/>
        <v>KHOOBCHAND VERMA</v>
      </c>
      <c r="F652" s="7" t="s">
        <v>12</v>
      </c>
      <c r="G652" s="22">
        <v>43206</v>
      </c>
      <c r="H652" s="8">
        <v>50026</v>
      </c>
      <c r="I652" s="7" t="str">
        <f t="shared" si="114"/>
        <v>khoobchand.verma@fi.vea.ba</v>
      </c>
      <c r="J652" s="6" t="s">
        <v>1537</v>
      </c>
      <c r="K652" s="6">
        <v>81</v>
      </c>
      <c r="L652" s="7" t="str">
        <f t="shared" si="115"/>
        <v>fi.vea.ba</v>
      </c>
      <c r="M652" s="7" t="str">
        <f t="shared" si="116"/>
        <v>V.Khoobchand</v>
      </c>
      <c r="N652" s="6">
        <f t="shared" si="111"/>
        <v>0</v>
      </c>
      <c r="O652" s="6">
        <f t="shared" si="110"/>
        <v>2</v>
      </c>
      <c r="P652" s="6" t="str">
        <f t="shared" si="117"/>
        <v>N</v>
      </c>
      <c r="Q652" s="6">
        <f t="shared" si="118"/>
        <v>15</v>
      </c>
      <c r="R652" s="6" t="str">
        <f t="shared" si="119"/>
        <v>2018</v>
      </c>
      <c r="S652" s="6" t="str">
        <f t="shared" si="120"/>
        <v>Apr</v>
      </c>
    </row>
    <row r="653" spans="1:19" x14ac:dyDescent="0.25">
      <c r="A653" s="6">
        <v>1269</v>
      </c>
      <c r="B653" s="6" t="str">
        <f t="shared" si="112"/>
        <v>NIKFIN01269</v>
      </c>
      <c r="C653" s="7" t="s">
        <v>845</v>
      </c>
      <c r="D653" s="7" t="s">
        <v>1335</v>
      </c>
      <c r="E653" s="7" t="str">
        <f t="shared" si="113"/>
        <v>VASIM JAHIDBHAI</v>
      </c>
      <c r="F653" s="7" t="s">
        <v>12</v>
      </c>
      <c r="G653" s="22">
        <v>43535</v>
      </c>
      <c r="H653" s="8">
        <v>76078</v>
      </c>
      <c r="I653" s="7" t="str">
        <f t="shared" si="114"/>
        <v>vasim.jahidbhai@fi.jai.ba</v>
      </c>
      <c r="J653" s="6" t="s">
        <v>1547</v>
      </c>
      <c r="K653" s="6">
        <v>77</v>
      </c>
      <c r="L653" s="7" t="str">
        <f t="shared" si="115"/>
        <v>fi.jai.ba</v>
      </c>
      <c r="M653" s="7" t="str">
        <f t="shared" si="116"/>
        <v>J.Vasim</v>
      </c>
      <c r="N653" s="6">
        <f t="shared" si="111"/>
        <v>0</v>
      </c>
      <c r="O653" s="6">
        <f t="shared" si="110"/>
        <v>0</v>
      </c>
      <c r="P653" s="6" t="str">
        <f t="shared" si="117"/>
        <v>N</v>
      </c>
      <c r="Q653" s="6">
        <f t="shared" si="118"/>
        <v>14</v>
      </c>
      <c r="R653" s="6" t="str">
        <f t="shared" si="119"/>
        <v>2019</v>
      </c>
      <c r="S653" s="6" t="str">
        <f t="shared" si="120"/>
        <v>Mar</v>
      </c>
    </row>
    <row r="654" spans="1:19" x14ac:dyDescent="0.25">
      <c r="A654" s="6">
        <v>1278</v>
      </c>
      <c r="B654" s="6" t="str">
        <f t="shared" si="112"/>
        <v>NIKFIN01278</v>
      </c>
      <c r="C654" s="7" t="s">
        <v>550</v>
      </c>
      <c r="D654" s="7" t="s">
        <v>68</v>
      </c>
      <c r="E654" s="7" t="str">
        <f t="shared" si="113"/>
        <v>PRAMOD KUMAR</v>
      </c>
      <c r="F654" s="7" t="s">
        <v>12</v>
      </c>
      <c r="G654" s="22">
        <v>42935</v>
      </c>
      <c r="H654" s="8">
        <v>65709</v>
      </c>
      <c r="I654" s="7" t="str">
        <f t="shared" si="114"/>
        <v>pramod.kumar@fi.kur.ba</v>
      </c>
      <c r="J654" s="6" t="s">
        <v>1547</v>
      </c>
      <c r="K654" s="6">
        <v>73</v>
      </c>
      <c r="L654" s="7" t="str">
        <f t="shared" si="115"/>
        <v>fi.kur.ba</v>
      </c>
      <c r="M654" s="7" t="str">
        <f t="shared" si="116"/>
        <v>K.Pramod</v>
      </c>
      <c r="N654" s="6">
        <f t="shared" si="111"/>
        <v>0</v>
      </c>
      <c r="O654" s="6">
        <f t="shared" si="110"/>
        <v>0</v>
      </c>
      <c r="P654" s="6" t="str">
        <f t="shared" si="117"/>
        <v>N</v>
      </c>
      <c r="Q654" s="6">
        <f t="shared" si="118"/>
        <v>11</v>
      </c>
      <c r="R654" s="6" t="str">
        <f t="shared" si="119"/>
        <v>2017</v>
      </c>
      <c r="S654" s="6" t="str">
        <f t="shared" si="120"/>
        <v>Jul</v>
      </c>
    </row>
    <row r="655" spans="1:19" x14ac:dyDescent="0.25">
      <c r="A655" s="6">
        <v>1282</v>
      </c>
      <c r="B655" s="6" t="str">
        <f t="shared" si="112"/>
        <v>NIKFIN01282</v>
      </c>
      <c r="C655" s="7" t="s">
        <v>1345</v>
      </c>
      <c r="D655" s="7" t="s">
        <v>1140</v>
      </c>
      <c r="E655" s="7" t="str">
        <f t="shared" si="113"/>
        <v>SHALEEN CHANDRA</v>
      </c>
      <c r="F655" s="7" t="s">
        <v>12</v>
      </c>
      <c r="G655" s="22">
        <v>44634</v>
      </c>
      <c r="H655" s="8">
        <v>59294</v>
      </c>
      <c r="I655" s="7" t="str">
        <f t="shared" si="114"/>
        <v>shaleen.chandra@fi.cha.ba</v>
      </c>
      <c r="J655" s="6" t="s">
        <v>1545</v>
      </c>
      <c r="K655" s="6">
        <v>82</v>
      </c>
      <c r="L655" s="7" t="str">
        <f t="shared" si="115"/>
        <v>fi.cha.ba</v>
      </c>
      <c r="M655" s="7" t="str">
        <f t="shared" si="116"/>
        <v>C.Shaleen</v>
      </c>
      <c r="N655" s="6">
        <f t="shared" si="111"/>
        <v>5</v>
      </c>
      <c r="O655" s="6">
        <f t="shared" si="110"/>
        <v>0</v>
      </c>
      <c r="P655" s="6" t="str">
        <f t="shared" si="117"/>
        <v>N</v>
      </c>
      <c r="Q655" s="6">
        <f t="shared" si="118"/>
        <v>14</v>
      </c>
      <c r="R655" s="6" t="str">
        <f t="shared" si="119"/>
        <v>2022</v>
      </c>
      <c r="S655" s="6" t="str">
        <f t="shared" si="120"/>
        <v>Mar</v>
      </c>
    </row>
    <row r="656" spans="1:19" x14ac:dyDescent="0.25">
      <c r="A656" s="6">
        <v>1292</v>
      </c>
      <c r="B656" s="6" t="str">
        <f t="shared" si="112"/>
        <v>NIKFIN01292</v>
      </c>
      <c r="C656" s="7" t="s">
        <v>1129</v>
      </c>
      <c r="D656" s="7" t="s">
        <v>1130</v>
      </c>
      <c r="E656" s="7" t="str">
        <f t="shared" si="113"/>
        <v>MURLIDHAR KHANDAL</v>
      </c>
      <c r="F656" s="7" t="s">
        <v>12</v>
      </c>
      <c r="G656" s="22">
        <v>44805</v>
      </c>
      <c r="H656" s="8">
        <v>89296</v>
      </c>
      <c r="I656" s="7" t="str">
        <f t="shared" si="114"/>
        <v>murlidhar.khandal@fi.khl.ba</v>
      </c>
      <c r="J656" s="6" t="s">
        <v>1540</v>
      </c>
      <c r="K656" s="6">
        <v>52</v>
      </c>
      <c r="L656" s="7" t="str">
        <f t="shared" si="115"/>
        <v>fi.khl.ba</v>
      </c>
      <c r="M656" s="7" t="str">
        <f t="shared" si="116"/>
        <v>K.Murlidhar</v>
      </c>
      <c r="N656" s="6">
        <f t="shared" si="111"/>
        <v>0</v>
      </c>
      <c r="O656" s="6">
        <f t="shared" si="110"/>
        <v>0</v>
      </c>
      <c r="P656" s="6" t="str">
        <f t="shared" si="117"/>
        <v>N</v>
      </c>
      <c r="Q656" s="6">
        <f t="shared" si="118"/>
        <v>16</v>
      </c>
      <c r="R656" s="6" t="str">
        <f t="shared" si="119"/>
        <v>2022</v>
      </c>
      <c r="S656" s="6" t="str">
        <f t="shared" si="120"/>
        <v>Sep</v>
      </c>
    </row>
    <row r="657" spans="1:19" x14ac:dyDescent="0.25">
      <c r="A657" s="6">
        <v>1328</v>
      </c>
      <c r="B657" s="6" t="str">
        <f t="shared" si="112"/>
        <v>NIKFIN01328</v>
      </c>
      <c r="C657" s="7" t="s">
        <v>1373</v>
      </c>
      <c r="D657" s="7" t="s">
        <v>1251</v>
      </c>
      <c r="E657" s="7" t="str">
        <f t="shared" si="113"/>
        <v>SAMNEET GULATI</v>
      </c>
      <c r="F657" s="7" t="s">
        <v>12</v>
      </c>
      <c r="G657" s="22">
        <v>44476</v>
      </c>
      <c r="H657" s="8">
        <v>74485</v>
      </c>
      <c r="I657" s="7" t="str">
        <f t="shared" si="114"/>
        <v>samneet.gulati@fi.gui.ba</v>
      </c>
      <c r="J657" s="6" t="s">
        <v>1547</v>
      </c>
      <c r="K657" s="6">
        <v>80</v>
      </c>
      <c r="L657" s="7" t="str">
        <f t="shared" si="115"/>
        <v>fi.gui.ba</v>
      </c>
      <c r="M657" s="7" t="str">
        <f t="shared" si="116"/>
        <v>G.Samneet</v>
      </c>
      <c r="N657" s="6">
        <f t="shared" si="111"/>
        <v>5</v>
      </c>
      <c r="O657" s="6">
        <f t="shared" si="110"/>
        <v>0</v>
      </c>
      <c r="P657" s="6" t="str">
        <f t="shared" si="117"/>
        <v>N</v>
      </c>
      <c r="Q657" s="6">
        <f t="shared" si="118"/>
        <v>13</v>
      </c>
      <c r="R657" s="6" t="str">
        <f t="shared" si="119"/>
        <v>2021</v>
      </c>
      <c r="S657" s="6" t="str">
        <f t="shared" si="120"/>
        <v>Oct</v>
      </c>
    </row>
    <row r="658" spans="1:19" x14ac:dyDescent="0.25">
      <c r="A658" s="6">
        <v>1329</v>
      </c>
      <c r="B658" s="6" t="str">
        <f t="shared" si="112"/>
        <v>NIKFIN01329</v>
      </c>
      <c r="C658" s="7" t="s">
        <v>423</v>
      </c>
      <c r="D658" s="7" t="s">
        <v>424</v>
      </c>
      <c r="E658" s="7" t="str">
        <f t="shared" si="113"/>
        <v>SIDDHESH VILAS</v>
      </c>
      <c r="F658" s="7" t="s">
        <v>12</v>
      </c>
      <c r="G658" s="22">
        <v>44866</v>
      </c>
      <c r="H658" s="8">
        <v>51230</v>
      </c>
      <c r="I658" s="7" t="str">
        <f t="shared" si="114"/>
        <v>siddhesh.vilas@fi.vis.ba</v>
      </c>
      <c r="J658" s="6" t="s">
        <v>1536</v>
      </c>
      <c r="K658" s="6">
        <v>77</v>
      </c>
      <c r="L658" s="7" t="str">
        <f t="shared" si="115"/>
        <v>fi.vis.ba</v>
      </c>
      <c r="M658" s="7" t="str">
        <f t="shared" si="116"/>
        <v>V.Siddhesh</v>
      </c>
      <c r="N658" s="6">
        <f t="shared" si="111"/>
        <v>6</v>
      </c>
      <c r="O658" s="6">
        <f t="shared" si="110"/>
        <v>0</v>
      </c>
      <c r="P658" s="6" t="str">
        <f t="shared" si="117"/>
        <v>N</v>
      </c>
      <c r="Q658" s="6">
        <f t="shared" si="118"/>
        <v>13</v>
      </c>
      <c r="R658" s="6" t="str">
        <f t="shared" si="119"/>
        <v>2022</v>
      </c>
      <c r="S658" s="6" t="str">
        <f t="shared" si="120"/>
        <v>Nov</v>
      </c>
    </row>
    <row r="659" spans="1:19" x14ac:dyDescent="0.25">
      <c r="A659" s="6">
        <v>1332</v>
      </c>
      <c r="B659" s="6" t="str">
        <f t="shared" si="112"/>
        <v>NIKFIN01332</v>
      </c>
      <c r="C659" s="7" t="s">
        <v>1375</v>
      </c>
      <c r="D659" s="7" t="s">
        <v>1376</v>
      </c>
      <c r="E659" s="7" t="str">
        <f t="shared" si="113"/>
        <v>DIXITA DIPAKBHAI</v>
      </c>
      <c r="F659" s="7" t="s">
        <v>12</v>
      </c>
      <c r="G659" s="22">
        <v>45017</v>
      </c>
      <c r="H659" s="8">
        <v>102108</v>
      </c>
      <c r="I659" s="7" t="str">
        <f t="shared" si="114"/>
        <v>dixita.dipakbhai@fi.dii.ba</v>
      </c>
      <c r="J659" s="6" t="s">
        <v>1545</v>
      </c>
      <c r="K659" s="6">
        <v>85</v>
      </c>
      <c r="L659" s="7" t="str">
        <f t="shared" si="115"/>
        <v>fi.dii.ba</v>
      </c>
      <c r="M659" s="7" t="str">
        <f t="shared" si="116"/>
        <v>D.Dixita</v>
      </c>
      <c r="N659" s="6">
        <f t="shared" si="111"/>
        <v>0</v>
      </c>
      <c r="O659" s="6">
        <f t="shared" si="110"/>
        <v>0</v>
      </c>
      <c r="P659" s="6" t="str">
        <f t="shared" si="117"/>
        <v>N</v>
      </c>
      <c r="Q659" s="6">
        <f t="shared" si="118"/>
        <v>15</v>
      </c>
      <c r="R659" s="6" t="str">
        <f t="shared" si="119"/>
        <v>2023</v>
      </c>
      <c r="S659" s="6" t="str">
        <f t="shared" si="120"/>
        <v>Apr</v>
      </c>
    </row>
    <row r="660" spans="1:19" x14ac:dyDescent="0.25">
      <c r="A660" s="6">
        <v>1337</v>
      </c>
      <c r="B660" s="6" t="str">
        <f t="shared" si="112"/>
        <v>NIKFIN01337</v>
      </c>
      <c r="C660" s="7" t="s">
        <v>1380</v>
      </c>
      <c r="D660" s="7" t="s">
        <v>1381</v>
      </c>
      <c r="E660" s="7" t="str">
        <f t="shared" si="113"/>
        <v>MANAS SANDIP</v>
      </c>
      <c r="F660" s="7" t="s">
        <v>12</v>
      </c>
      <c r="G660" s="22">
        <v>44942</v>
      </c>
      <c r="H660" s="8">
        <v>85760</v>
      </c>
      <c r="I660" s="7" t="str">
        <f t="shared" si="114"/>
        <v>manas.sandip@fi.sap.ba</v>
      </c>
      <c r="J660" s="6" t="s">
        <v>1549</v>
      </c>
      <c r="K660" s="6">
        <v>68</v>
      </c>
      <c r="L660" s="7" t="str">
        <f t="shared" si="115"/>
        <v>fi.sap.ba</v>
      </c>
      <c r="M660" s="7" t="str">
        <f t="shared" si="116"/>
        <v>S.Manas</v>
      </c>
      <c r="N660" s="6">
        <f t="shared" si="111"/>
        <v>0</v>
      </c>
      <c r="O660" s="6">
        <f t="shared" si="110"/>
        <v>0</v>
      </c>
      <c r="P660" s="6" t="str">
        <f t="shared" si="117"/>
        <v>N</v>
      </c>
      <c r="Q660" s="6">
        <f t="shared" si="118"/>
        <v>11</v>
      </c>
      <c r="R660" s="6" t="str">
        <f t="shared" si="119"/>
        <v>2023</v>
      </c>
      <c r="S660" s="6" t="str">
        <f t="shared" si="120"/>
        <v>Jan</v>
      </c>
    </row>
    <row r="661" spans="1:19" x14ac:dyDescent="0.25">
      <c r="A661" s="6">
        <v>1338</v>
      </c>
      <c r="B661" s="6" t="str">
        <f t="shared" si="112"/>
        <v>NIKFIN01338</v>
      </c>
      <c r="C661" s="7" t="s">
        <v>37</v>
      </c>
      <c r="D661" s="7"/>
      <c r="E661" s="7" t="str">
        <f t="shared" si="113"/>
        <v>SOURABH</v>
      </c>
      <c r="F661" s="7" t="s">
        <v>12</v>
      </c>
      <c r="G661" s="22">
        <v>44905</v>
      </c>
      <c r="H661" s="8">
        <v>67593</v>
      </c>
      <c r="I661" s="7" t="str">
        <f t="shared" si="114"/>
        <v>sourabh.@fi..ba</v>
      </c>
      <c r="J661" s="6" t="s">
        <v>1548</v>
      </c>
      <c r="K661" s="6">
        <v>87</v>
      </c>
      <c r="L661" s="7" t="str">
        <f t="shared" si="115"/>
        <v>fi..ba</v>
      </c>
      <c r="M661" s="7" t="str">
        <f t="shared" si="116"/>
        <v>.Sourabh</v>
      </c>
      <c r="N661" s="6">
        <f t="shared" si="111"/>
        <v>0</v>
      </c>
      <c r="O661" s="6">
        <f t="shared" si="110"/>
        <v>0</v>
      </c>
      <c r="P661" s="6" t="str">
        <f t="shared" si="117"/>
        <v>N</v>
      </c>
      <c r="Q661" s="6">
        <f t="shared" si="118"/>
        <v>7</v>
      </c>
      <c r="R661" s="6" t="str">
        <f t="shared" si="119"/>
        <v>2022</v>
      </c>
      <c r="S661" s="6" t="str">
        <f t="shared" si="120"/>
        <v>Dec</v>
      </c>
    </row>
    <row r="662" spans="1:19" x14ac:dyDescent="0.25">
      <c r="A662" s="6">
        <v>1341</v>
      </c>
      <c r="B662" s="6" t="str">
        <f t="shared" si="112"/>
        <v>NIKFIN01341</v>
      </c>
      <c r="C662" s="7" t="s">
        <v>82</v>
      </c>
      <c r="D662" s="7" t="s">
        <v>70</v>
      </c>
      <c r="E662" s="7" t="str">
        <f t="shared" si="113"/>
        <v>VIRENDER SINGH</v>
      </c>
      <c r="F662" s="7" t="s">
        <v>12</v>
      </c>
      <c r="G662" s="22">
        <v>43388</v>
      </c>
      <c r="H662" s="8">
        <v>44936</v>
      </c>
      <c r="I662" s="7" t="str">
        <f t="shared" si="114"/>
        <v>virender.singh@fi.sih.ba</v>
      </c>
      <c r="J662" s="6" t="s">
        <v>1547</v>
      </c>
      <c r="K662" s="6">
        <v>68</v>
      </c>
      <c r="L662" s="7" t="str">
        <f t="shared" si="115"/>
        <v>fi.sih.ba</v>
      </c>
      <c r="M662" s="7" t="str">
        <f t="shared" si="116"/>
        <v>S.Virender</v>
      </c>
      <c r="N662" s="6">
        <f t="shared" si="111"/>
        <v>4</v>
      </c>
      <c r="O662" s="6">
        <f t="shared" si="110"/>
        <v>0</v>
      </c>
      <c r="P662" s="6" t="str">
        <f t="shared" si="117"/>
        <v>N</v>
      </c>
      <c r="Q662" s="6">
        <f t="shared" si="118"/>
        <v>13</v>
      </c>
      <c r="R662" s="6" t="str">
        <f t="shared" si="119"/>
        <v>2018</v>
      </c>
      <c r="S662" s="6" t="str">
        <f t="shared" si="120"/>
        <v>Oct</v>
      </c>
    </row>
    <row r="663" spans="1:19" x14ac:dyDescent="0.25">
      <c r="A663" s="6">
        <v>1349</v>
      </c>
      <c r="B663" s="6" t="str">
        <f t="shared" si="112"/>
        <v>NIKFIN01349</v>
      </c>
      <c r="C663" s="7" t="s">
        <v>1392</v>
      </c>
      <c r="D663" s="7" t="s">
        <v>1393</v>
      </c>
      <c r="E663" s="7" t="str">
        <f t="shared" si="113"/>
        <v>AKRUTI JAISINGH</v>
      </c>
      <c r="F663" s="7" t="s">
        <v>12</v>
      </c>
      <c r="G663" s="22">
        <v>44699</v>
      </c>
      <c r="H663" s="8">
        <v>58080</v>
      </c>
      <c r="I663" s="7" t="str">
        <f t="shared" si="114"/>
        <v>akruti.jaisingh@fi.jah.ba</v>
      </c>
      <c r="J663" s="6" t="s">
        <v>1534</v>
      </c>
      <c r="K663" s="6">
        <v>73</v>
      </c>
      <c r="L663" s="7" t="str">
        <f t="shared" si="115"/>
        <v>fi.jah.ba</v>
      </c>
      <c r="M663" s="7" t="str">
        <f t="shared" si="116"/>
        <v>J.Akruti</v>
      </c>
      <c r="N663" s="6">
        <f t="shared" si="111"/>
        <v>0</v>
      </c>
      <c r="O663" s="6">
        <f t="shared" si="110"/>
        <v>0</v>
      </c>
      <c r="P663" s="6" t="str">
        <f t="shared" si="117"/>
        <v>N</v>
      </c>
      <c r="Q663" s="6">
        <f t="shared" si="118"/>
        <v>14</v>
      </c>
      <c r="R663" s="6" t="str">
        <f t="shared" si="119"/>
        <v>2022</v>
      </c>
      <c r="S663" s="6" t="str">
        <f t="shared" si="120"/>
        <v>May</v>
      </c>
    </row>
    <row r="664" spans="1:19" x14ac:dyDescent="0.25">
      <c r="A664" s="6">
        <v>1351</v>
      </c>
      <c r="B664" s="6" t="str">
        <f t="shared" si="112"/>
        <v>NIKFIN01351</v>
      </c>
      <c r="C664" s="7" t="s">
        <v>307</v>
      </c>
      <c r="D664" s="7" t="s">
        <v>71</v>
      </c>
      <c r="E664" s="7" t="str">
        <f t="shared" si="113"/>
        <v>HEMANT ARUN</v>
      </c>
      <c r="F664" s="7" t="s">
        <v>12</v>
      </c>
      <c r="G664" s="22">
        <v>44210</v>
      </c>
      <c r="H664" s="8">
        <v>41263</v>
      </c>
      <c r="I664" s="7" t="str">
        <f t="shared" si="114"/>
        <v>hemant.arun@fi.arn.ba</v>
      </c>
      <c r="J664" s="6" t="s">
        <v>1545</v>
      </c>
      <c r="K664" s="6">
        <v>42</v>
      </c>
      <c r="L664" s="7" t="str">
        <f t="shared" si="115"/>
        <v>fi.arn.ba</v>
      </c>
      <c r="M664" s="7" t="str">
        <f t="shared" si="116"/>
        <v>A.Hemant</v>
      </c>
      <c r="N664" s="6">
        <f t="shared" si="111"/>
        <v>2</v>
      </c>
      <c r="O664" s="6">
        <f t="shared" si="110"/>
        <v>0</v>
      </c>
      <c r="P664" s="6" t="str">
        <f t="shared" si="117"/>
        <v>N</v>
      </c>
      <c r="Q664" s="6">
        <f t="shared" si="118"/>
        <v>10</v>
      </c>
      <c r="R664" s="6" t="str">
        <f t="shared" si="119"/>
        <v>2021</v>
      </c>
      <c r="S664" s="6" t="str">
        <f t="shared" si="120"/>
        <v>Jan</v>
      </c>
    </row>
    <row r="665" spans="1:19" x14ac:dyDescent="0.25">
      <c r="A665" s="6">
        <v>1352</v>
      </c>
      <c r="B665" s="6" t="str">
        <f t="shared" si="112"/>
        <v>NIKFIN01352</v>
      </c>
      <c r="C665" s="7" t="s">
        <v>1394</v>
      </c>
      <c r="D665" s="7" t="s">
        <v>1395</v>
      </c>
      <c r="E665" s="7" t="str">
        <f t="shared" si="113"/>
        <v>Akash Sambhaji</v>
      </c>
      <c r="F665" s="7" t="s">
        <v>12</v>
      </c>
      <c r="G665" s="22">
        <v>45017</v>
      </c>
      <c r="H665" s="8">
        <v>59892</v>
      </c>
      <c r="I665" s="7" t="str">
        <f t="shared" si="114"/>
        <v>akash.sambhaji@fi.sai.ba</v>
      </c>
      <c r="J665" s="6" t="s">
        <v>1537</v>
      </c>
      <c r="K665" s="6">
        <v>67</v>
      </c>
      <c r="L665" s="7" t="str">
        <f t="shared" si="115"/>
        <v>fi.sai.ba</v>
      </c>
      <c r="M665" s="7" t="str">
        <f t="shared" si="116"/>
        <v>S.Akash</v>
      </c>
      <c r="N665" s="6">
        <f t="shared" si="111"/>
        <v>0</v>
      </c>
      <c r="O665" s="6">
        <f t="shared" si="110"/>
        <v>0</v>
      </c>
      <c r="P665" s="6" t="str">
        <f t="shared" si="117"/>
        <v>N</v>
      </c>
      <c r="Q665" s="6">
        <f t="shared" si="118"/>
        <v>13</v>
      </c>
      <c r="R665" s="6" t="str">
        <f t="shared" si="119"/>
        <v>2023</v>
      </c>
      <c r="S665" s="6" t="str">
        <f t="shared" si="120"/>
        <v>Apr</v>
      </c>
    </row>
    <row r="666" spans="1:19" x14ac:dyDescent="0.25">
      <c r="A666" s="6">
        <v>1359</v>
      </c>
      <c r="B666" s="6" t="str">
        <f t="shared" si="112"/>
        <v>NIKFIN01359</v>
      </c>
      <c r="C666" s="7" t="s">
        <v>1401</v>
      </c>
      <c r="D666" s="7" t="s">
        <v>1402</v>
      </c>
      <c r="E666" s="7" t="str">
        <f t="shared" si="113"/>
        <v>ASHITOSH MAHADEO</v>
      </c>
      <c r="F666" s="7" t="s">
        <v>12</v>
      </c>
      <c r="G666" s="22">
        <v>44896</v>
      </c>
      <c r="H666" s="8">
        <v>47101</v>
      </c>
      <c r="I666" s="7" t="str">
        <f t="shared" si="114"/>
        <v>ashitosh.mahadeo@fi.mao.ba</v>
      </c>
      <c r="J666" s="6" t="s">
        <v>1539</v>
      </c>
      <c r="K666" s="6">
        <v>70</v>
      </c>
      <c r="L666" s="7" t="str">
        <f t="shared" si="115"/>
        <v>fi.mao.ba</v>
      </c>
      <c r="M666" s="7" t="str">
        <f t="shared" si="116"/>
        <v>M.Ashitosh</v>
      </c>
      <c r="N666" s="6">
        <f t="shared" si="111"/>
        <v>0</v>
      </c>
      <c r="O666" s="6">
        <f t="shared" si="110"/>
        <v>6</v>
      </c>
      <c r="P666" s="6" t="str">
        <f t="shared" si="117"/>
        <v>N</v>
      </c>
      <c r="Q666" s="6">
        <f t="shared" si="118"/>
        <v>15</v>
      </c>
      <c r="R666" s="6" t="str">
        <f t="shared" si="119"/>
        <v>2022</v>
      </c>
      <c r="S666" s="6" t="str">
        <f t="shared" si="120"/>
        <v>Dec</v>
      </c>
    </row>
    <row r="667" spans="1:19" x14ac:dyDescent="0.25">
      <c r="A667" s="6">
        <v>1370</v>
      </c>
      <c r="B667" s="6" t="str">
        <f t="shared" si="112"/>
        <v>NIKFIN01370</v>
      </c>
      <c r="C667" s="7" t="s">
        <v>71</v>
      </c>
      <c r="D667" s="7" t="s">
        <v>68</v>
      </c>
      <c r="E667" s="7" t="str">
        <f t="shared" si="113"/>
        <v>ARUN KUMAR</v>
      </c>
      <c r="F667" s="7" t="s">
        <v>12</v>
      </c>
      <c r="G667" s="22">
        <v>39661</v>
      </c>
      <c r="H667" s="8">
        <v>75180</v>
      </c>
      <c r="I667" s="7" t="str">
        <f t="shared" si="114"/>
        <v>arun.kumar@fi.kur.ba</v>
      </c>
      <c r="J667" s="6" t="s">
        <v>1546</v>
      </c>
      <c r="K667" s="6">
        <v>63</v>
      </c>
      <c r="L667" s="7" t="str">
        <f t="shared" si="115"/>
        <v>fi.kur.ba</v>
      </c>
      <c r="M667" s="7" t="str">
        <f t="shared" si="116"/>
        <v>K.Arun</v>
      </c>
      <c r="N667" s="6">
        <f t="shared" si="111"/>
        <v>0</v>
      </c>
      <c r="O667" s="6">
        <f t="shared" si="110"/>
        <v>0</v>
      </c>
      <c r="P667" s="6" t="str">
        <f t="shared" si="117"/>
        <v>N</v>
      </c>
      <c r="Q667" s="6">
        <f t="shared" si="118"/>
        <v>9</v>
      </c>
      <c r="R667" s="6" t="str">
        <f t="shared" si="119"/>
        <v>2008</v>
      </c>
      <c r="S667" s="6" t="str">
        <f t="shared" si="120"/>
        <v>Aug</v>
      </c>
    </row>
    <row r="668" spans="1:19" x14ac:dyDescent="0.25">
      <c r="A668" s="6">
        <v>1374</v>
      </c>
      <c r="B668" s="6" t="str">
        <f t="shared" si="112"/>
        <v>NIKFIN01374</v>
      </c>
      <c r="C668" s="7" t="s">
        <v>1414</v>
      </c>
      <c r="D668" s="7" t="s">
        <v>1379</v>
      </c>
      <c r="E668" s="7" t="str">
        <f t="shared" si="113"/>
        <v>ZARNA SAMIR</v>
      </c>
      <c r="F668" s="7" t="s">
        <v>12</v>
      </c>
      <c r="G668" s="22">
        <v>44999</v>
      </c>
      <c r="H668" s="8">
        <v>61103</v>
      </c>
      <c r="I668" s="7" t="str">
        <f t="shared" si="114"/>
        <v>zarna.samir@fi.sar.ba</v>
      </c>
      <c r="J668" s="6" t="s">
        <v>1536</v>
      </c>
      <c r="K668" s="6">
        <v>89</v>
      </c>
      <c r="L668" s="7" t="str">
        <f t="shared" si="115"/>
        <v>fi.sar.ba</v>
      </c>
      <c r="M668" s="7" t="str">
        <f t="shared" si="116"/>
        <v>S.Zarna</v>
      </c>
      <c r="N668" s="6">
        <f t="shared" si="111"/>
        <v>0</v>
      </c>
      <c r="O668" s="6">
        <f t="shared" si="110"/>
        <v>0</v>
      </c>
      <c r="P668" s="6" t="str">
        <f t="shared" si="117"/>
        <v>N</v>
      </c>
      <c r="Q668" s="6">
        <f t="shared" si="118"/>
        <v>10</v>
      </c>
      <c r="R668" s="6" t="str">
        <f t="shared" si="119"/>
        <v>2023</v>
      </c>
      <c r="S668" s="6" t="str">
        <f t="shared" si="120"/>
        <v>Mar</v>
      </c>
    </row>
    <row r="669" spans="1:19" x14ac:dyDescent="0.25">
      <c r="A669" s="6">
        <v>1419</v>
      </c>
      <c r="B669" s="6" t="str">
        <f t="shared" si="112"/>
        <v>NIKFIN01419</v>
      </c>
      <c r="C669" s="7" t="s">
        <v>538</v>
      </c>
      <c r="D669" s="7" t="s">
        <v>334</v>
      </c>
      <c r="E669" s="7" t="str">
        <f t="shared" si="113"/>
        <v>SHIVANGI PUROHIT</v>
      </c>
      <c r="F669" s="7" t="s">
        <v>12</v>
      </c>
      <c r="G669" s="22">
        <v>45084</v>
      </c>
      <c r="H669" s="8">
        <v>97825</v>
      </c>
      <c r="I669" s="7" t="str">
        <f t="shared" si="114"/>
        <v>shivangi.purohit@fi.put.ba</v>
      </c>
      <c r="J669" s="6" t="s">
        <v>1539</v>
      </c>
      <c r="K669" s="6">
        <v>82</v>
      </c>
      <c r="L669" s="7" t="str">
        <f t="shared" si="115"/>
        <v>fi.put.ba</v>
      </c>
      <c r="M669" s="7" t="str">
        <f t="shared" si="116"/>
        <v>P.Shivangi</v>
      </c>
      <c r="N669" s="6">
        <f t="shared" si="111"/>
        <v>0</v>
      </c>
      <c r="O669" s="6">
        <f t="shared" si="110"/>
        <v>0</v>
      </c>
      <c r="P669" s="6" t="str">
        <f t="shared" si="117"/>
        <v>N</v>
      </c>
      <c r="Q669" s="6">
        <f t="shared" si="118"/>
        <v>15</v>
      </c>
      <c r="R669" s="6" t="str">
        <f t="shared" si="119"/>
        <v>2023</v>
      </c>
      <c r="S669" s="6" t="str">
        <f t="shared" si="120"/>
        <v>Jun</v>
      </c>
    </row>
    <row r="670" spans="1:19" x14ac:dyDescent="0.25">
      <c r="A670" s="6">
        <v>1427</v>
      </c>
      <c r="B670" s="6" t="str">
        <f t="shared" si="112"/>
        <v>NIKFIN01427</v>
      </c>
      <c r="C670" s="7" t="s">
        <v>251</v>
      </c>
      <c r="D670" s="7" t="s">
        <v>1437</v>
      </c>
      <c r="E670" s="7" t="str">
        <f t="shared" si="113"/>
        <v>HIMANSHU GAUR</v>
      </c>
      <c r="F670" s="7" t="s">
        <v>12</v>
      </c>
      <c r="G670" s="22">
        <v>45418</v>
      </c>
      <c r="H670" s="8">
        <v>86775</v>
      </c>
      <c r="I670" s="7" t="str">
        <f t="shared" si="114"/>
        <v>himanshu.gaur@fi.gar.ba</v>
      </c>
      <c r="J670" s="6" t="s">
        <v>1550</v>
      </c>
      <c r="K670" s="6">
        <v>37</v>
      </c>
      <c r="L670" s="7" t="str">
        <f t="shared" si="115"/>
        <v>fi.gar.ba</v>
      </c>
      <c r="M670" s="7" t="str">
        <f t="shared" si="116"/>
        <v>G.Himanshu</v>
      </c>
      <c r="N670" s="6">
        <f t="shared" si="111"/>
        <v>0</v>
      </c>
      <c r="O670" s="6">
        <f t="shared" si="110"/>
        <v>0</v>
      </c>
      <c r="P670" s="6" t="str">
        <f t="shared" si="117"/>
        <v>N</v>
      </c>
      <c r="Q670" s="6">
        <f t="shared" si="118"/>
        <v>12</v>
      </c>
      <c r="R670" s="6" t="str">
        <f t="shared" si="119"/>
        <v>2024</v>
      </c>
      <c r="S670" s="6" t="str">
        <f t="shared" si="120"/>
        <v>May</v>
      </c>
    </row>
    <row r="671" spans="1:19" x14ac:dyDescent="0.25">
      <c r="A671" s="6">
        <v>1433</v>
      </c>
      <c r="B671" s="6" t="str">
        <f t="shared" si="112"/>
        <v>NIKFIN01433</v>
      </c>
      <c r="C671" s="7" t="s">
        <v>1349</v>
      </c>
      <c r="D671" s="7" t="s">
        <v>257</v>
      </c>
      <c r="E671" s="7" t="str">
        <f t="shared" si="113"/>
        <v>HARDIK KAMLESHBHAI</v>
      </c>
      <c r="F671" s="7" t="s">
        <v>12</v>
      </c>
      <c r="G671" s="22">
        <v>44995</v>
      </c>
      <c r="H671" s="8">
        <v>61484</v>
      </c>
      <c r="I671" s="7" t="str">
        <f t="shared" si="114"/>
        <v>hardik.kamleshbhai@fi.kai.ba</v>
      </c>
      <c r="J671" s="6" t="s">
        <v>1550</v>
      </c>
      <c r="K671" s="6">
        <v>70</v>
      </c>
      <c r="L671" s="7" t="str">
        <f t="shared" si="115"/>
        <v>fi.kai.ba</v>
      </c>
      <c r="M671" s="7" t="str">
        <f t="shared" si="116"/>
        <v>K.Hardik</v>
      </c>
      <c r="N671" s="6">
        <f t="shared" si="111"/>
        <v>0</v>
      </c>
      <c r="O671" s="6">
        <f t="shared" si="110"/>
        <v>5</v>
      </c>
      <c r="P671" s="6" t="str">
        <f t="shared" si="117"/>
        <v>N</v>
      </c>
      <c r="Q671" s="6">
        <f t="shared" si="118"/>
        <v>17</v>
      </c>
      <c r="R671" s="6" t="str">
        <f t="shared" si="119"/>
        <v>2023</v>
      </c>
      <c r="S671" s="6" t="str">
        <f t="shared" si="120"/>
        <v>Mar</v>
      </c>
    </row>
    <row r="672" spans="1:19" x14ac:dyDescent="0.25">
      <c r="A672" s="6">
        <v>1447</v>
      </c>
      <c r="B672" s="6" t="str">
        <f t="shared" si="112"/>
        <v>NIKFIN01447</v>
      </c>
      <c r="C672" s="7" t="s">
        <v>1487</v>
      </c>
      <c r="D672" s="7" t="s">
        <v>205</v>
      </c>
      <c r="E672" s="7" t="str">
        <f t="shared" si="113"/>
        <v>SONIA VERMA</v>
      </c>
      <c r="F672" s="7" t="s">
        <v>12</v>
      </c>
      <c r="G672" s="22">
        <v>45033</v>
      </c>
      <c r="H672" s="8">
        <v>73985</v>
      </c>
      <c r="I672" s="7" t="str">
        <f t="shared" si="114"/>
        <v>sonia.verma@fi.vea.ba</v>
      </c>
      <c r="J672" s="6" t="s">
        <v>1535</v>
      </c>
      <c r="K672" s="6">
        <v>77</v>
      </c>
      <c r="L672" s="7" t="str">
        <f t="shared" si="115"/>
        <v>fi.vea.ba</v>
      </c>
      <c r="M672" s="7" t="str">
        <f t="shared" si="116"/>
        <v>V.Sonia</v>
      </c>
      <c r="N672" s="6">
        <f t="shared" si="111"/>
        <v>0</v>
      </c>
      <c r="O672" s="6">
        <f t="shared" si="110"/>
        <v>2</v>
      </c>
      <c r="P672" s="6" t="str">
        <f t="shared" si="117"/>
        <v>N</v>
      </c>
      <c r="Q672" s="6">
        <f t="shared" si="118"/>
        <v>10</v>
      </c>
      <c r="R672" s="6" t="str">
        <f t="shared" si="119"/>
        <v>2023</v>
      </c>
      <c r="S672" s="6" t="str">
        <f t="shared" si="120"/>
        <v>Apr</v>
      </c>
    </row>
    <row r="673" spans="1:19" x14ac:dyDescent="0.25">
      <c r="A673" s="6">
        <v>1469</v>
      </c>
      <c r="B673" s="6" t="str">
        <f t="shared" si="112"/>
        <v>NIKFIN01469</v>
      </c>
      <c r="C673" s="7" t="s">
        <v>309</v>
      </c>
      <c r="D673" s="7" t="s">
        <v>1516</v>
      </c>
      <c r="E673" s="7" t="str">
        <f t="shared" si="113"/>
        <v>SUMIT AMBALAL</v>
      </c>
      <c r="F673" s="7" t="s">
        <v>12</v>
      </c>
      <c r="G673" s="22">
        <v>44835</v>
      </c>
      <c r="H673" s="8">
        <v>57951</v>
      </c>
      <c r="I673" s="7" t="str">
        <f t="shared" si="114"/>
        <v>sumit.ambalal@fi.aml.ba</v>
      </c>
      <c r="J673" s="6" t="s">
        <v>1541</v>
      </c>
      <c r="K673" s="6">
        <v>74</v>
      </c>
      <c r="L673" s="7" t="str">
        <f t="shared" si="115"/>
        <v>fi.aml.ba</v>
      </c>
      <c r="M673" s="7" t="str">
        <f t="shared" si="116"/>
        <v>A.Sumit</v>
      </c>
      <c r="N673" s="6">
        <f t="shared" si="111"/>
        <v>0</v>
      </c>
      <c r="O673" s="6">
        <f t="shared" si="110"/>
        <v>0</v>
      </c>
      <c r="P673" s="6" t="str">
        <f t="shared" si="117"/>
        <v>N</v>
      </c>
      <c r="Q673" s="6">
        <f t="shared" si="118"/>
        <v>12</v>
      </c>
      <c r="R673" s="6" t="str">
        <f t="shared" si="119"/>
        <v>2022</v>
      </c>
      <c r="S673" s="6" t="str">
        <f t="shared" si="120"/>
        <v>Oct</v>
      </c>
    </row>
    <row r="674" spans="1:19" x14ac:dyDescent="0.25">
      <c r="A674" s="6">
        <v>1473</v>
      </c>
      <c r="B674" s="6" t="str">
        <f t="shared" si="112"/>
        <v>NIKFIN01473</v>
      </c>
      <c r="C674" s="7" t="s">
        <v>759</v>
      </c>
      <c r="D674" s="7" t="s">
        <v>70</v>
      </c>
      <c r="E674" s="7" t="str">
        <f t="shared" si="113"/>
        <v>PRATIBHA SINGH</v>
      </c>
      <c r="F674" s="7" t="s">
        <v>12</v>
      </c>
      <c r="G674" s="22">
        <v>40330</v>
      </c>
      <c r="H674" s="8">
        <v>85789</v>
      </c>
      <c r="I674" s="7" t="str">
        <f t="shared" si="114"/>
        <v>pratibha.singh@fi.sih.ba</v>
      </c>
      <c r="J674" s="6" t="s">
        <v>1549</v>
      </c>
      <c r="K674" s="6">
        <v>35</v>
      </c>
      <c r="L674" s="7" t="str">
        <f t="shared" si="115"/>
        <v>fi.sih.ba</v>
      </c>
      <c r="M674" s="7" t="str">
        <f t="shared" si="116"/>
        <v>S.Pratibha</v>
      </c>
      <c r="N674" s="6">
        <f t="shared" si="111"/>
        <v>0</v>
      </c>
      <c r="O674" s="6">
        <f t="shared" si="110"/>
        <v>0</v>
      </c>
      <c r="P674" s="6" t="str">
        <f t="shared" si="117"/>
        <v>N</v>
      </c>
      <c r="Q674" s="6">
        <f t="shared" si="118"/>
        <v>13</v>
      </c>
      <c r="R674" s="6" t="str">
        <f t="shared" si="119"/>
        <v>2010</v>
      </c>
      <c r="S674" s="6" t="str">
        <f t="shared" si="120"/>
        <v>Jun</v>
      </c>
    </row>
    <row r="675" spans="1:19" x14ac:dyDescent="0.25">
      <c r="A675" s="6">
        <v>1478</v>
      </c>
      <c r="B675" s="6" t="str">
        <f t="shared" si="112"/>
        <v>NIKFIN01478</v>
      </c>
      <c r="C675" s="7" t="s">
        <v>20</v>
      </c>
      <c r="D675" s="7" t="s">
        <v>68</v>
      </c>
      <c r="E675" s="7" t="str">
        <f t="shared" si="113"/>
        <v>VINAY KUMAR</v>
      </c>
      <c r="F675" s="7" t="s">
        <v>12</v>
      </c>
      <c r="G675" s="22">
        <v>41984</v>
      </c>
      <c r="H675" s="8">
        <v>75432</v>
      </c>
      <c r="I675" s="7" t="str">
        <f t="shared" si="114"/>
        <v>vinay.kumar@fi.kur.ba</v>
      </c>
      <c r="J675" s="6" t="s">
        <v>1538</v>
      </c>
      <c r="K675" s="6">
        <v>70</v>
      </c>
      <c r="L675" s="7" t="str">
        <f t="shared" si="115"/>
        <v>fi.kur.ba</v>
      </c>
      <c r="M675" s="7" t="str">
        <f t="shared" si="116"/>
        <v>K.Vinay</v>
      </c>
      <c r="N675" s="6">
        <f t="shared" si="111"/>
        <v>0</v>
      </c>
      <c r="O675" s="6">
        <f t="shared" si="110"/>
        <v>0</v>
      </c>
      <c r="P675" s="6" t="str">
        <f t="shared" si="117"/>
        <v>N</v>
      </c>
      <c r="Q675" s="6">
        <f t="shared" si="118"/>
        <v>10</v>
      </c>
      <c r="R675" s="6" t="str">
        <f t="shared" si="119"/>
        <v>2014</v>
      </c>
      <c r="S675" s="6" t="str">
        <f t="shared" si="120"/>
        <v>Dec</v>
      </c>
    </row>
    <row r="676" spans="1:19" x14ac:dyDescent="0.25">
      <c r="A676" s="6">
        <v>1480</v>
      </c>
      <c r="B676" s="6" t="str">
        <f t="shared" si="112"/>
        <v>NIKFIN01480</v>
      </c>
      <c r="C676" s="7" t="s">
        <v>47</v>
      </c>
      <c r="D676" s="7"/>
      <c r="E676" s="7" t="str">
        <f t="shared" si="113"/>
        <v>PUNEET</v>
      </c>
      <c r="F676" s="7" t="s">
        <v>12</v>
      </c>
      <c r="G676" s="22">
        <v>43143</v>
      </c>
      <c r="H676" s="8">
        <v>76213</v>
      </c>
      <c r="I676" s="7" t="str">
        <f t="shared" si="114"/>
        <v>puneet.@fi..ba</v>
      </c>
      <c r="J676" s="6" t="s">
        <v>1534</v>
      </c>
      <c r="K676" s="6">
        <v>83</v>
      </c>
      <c r="L676" s="7" t="str">
        <f t="shared" si="115"/>
        <v>fi..ba</v>
      </c>
      <c r="M676" s="7" t="str">
        <f t="shared" si="116"/>
        <v>.Puneet</v>
      </c>
      <c r="N676" s="6">
        <f t="shared" si="111"/>
        <v>4</v>
      </c>
      <c r="O676" s="6">
        <f t="shared" si="110"/>
        <v>0</v>
      </c>
      <c r="P676" s="6" t="str">
        <f t="shared" si="117"/>
        <v>N</v>
      </c>
      <c r="Q676" s="6">
        <f t="shared" si="118"/>
        <v>6</v>
      </c>
      <c r="R676" s="6" t="str">
        <f t="shared" si="119"/>
        <v>2018</v>
      </c>
      <c r="S676" s="6" t="str">
        <f t="shared" si="120"/>
        <v>Feb</v>
      </c>
    </row>
    <row r="677" spans="1:19" x14ac:dyDescent="0.25">
      <c r="A677" s="6">
        <v>1</v>
      </c>
      <c r="B677" s="6" t="str">
        <f t="shared" si="112"/>
        <v>NIKHRA00001</v>
      </c>
      <c r="C677" s="7" t="s">
        <v>48</v>
      </c>
      <c r="D677" s="7" t="s">
        <v>49</v>
      </c>
      <c r="E677" s="7" t="str">
        <f t="shared" si="113"/>
        <v>SANJAY MATHUR</v>
      </c>
      <c r="F677" s="7" t="s">
        <v>13</v>
      </c>
      <c r="G677" s="22">
        <v>35388</v>
      </c>
      <c r="H677" s="8">
        <v>75186</v>
      </c>
      <c r="I677" s="7" t="str">
        <f t="shared" si="114"/>
        <v>sanjay.mathur@hr.mar.ba</v>
      </c>
      <c r="J677" s="6" t="s">
        <v>1534</v>
      </c>
      <c r="K677" s="6">
        <v>60</v>
      </c>
      <c r="L677" s="7" t="str">
        <f t="shared" si="115"/>
        <v>hr.mar.ba</v>
      </c>
      <c r="M677" s="7" t="str">
        <f t="shared" si="116"/>
        <v>M.Sanjay</v>
      </c>
      <c r="N677" s="6">
        <f t="shared" si="111"/>
        <v>0</v>
      </c>
      <c r="O677" s="6">
        <f t="shared" si="110"/>
        <v>0</v>
      </c>
      <c r="P677" s="6" t="str">
        <f t="shared" si="117"/>
        <v>N</v>
      </c>
      <c r="Q677" s="6">
        <f t="shared" si="118"/>
        <v>12</v>
      </c>
      <c r="R677" s="6" t="str">
        <f t="shared" si="119"/>
        <v>1996</v>
      </c>
      <c r="S677" s="6" t="str">
        <f t="shared" si="120"/>
        <v>Nov</v>
      </c>
    </row>
    <row r="678" spans="1:19" x14ac:dyDescent="0.25">
      <c r="A678" s="6">
        <v>4</v>
      </c>
      <c r="B678" s="6" t="str">
        <f t="shared" si="112"/>
        <v>NIKHRA00004</v>
      </c>
      <c r="C678" s="7" t="s">
        <v>54</v>
      </c>
      <c r="D678" s="7" t="s">
        <v>55</v>
      </c>
      <c r="E678" s="7" t="str">
        <f t="shared" si="113"/>
        <v>GANESH SHARMA</v>
      </c>
      <c r="F678" s="7" t="s">
        <v>13</v>
      </c>
      <c r="G678" s="22">
        <v>38817</v>
      </c>
      <c r="H678" s="8">
        <v>26194</v>
      </c>
      <c r="I678" s="7" t="str">
        <f t="shared" si="114"/>
        <v>ganesh.sharma@hr.sha.ba</v>
      </c>
      <c r="J678" s="6" t="s">
        <v>1544</v>
      </c>
      <c r="K678" s="6">
        <v>85</v>
      </c>
      <c r="L678" s="7" t="str">
        <f t="shared" si="115"/>
        <v>hr.sha.ba</v>
      </c>
      <c r="M678" s="7" t="str">
        <f t="shared" si="116"/>
        <v>S.Ganesh</v>
      </c>
      <c r="N678" s="6">
        <f t="shared" si="111"/>
        <v>4</v>
      </c>
      <c r="O678" s="6">
        <f t="shared" si="110"/>
        <v>0</v>
      </c>
      <c r="P678" s="6" t="str">
        <f t="shared" si="117"/>
        <v>N</v>
      </c>
      <c r="Q678" s="6">
        <f t="shared" si="118"/>
        <v>12</v>
      </c>
      <c r="R678" s="6" t="str">
        <f t="shared" si="119"/>
        <v>2006</v>
      </c>
      <c r="S678" s="6" t="str">
        <f t="shared" si="120"/>
        <v>Apr</v>
      </c>
    </row>
    <row r="679" spans="1:19" x14ac:dyDescent="0.25">
      <c r="A679" s="6">
        <v>22</v>
      </c>
      <c r="B679" s="6" t="str">
        <f t="shared" si="112"/>
        <v>NIKHRA00022</v>
      </c>
      <c r="C679" s="7" t="s">
        <v>80</v>
      </c>
      <c r="D679" s="7" t="s">
        <v>68</v>
      </c>
      <c r="E679" s="7" t="str">
        <f t="shared" si="113"/>
        <v>PRASHANT KUMAR</v>
      </c>
      <c r="F679" s="7" t="s">
        <v>13</v>
      </c>
      <c r="G679" s="22">
        <v>39307</v>
      </c>
      <c r="H679" s="8">
        <v>75926</v>
      </c>
      <c r="I679" s="7" t="str">
        <f t="shared" si="114"/>
        <v>prashant.kumar@hr.kur.ba</v>
      </c>
      <c r="J679" s="6" t="s">
        <v>1533</v>
      </c>
      <c r="K679" s="6">
        <v>67</v>
      </c>
      <c r="L679" s="7" t="str">
        <f t="shared" si="115"/>
        <v>hr.kur.ba</v>
      </c>
      <c r="M679" s="7" t="str">
        <f t="shared" si="116"/>
        <v>K.Prashant</v>
      </c>
      <c r="N679" s="6">
        <f t="shared" si="111"/>
        <v>0</v>
      </c>
      <c r="O679" s="6">
        <f t="shared" si="110"/>
        <v>0</v>
      </c>
      <c r="P679" s="6" t="str">
        <f t="shared" si="117"/>
        <v>N</v>
      </c>
      <c r="Q679" s="6">
        <f t="shared" si="118"/>
        <v>13</v>
      </c>
      <c r="R679" s="6" t="str">
        <f t="shared" si="119"/>
        <v>2007</v>
      </c>
      <c r="S679" s="6" t="str">
        <f t="shared" si="120"/>
        <v>Aug</v>
      </c>
    </row>
    <row r="680" spans="1:19" x14ac:dyDescent="0.25">
      <c r="A680" s="6">
        <v>24</v>
      </c>
      <c r="B680" s="6" t="str">
        <f t="shared" si="112"/>
        <v>NIKHRA00024</v>
      </c>
      <c r="C680" s="7" t="s">
        <v>86</v>
      </c>
      <c r="D680" s="7" t="s">
        <v>72</v>
      </c>
      <c r="E680" s="7" t="str">
        <f t="shared" si="113"/>
        <v>MANISH KUMAWAT</v>
      </c>
      <c r="F680" s="7" t="s">
        <v>13</v>
      </c>
      <c r="G680" s="22">
        <v>39326</v>
      </c>
      <c r="H680" s="8">
        <v>105408</v>
      </c>
      <c r="I680" s="7" t="str">
        <f t="shared" si="114"/>
        <v>manish.kumawat@hr.kut.ba</v>
      </c>
      <c r="J680" s="6" t="s">
        <v>1543</v>
      </c>
      <c r="K680" s="6">
        <v>53</v>
      </c>
      <c r="L680" s="7" t="str">
        <f t="shared" si="115"/>
        <v>hr.kut.ba</v>
      </c>
      <c r="M680" s="7" t="str">
        <f t="shared" si="116"/>
        <v>K.Manish</v>
      </c>
      <c r="N680" s="6">
        <f t="shared" si="111"/>
        <v>0</v>
      </c>
      <c r="O680" s="6">
        <f t="shared" si="110"/>
        <v>0</v>
      </c>
      <c r="P680" s="6" t="str">
        <f t="shared" si="117"/>
        <v>N</v>
      </c>
      <c r="Q680" s="6">
        <f t="shared" si="118"/>
        <v>13</v>
      </c>
      <c r="R680" s="6" t="str">
        <f t="shared" si="119"/>
        <v>2007</v>
      </c>
      <c r="S680" s="6" t="str">
        <f t="shared" si="120"/>
        <v>Sep</v>
      </c>
    </row>
    <row r="681" spans="1:19" x14ac:dyDescent="0.25">
      <c r="A681" s="6">
        <v>31</v>
      </c>
      <c r="B681" s="6" t="str">
        <f t="shared" si="112"/>
        <v>NIKHRA00031</v>
      </c>
      <c r="C681" s="7" t="s">
        <v>96</v>
      </c>
      <c r="D681" s="7" t="s">
        <v>97</v>
      </c>
      <c r="E681" s="7" t="str">
        <f t="shared" si="113"/>
        <v>CHANDRESH AGNIHOTRI</v>
      </c>
      <c r="F681" s="7" t="s">
        <v>13</v>
      </c>
      <c r="G681" s="22">
        <v>39650</v>
      </c>
      <c r="H681" s="8">
        <v>39550</v>
      </c>
      <c r="I681" s="7" t="str">
        <f t="shared" si="114"/>
        <v>chandresh.agnihotri@hr.agi.ba</v>
      </c>
      <c r="J681" s="6" t="s">
        <v>1544</v>
      </c>
      <c r="K681" s="6">
        <v>89</v>
      </c>
      <c r="L681" s="7" t="str">
        <f t="shared" si="115"/>
        <v>hr.agi.ba</v>
      </c>
      <c r="M681" s="7" t="str">
        <f t="shared" si="116"/>
        <v>A.Chandresh</v>
      </c>
      <c r="N681" s="6">
        <f t="shared" si="111"/>
        <v>7</v>
      </c>
      <c r="O681" s="6">
        <f t="shared" si="110"/>
        <v>0</v>
      </c>
      <c r="P681" s="6" t="str">
        <f t="shared" si="117"/>
        <v>N</v>
      </c>
      <c r="Q681" s="6">
        <f t="shared" si="118"/>
        <v>18</v>
      </c>
      <c r="R681" s="6" t="str">
        <f t="shared" si="119"/>
        <v>2008</v>
      </c>
      <c r="S681" s="6" t="str">
        <f t="shared" si="120"/>
        <v>Jul</v>
      </c>
    </row>
    <row r="682" spans="1:19" x14ac:dyDescent="0.25">
      <c r="A682" s="6">
        <v>34</v>
      </c>
      <c r="B682" s="6" t="str">
        <f t="shared" si="112"/>
        <v>NIKHRA00034</v>
      </c>
      <c r="C682" s="7" t="s">
        <v>101</v>
      </c>
      <c r="D682" s="7" t="s">
        <v>102</v>
      </c>
      <c r="E682" s="7" t="str">
        <f t="shared" si="113"/>
        <v>RAKESH CHAUHAN</v>
      </c>
      <c r="F682" s="7" t="s">
        <v>13</v>
      </c>
      <c r="G682" s="22">
        <v>39686</v>
      </c>
      <c r="H682" s="8">
        <v>51076</v>
      </c>
      <c r="I682" s="7" t="str">
        <f t="shared" si="114"/>
        <v>rakesh.chauhan@hr.chn.ba</v>
      </c>
      <c r="J682" s="6" t="s">
        <v>1541</v>
      </c>
      <c r="K682" s="6">
        <v>53</v>
      </c>
      <c r="L682" s="7" t="str">
        <f t="shared" si="115"/>
        <v>hr.chn.ba</v>
      </c>
      <c r="M682" s="7" t="str">
        <f t="shared" si="116"/>
        <v>C.Rakesh</v>
      </c>
      <c r="N682" s="6">
        <f t="shared" si="111"/>
        <v>4</v>
      </c>
      <c r="O682" s="6">
        <f t="shared" si="110"/>
        <v>0</v>
      </c>
      <c r="P682" s="6" t="str">
        <f t="shared" si="117"/>
        <v>N</v>
      </c>
      <c r="Q682" s="6">
        <f t="shared" si="118"/>
        <v>13</v>
      </c>
      <c r="R682" s="6" t="str">
        <f t="shared" si="119"/>
        <v>2008</v>
      </c>
      <c r="S682" s="6" t="str">
        <f t="shared" si="120"/>
        <v>Aug</v>
      </c>
    </row>
    <row r="683" spans="1:19" x14ac:dyDescent="0.25">
      <c r="A683" s="6">
        <v>38</v>
      </c>
      <c r="B683" s="6" t="str">
        <f t="shared" si="112"/>
        <v>NIKHRA00038</v>
      </c>
      <c r="C683" s="7" t="s">
        <v>108</v>
      </c>
      <c r="D683" s="7" t="s">
        <v>68</v>
      </c>
      <c r="E683" s="7" t="str">
        <f t="shared" si="113"/>
        <v>ROOPESH KUMAR</v>
      </c>
      <c r="F683" s="7" t="s">
        <v>13</v>
      </c>
      <c r="G683" s="22">
        <v>40133</v>
      </c>
      <c r="H683" s="8">
        <v>67512</v>
      </c>
      <c r="I683" s="7" t="str">
        <f t="shared" si="114"/>
        <v>roopesh.kumar@hr.kur.ba</v>
      </c>
      <c r="J683" s="6" t="s">
        <v>1547</v>
      </c>
      <c r="K683" s="6">
        <v>87</v>
      </c>
      <c r="L683" s="7" t="str">
        <f t="shared" si="115"/>
        <v>hr.kur.ba</v>
      </c>
      <c r="M683" s="7" t="str">
        <f t="shared" si="116"/>
        <v>K.Roopesh</v>
      </c>
      <c r="N683" s="6">
        <f t="shared" si="111"/>
        <v>5</v>
      </c>
      <c r="O683" s="6">
        <f t="shared" si="110"/>
        <v>0</v>
      </c>
      <c r="P683" s="6" t="str">
        <f t="shared" si="117"/>
        <v>N</v>
      </c>
      <c r="Q683" s="6">
        <f t="shared" si="118"/>
        <v>12</v>
      </c>
      <c r="R683" s="6" t="str">
        <f t="shared" si="119"/>
        <v>2009</v>
      </c>
      <c r="S683" s="6" t="str">
        <f t="shared" si="120"/>
        <v>Nov</v>
      </c>
    </row>
    <row r="684" spans="1:19" x14ac:dyDescent="0.25">
      <c r="A684" s="6">
        <v>43</v>
      </c>
      <c r="B684" s="6" t="str">
        <f t="shared" si="112"/>
        <v>NIKHRA00043</v>
      </c>
      <c r="C684" s="7" t="s">
        <v>115</v>
      </c>
      <c r="D684" s="7" t="s">
        <v>116</v>
      </c>
      <c r="E684" s="7" t="str">
        <f t="shared" si="113"/>
        <v>RAJU MERAL</v>
      </c>
      <c r="F684" s="7" t="s">
        <v>13</v>
      </c>
      <c r="G684" s="22">
        <v>40429</v>
      </c>
      <c r="H684" s="8">
        <v>39409</v>
      </c>
      <c r="I684" s="7" t="str">
        <f t="shared" si="114"/>
        <v>raju.meral@hr.mel.ba</v>
      </c>
      <c r="J684" s="6" t="s">
        <v>1534</v>
      </c>
      <c r="K684" s="6">
        <v>67</v>
      </c>
      <c r="L684" s="7" t="str">
        <f t="shared" si="115"/>
        <v>hr.mel.ba</v>
      </c>
      <c r="M684" s="7" t="str">
        <f t="shared" si="116"/>
        <v>M.Raju</v>
      </c>
      <c r="N684" s="6">
        <f t="shared" si="111"/>
        <v>0</v>
      </c>
      <c r="O684" s="6">
        <f t="shared" ref="O684:O747" si="121">IFERROR(SEARCH("e",D684),0)</f>
        <v>2</v>
      </c>
      <c r="P684" s="6" t="str">
        <f t="shared" si="117"/>
        <v>N</v>
      </c>
      <c r="Q684" s="6">
        <f t="shared" si="118"/>
        <v>9</v>
      </c>
      <c r="R684" s="6" t="str">
        <f t="shared" si="119"/>
        <v>2010</v>
      </c>
      <c r="S684" s="6" t="str">
        <f t="shared" si="120"/>
        <v>Sep</v>
      </c>
    </row>
    <row r="685" spans="1:19" x14ac:dyDescent="0.25">
      <c r="A685" s="6">
        <v>65</v>
      </c>
      <c r="B685" s="6" t="str">
        <f t="shared" si="112"/>
        <v>NIKHRA00065</v>
      </c>
      <c r="C685" s="7" t="s">
        <v>146</v>
      </c>
      <c r="D685" s="7" t="s">
        <v>62</v>
      </c>
      <c r="E685" s="7" t="str">
        <f t="shared" si="113"/>
        <v>ANKIT JAIN</v>
      </c>
      <c r="F685" s="7" t="s">
        <v>13</v>
      </c>
      <c r="G685" s="22">
        <v>41367</v>
      </c>
      <c r="H685" s="8">
        <v>69238</v>
      </c>
      <c r="I685" s="7" t="str">
        <f t="shared" si="114"/>
        <v>ankit.jain@hr.jan.ba</v>
      </c>
      <c r="J685" s="6" t="s">
        <v>1533</v>
      </c>
      <c r="K685" s="6">
        <v>90</v>
      </c>
      <c r="L685" s="7" t="str">
        <f t="shared" si="115"/>
        <v>hr.jan.ba</v>
      </c>
      <c r="M685" s="7" t="str">
        <f t="shared" si="116"/>
        <v>J.Ankit</v>
      </c>
      <c r="N685" s="6">
        <f t="shared" si="111"/>
        <v>0</v>
      </c>
      <c r="O685" s="6">
        <f t="shared" si="121"/>
        <v>0</v>
      </c>
      <c r="P685" s="6" t="str">
        <f t="shared" si="117"/>
        <v>N</v>
      </c>
      <c r="Q685" s="6">
        <f t="shared" si="118"/>
        <v>9</v>
      </c>
      <c r="R685" s="6" t="str">
        <f t="shared" si="119"/>
        <v>2013</v>
      </c>
      <c r="S685" s="6" t="str">
        <f t="shared" si="120"/>
        <v>Apr</v>
      </c>
    </row>
    <row r="686" spans="1:19" x14ac:dyDescent="0.25">
      <c r="A686" s="6">
        <v>66</v>
      </c>
      <c r="B686" s="6" t="str">
        <f t="shared" si="112"/>
        <v>NIKHRA00066</v>
      </c>
      <c r="C686" s="7" t="s">
        <v>147</v>
      </c>
      <c r="D686" s="7" t="s">
        <v>148</v>
      </c>
      <c r="E686" s="7" t="str">
        <f t="shared" si="113"/>
        <v>MALAV DANI</v>
      </c>
      <c r="F686" s="7" t="s">
        <v>13</v>
      </c>
      <c r="G686" s="22">
        <v>41379</v>
      </c>
      <c r="H686" s="8">
        <v>88673</v>
      </c>
      <c r="I686" s="7" t="str">
        <f t="shared" si="114"/>
        <v>malav.dani@hr.dai.ba</v>
      </c>
      <c r="J686" s="6" t="s">
        <v>1545</v>
      </c>
      <c r="K686" s="6">
        <v>36</v>
      </c>
      <c r="L686" s="7" t="str">
        <f t="shared" si="115"/>
        <v>hr.dai.ba</v>
      </c>
      <c r="M686" s="7" t="str">
        <f t="shared" si="116"/>
        <v>D.Malav</v>
      </c>
      <c r="N686" s="6">
        <f t="shared" ref="N686:N749" si="122">IFERROR(SEARCH("e",C686),0)</f>
        <v>0</v>
      </c>
      <c r="O686" s="6">
        <f t="shared" si="121"/>
        <v>0</v>
      </c>
      <c r="P686" s="6" t="str">
        <f t="shared" si="117"/>
        <v>N</v>
      </c>
      <c r="Q686" s="6">
        <f t="shared" si="118"/>
        <v>9</v>
      </c>
      <c r="R686" s="6" t="str">
        <f t="shared" si="119"/>
        <v>2013</v>
      </c>
      <c r="S686" s="6" t="str">
        <f t="shared" si="120"/>
        <v>Apr</v>
      </c>
    </row>
    <row r="687" spans="1:19" x14ac:dyDescent="0.25">
      <c r="A687" s="6">
        <v>81</v>
      </c>
      <c r="B687" s="6" t="str">
        <f t="shared" si="112"/>
        <v>NIKHRA00081</v>
      </c>
      <c r="C687" s="7" t="s">
        <v>166</v>
      </c>
      <c r="D687" s="7" t="s">
        <v>167</v>
      </c>
      <c r="E687" s="7" t="str">
        <f t="shared" si="113"/>
        <v>NEHA ARORA</v>
      </c>
      <c r="F687" s="7" t="s">
        <v>13</v>
      </c>
      <c r="G687" s="22">
        <v>41932</v>
      </c>
      <c r="H687" s="8">
        <v>44019</v>
      </c>
      <c r="I687" s="7" t="str">
        <f t="shared" si="114"/>
        <v>neha.arora@hr.ara.ba</v>
      </c>
      <c r="J687" s="6" t="s">
        <v>1534</v>
      </c>
      <c r="K687" s="6">
        <v>88</v>
      </c>
      <c r="L687" s="7" t="str">
        <f t="shared" si="115"/>
        <v>hr.ara.ba</v>
      </c>
      <c r="M687" s="7" t="str">
        <f t="shared" si="116"/>
        <v>A.Neha</v>
      </c>
      <c r="N687" s="6">
        <f t="shared" si="122"/>
        <v>2</v>
      </c>
      <c r="O687" s="6">
        <f t="shared" si="121"/>
        <v>0</v>
      </c>
      <c r="P687" s="6" t="str">
        <f t="shared" si="117"/>
        <v>N</v>
      </c>
      <c r="Q687" s="6">
        <f t="shared" si="118"/>
        <v>9</v>
      </c>
      <c r="R687" s="6" t="str">
        <f t="shared" si="119"/>
        <v>2014</v>
      </c>
      <c r="S687" s="6" t="str">
        <f t="shared" si="120"/>
        <v>Oct</v>
      </c>
    </row>
    <row r="688" spans="1:19" x14ac:dyDescent="0.25">
      <c r="A688" s="6">
        <v>86</v>
      </c>
      <c r="B688" s="6" t="str">
        <f t="shared" si="112"/>
        <v>NIKHRA00086</v>
      </c>
      <c r="C688" s="7" t="s">
        <v>173</v>
      </c>
      <c r="D688" s="7" t="s">
        <v>55</v>
      </c>
      <c r="E688" s="7" t="str">
        <f t="shared" si="113"/>
        <v>VIVEK SHARMA</v>
      </c>
      <c r="F688" s="7" t="s">
        <v>13</v>
      </c>
      <c r="G688" s="22">
        <v>42110</v>
      </c>
      <c r="H688" s="8">
        <v>93715</v>
      </c>
      <c r="I688" s="7" t="str">
        <f t="shared" si="114"/>
        <v>vivek.sharma@hr.sha.ba</v>
      </c>
      <c r="J688" s="6" t="s">
        <v>1538</v>
      </c>
      <c r="K688" s="6">
        <v>49</v>
      </c>
      <c r="L688" s="7" t="str">
        <f t="shared" si="115"/>
        <v>hr.sha.ba</v>
      </c>
      <c r="M688" s="7" t="str">
        <f t="shared" si="116"/>
        <v>S.Vivek</v>
      </c>
      <c r="N688" s="6">
        <f t="shared" si="122"/>
        <v>4</v>
      </c>
      <c r="O688" s="6">
        <f t="shared" si="121"/>
        <v>0</v>
      </c>
      <c r="P688" s="6" t="str">
        <f t="shared" si="117"/>
        <v>N</v>
      </c>
      <c r="Q688" s="6">
        <f t="shared" si="118"/>
        <v>11</v>
      </c>
      <c r="R688" s="6" t="str">
        <f t="shared" si="119"/>
        <v>2015</v>
      </c>
      <c r="S688" s="6" t="str">
        <f t="shared" si="120"/>
        <v>Apr</v>
      </c>
    </row>
    <row r="689" spans="1:19" x14ac:dyDescent="0.25">
      <c r="A689" s="6">
        <v>89</v>
      </c>
      <c r="B689" s="6" t="str">
        <f t="shared" si="112"/>
        <v>NIKHRA00089</v>
      </c>
      <c r="C689" s="7" t="s">
        <v>178</v>
      </c>
      <c r="D689" s="7" t="s">
        <v>179</v>
      </c>
      <c r="E689" s="7" t="str">
        <f t="shared" si="113"/>
        <v>AYUSH GUPTA</v>
      </c>
      <c r="F689" s="7" t="s">
        <v>13</v>
      </c>
      <c r="G689" s="22">
        <v>42212</v>
      </c>
      <c r="H689" s="8">
        <v>32027</v>
      </c>
      <c r="I689" s="7" t="str">
        <f t="shared" si="114"/>
        <v>ayush.gupta@hr.gua.ba</v>
      </c>
      <c r="J689" s="6" t="s">
        <v>1545</v>
      </c>
      <c r="K689" s="6">
        <v>44</v>
      </c>
      <c r="L689" s="7" t="str">
        <f t="shared" si="115"/>
        <v>hr.gua.ba</v>
      </c>
      <c r="M689" s="7" t="str">
        <f t="shared" si="116"/>
        <v>G.Ayush</v>
      </c>
      <c r="N689" s="6">
        <f t="shared" si="122"/>
        <v>0</v>
      </c>
      <c r="O689" s="6">
        <f t="shared" si="121"/>
        <v>0</v>
      </c>
      <c r="P689" s="6" t="str">
        <f t="shared" si="117"/>
        <v>N</v>
      </c>
      <c r="Q689" s="6">
        <f t="shared" si="118"/>
        <v>10</v>
      </c>
      <c r="R689" s="6" t="str">
        <f t="shared" si="119"/>
        <v>2015</v>
      </c>
      <c r="S689" s="6" t="str">
        <f t="shared" si="120"/>
        <v>Jul</v>
      </c>
    </row>
    <row r="690" spans="1:19" x14ac:dyDescent="0.25">
      <c r="A690" s="6">
        <v>97</v>
      </c>
      <c r="B690" s="6" t="str">
        <f t="shared" si="112"/>
        <v>NIKHRA00097</v>
      </c>
      <c r="C690" s="7" t="s">
        <v>141</v>
      </c>
      <c r="D690" s="7" t="s">
        <v>55</v>
      </c>
      <c r="E690" s="7" t="str">
        <f t="shared" si="113"/>
        <v>SAURABH SHARMA</v>
      </c>
      <c r="F690" s="7" t="s">
        <v>13</v>
      </c>
      <c r="G690" s="22">
        <v>42301</v>
      </c>
      <c r="H690" s="8">
        <v>47695</v>
      </c>
      <c r="I690" s="7" t="str">
        <f t="shared" si="114"/>
        <v>saurabh.sharma@hr.sha.ba</v>
      </c>
      <c r="J690" s="6" t="s">
        <v>1534</v>
      </c>
      <c r="K690" s="6">
        <v>45</v>
      </c>
      <c r="L690" s="7" t="str">
        <f t="shared" si="115"/>
        <v>hr.sha.ba</v>
      </c>
      <c r="M690" s="7" t="str">
        <f t="shared" si="116"/>
        <v>S.Saurabh</v>
      </c>
      <c r="N690" s="6">
        <f t="shared" si="122"/>
        <v>0</v>
      </c>
      <c r="O690" s="6">
        <f t="shared" si="121"/>
        <v>0</v>
      </c>
      <c r="P690" s="6" t="str">
        <f t="shared" si="117"/>
        <v>N</v>
      </c>
      <c r="Q690" s="6">
        <f t="shared" si="118"/>
        <v>13</v>
      </c>
      <c r="R690" s="6" t="str">
        <f t="shared" si="119"/>
        <v>2015</v>
      </c>
      <c r="S690" s="6" t="str">
        <f t="shared" si="120"/>
        <v>Oct</v>
      </c>
    </row>
    <row r="691" spans="1:19" x14ac:dyDescent="0.25">
      <c r="A691" s="6">
        <v>99</v>
      </c>
      <c r="B691" s="6" t="str">
        <f t="shared" si="112"/>
        <v>NIKHRA00099</v>
      </c>
      <c r="C691" s="7" t="s">
        <v>190</v>
      </c>
      <c r="D691" s="7" t="s">
        <v>70</v>
      </c>
      <c r="E691" s="7" t="str">
        <f t="shared" si="113"/>
        <v>ABHISHEK SINGH</v>
      </c>
      <c r="F691" s="7" t="s">
        <v>13</v>
      </c>
      <c r="G691" s="22">
        <v>42315</v>
      </c>
      <c r="H691" s="8">
        <v>39305</v>
      </c>
      <c r="I691" s="7" t="str">
        <f t="shared" si="114"/>
        <v>abhishek.singh@hr.sih.ba</v>
      </c>
      <c r="J691" s="6" t="s">
        <v>1550</v>
      </c>
      <c r="K691" s="6">
        <v>79</v>
      </c>
      <c r="L691" s="7" t="str">
        <f t="shared" si="115"/>
        <v>hr.sih.ba</v>
      </c>
      <c r="M691" s="7" t="str">
        <f t="shared" si="116"/>
        <v>S.Abhishek</v>
      </c>
      <c r="N691" s="6">
        <f t="shared" si="122"/>
        <v>7</v>
      </c>
      <c r="O691" s="6">
        <f t="shared" si="121"/>
        <v>0</v>
      </c>
      <c r="P691" s="6" t="str">
        <f t="shared" si="117"/>
        <v>N</v>
      </c>
      <c r="Q691" s="6">
        <f t="shared" si="118"/>
        <v>13</v>
      </c>
      <c r="R691" s="6" t="str">
        <f t="shared" si="119"/>
        <v>2015</v>
      </c>
      <c r="S691" s="6" t="str">
        <f t="shared" si="120"/>
        <v>Nov</v>
      </c>
    </row>
    <row r="692" spans="1:19" x14ac:dyDescent="0.25">
      <c r="A692" s="6">
        <v>101</v>
      </c>
      <c r="B692" s="6" t="str">
        <f t="shared" si="112"/>
        <v>NIKHRA00101</v>
      </c>
      <c r="C692" s="7" t="s">
        <v>193</v>
      </c>
      <c r="D692" s="7" t="s">
        <v>58</v>
      </c>
      <c r="E692" s="7" t="str">
        <f t="shared" si="113"/>
        <v>MITESH BHATIA</v>
      </c>
      <c r="F692" s="7" t="s">
        <v>13</v>
      </c>
      <c r="G692" s="22">
        <v>42401</v>
      </c>
      <c r="H692" s="8">
        <v>45267</v>
      </c>
      <c r="I692" s="7" t="str">
        <f t="shared" si="114"/>
        <v>mitesh.bhatia@hr.bha.ba</v>
      </c>
      <c r="J692" s="6" t="s">
        <v>1550</v>
      </c>
      <c r="K692" s="6">
        <v>86</v>
      </c>
      <c r="L692" s="7" t="str">
        <f t="shared" si="115"/>
        <v>hr.bha.ba</v>
      </c>
      <c r="M692" s="7" t="str">
        <f t="shared" si="116"/>
        <v>B.Mitesh</v>
      </c>
      <c r="N692" s="6">
        <f t="shared" si="122"/>
        <v>4</v>
      </c>
      <c r="O692" s="6">
        <f t="shared" si="121"/>
        <v>0</v>
      </c>
      <c r="P692" s="6" t="str">
        <f t="shared" si="117"/>
        <v>N</v>
      </c>
      <c r="Q692" s="6">
        <f t="shared" si="118"/>
        <v>12</v>
      </c>
      <c r="R692" s="6" t="str">
        <f t="shared" si="119"/>
        <v>2016</v>
      </c>
      <c r="S692" s="6" t="str">
        <f t="shared" si="120"/>
        <v>Feb</v>
      </c>
    </row>
    <row r="693" spans="1:19" x14ac:dyDescent="0.25">
      <c r="A693" s="6">
        <v>110</v>
      </c>
      <c r="B693" s="6" t="str">
        <f t="shared" si="112"/>
        <v>NIKHRA00110</v>
      </c>
      <c r="C693" s="7" t="s">
        <v>204</v>
      </c>
      <c r="D693" s="7" t="s">
        <v>205</v>
      </c>
      <c r="E693" s="7" t="str">
        <f t="shared" si="113"/>
        <v>SUBHASH VERMA</v>
      </c>
      <c r="F693" s="7" t="s">
        <v>13</v>
      </c>
      <c r="G693" s="22">
        <v>42483</v>
      </c>
      <c r="H693" s="8">
        <v>30549</v>
      </c>
      <c r="I693" s="7" t="str">
        <f t="shared" si="114"/>
        <v>subhash.verma@hr.vea.ba</v>
      </c>
      <c r="J693" s="6" t="s">
        <v>1545</v>
      </c>
      <c r="K693" s="6">
        <v>49</v>
      </c>
      <c r="L693" s="7" t="str">
        <f t="shared" si="115"/>
        <v>hr.vea.ba</v>
      </c>
      <c r="M693" s="7" t="str">
        <f t="shared" si="116"/>
        <v>V.Subhash</v>
      </c>
      <c r="N693" s="6">
        <f t="shared" si="122"/>
        <v>0</v>
      </c>
      <c r="O693" s="6">
        <f t="shared" si="121"/>
        <v>2</v>
      </c>
      <c r="P693" s="6" t="str">
        <f t="shared" si="117"/>
        <v>N</v>
      </c>
      <c r="Q693" s="6">
        <f t="shared" si="118"/>
        <v>12</v>
      </c>
      <c r="R693" s="6" t="str">
        <f t="shared" si="119"/>
        <v>2016</v>
      </c>
      <c r="S693" s="6" t="str">
        <f t="shared" si="120"/>
        <v>Apr</v>
      </c>
    </row>
    <row r="694" spans="1:19" x14ac:dyDescent="0.25">
      <c r="A694" s="6">
        <v>127</v>
      </c>
      <c r="B694" s="6" t="str">
        <f t="shared" si="112"/>
        <v>NIKHRA00127</v>
      </c>
      <c r="C694" s="7" t="s">
        <v>228</v>
      </c>
      <c r="D694" s="7" t="s">
        <v>142</v>
      </c>
      <c r="E694" s="7" t="str">
        <f t="shared" si="113"/>
        <v>JUSTIN RAJ</v>
      </c>
      <c r="F694" s="7" t="s">
        <v>13</v>
      </c>
      <c r="G694" s="22">
        <v>42627</v>
      </c>
      <c r="H694" s="8">
        <v>58519</v>
      </c>
      <c r="I694" s="7" t="str">
        <f t="shared" si="114"/>
        <v>justin.raj@hr.raj.ba</v>
      </c>
      <c r="J694" s="6" t="s">
        <v>1537</v>
      </c>
      <c r="K694" s="6">
        <v>37</v>
      </c>
      <c r="L694" s="7" t="str">
        <f t="shared" si="115"/>
        <v>hr.raj.ba</v>
      </c>
      <c r="M694" s="7" t="str">
        <f t="shared" si="116"/>
        <v>R.Justin</v>
      </c>
      <c r="N694" s="6">
        <f t="shared" si="122"/>
        <v>0</v>
      </c>
      <c r="O694" s="6">
        <f t="shared" si="121"/>
        <v>0</v>
      </c>
      <c r="P694" s="6" t="str">
        <f t="shared" si="117"/>
        <v>N</v>
      </c>
      <c r="Q694" s="6">
        <f t="shared" si="118"/>
        <v>9</v>
      </c>
      <c r="R694" s="6" t="str">
        <f t="shared" si="119"/>
        <v>2016</v>
      </c>
      <c r="S694" s="6" t="str">
        <f t="shared" si="120"/>
        <v>Sep</v>
      </c>
    </row>
    <row r="695" spans="1:19" x14ac:dyDescent="0.25">
      <c r="A695" s="6">
        <v>158</v>
      </c>
      <c r="B695" s="6" t="str">
        <f t="shared" si="112"/>
        <v>NIKHRA00158</v>
      </c>
      <c r="C695" s="7" t="s">
        <v>166</v>
      </c>
      <c r="D695" s="7" t="s">
        <v>266</v>
      </c>
      <c r="E695" s="7" t="str">
        <f t="shared" si="113"/>
        <v>NEHA NIVRUTTIDAS</v>
      </c>
      <c r="F695" s="7" t="s">
        <v>13</v>
      </c>
      <c r="G695" s="22">
        <v>43115</v>
      </c>
      <c r="H695" s="8">
        <v>97959</v>
      </c>
      <c r="I695" s="7" t="str">
        <f t="shared" si="114"/>
        <v>neha.nivruttidas@hr.nis.ba</v>
      </c>
      <c r="J695" s="6" t="s">
        <v>1532</v>
      </c>
      <c r="K695" s="6">
        <v>83</v>
      </c>
      <c r="L695" s="7" t="str">
        <f t="shared" si="115"/>
        <v>hr.nis.ba</v>
      </c>
      <c r="M695" s="7" t="str">
        <f t="shared" si="116"/>
        <v>N.Neha</v>
      </c>
      <c r="N695" s="6">
        <f t="shared" si="122"/>
        <v>2</v>
      </c>
      <c r="O695" s="6">
        <f t="shared" si="121"/>
        <v>0</v>
      </c>
      <c r="P695" s="6" t="str">
        <f t="shared" si="117"/>
        <v>N</v>
      </c>
      <c r="Q695" s="6">
        <f t="shared" si="118"/>
        <v>15</v>
      </c>
      <c r="R695" s="6" t="str">
        <f t="shared" si="119"/>
        <v>2018</v>
      </c>
      <c r="S695" s="6" t="str">
        <f t="shared" si="120"/>
        <v>Jan</v>
      </c>
    </row>
    <row r="696" spans="1:19" x14ac:dyDescent="0.25">
      <c r="A696" s="6">
        <v>172</v>
      </c>
      <c r="B696" s="6" t="str">
        <f t="shared" si="112"/>
        <v>NIKHRA00172</v>
      </c>
      <c r="C696" s="7" t="s">
        <v>47</v>
      </c>
      <c r="D696" s="7" t="s">
        <v>49</v>
      </c>
      <c r="E696" s="7" t="str">
        <f t="shared" si="113"/>
        <v>PUNEET MATHUR</v>
      </c>
      <c r="F696" s="7" t="s">
        <v>13</v>
      </c>
      <c r="G696" s="22">
        <v>43344</v>
      </c>
      <c r="H696" s="8">
        <v>76295</v>
      </c>
      <c r="I696" s="7" t="str">
        <f t="shared" si="114"/>
        <v>puneet.mathur@hr.mar.ba</v>
      </c>
      <c r="J696" s="6" t="s">
        <v>1535</v>
      </c>
      <c r="K696" s="6">
        <v>52</v>
      </c>
      <c r="L696" s="7" t="str">
        <f t="shared" si="115"/>
        <v>hr.mar.ba</v>
      </c>
      <c r="M696" s="7" t="str">
        <f t="shared" si="116"/>
        <v>M.Puneet</v>
      </c>
      <c r="N696" s="6">
        <f t="shared" si="122"/>
        <v>4</v>
      </c>
      <c r="O696" s="6">
        <f t="shared" si="121"/>
        <v>0</v>
      </c>
      <c r="P696" s="6" t="str">
        <f t="shared" si="117"/>
        <v>N</v>
      </c>
      <c r="Q696" s="6">
        <f t="shared" si="118"/>
        <v>12</v>
      </c>
      <c r="R696" s="6" t="str">
        <f t="shared" si="119"/>
        <v>2018</v>
      </c>
      <c r="S696" s="6" t="str">
        <f t="shared" si="120"/>
        <v>Sep</v>
      </c>
    </row>
    <row r="697" spans="1:19" x14ac:dyDescent="0.25">
      <c r="A697" s="6">
        <v>173</v>
      </c>
      <c r="B697" s="6" t="str">
        <f t="shared" si="112"/>
        <v>NIKHRA00173</v>
      </c>
      <c r="C697" s="7" t="s">
        <v>283</v>
      </c>
      <c r="D697" s="7" t="s">
        <v>118</v>
      </c>
      <c r="E697" s="7" t="str">
        <f t="shared" si="113"/>
        <v>PRASAD BALWANT</v>
      </c>
      <c r="F697" s="7" t="s">
        <v>13</v>
      </c>
      <c r="G697" s="22">
        <v>43355</v>
      </c>
      <c r="H697" s="8">
        <v>38268</v>
      </c>
      <c r="I697" s="7" t="str">
        <f t="shared" si="114"/>
        <v>prasad.balwant@hr.bat.ba</v>
      </c>
      <c r="J697" s="6" t="s">
        <v>1544</v>
      </c>
      <c r="K697" s="6">
        <v>65</v>
      </c>
      <c r="L697" s="7" t="str">
        <f t="shared" si="115"/>
        <v>hr.bat.ba</v>
      </c>
      <c r="M697" s="7" t="str">
        <f t="shared" si="116"/>
        <v>B.Prasad</v>
      </c>
      <c r="N697" s="6">
        <f t="shared" si="122"/>
        <v>0</v>
      </c>
      <c r="O697" s="6">
        <f t="shared" si="121"/>
        <v>0</v>
      </c>
      <c r="P697" s="6" t="str">
        <f t="shared" si="117"/>
        <v>N</v>
      </c>
      <c r="Q697" s="6">
        <f t="shared" si="118"/>
        <v>13</v>
      </c>
      <c r="R697" s="6" t="str">
        <f t="shared" si="119"/>
        <v>2018</v>
      </c>
      <c r="S697" s="6" t="str">
        <f t="shared" si="120"/>
        <v>Sep</v>
      </c>
    </row>
    <row r="698" spans="1:19" x14ac:dyDescent="0.25">
      <c r="A698" s="6">
        <v>176</v>
      </c>
      <c r="B698" s="6" t="str">
        <f t="shared" si="112"/>
        <v>NIKHRA00176</v>
      </c>
      <c r="C698" s="7" t="s">
        <v>286</v>
      </c>
      <c r="D698" s="7" t="s">
        <v>287</v>
      </c>
      <c r="E698" s="7" t="str">
        <f t="shared" si="113"/>
        <v>KAPIL DESHPANDE</v>
      </c>
      <c r="F698" s="7" t="s">
        <v>13</v>
      </c>
      <c r="G698" s="22">
        <v>43383</v>
      </c>
      <c r="H698" s="8">
        <v>52554</v>
      </c>
      <c r="I698" s="7" t="str">
        <f t="shared" si="114"/>
        <v>kapil.deshpande@hr.dee.ba</v>
      </c>
      <c r="J698" s="6" t="s">
        <v>1543</v>
      </c>
      <c r="K698" s="6">
        <v>61</v>
      </c>
      <c r="L698" s="7" t="str">
        <f t="shared" si="115"/>
        <v>hr.dee.ba</v>
      </c>
      <c r="M698" s="7" t="str">
        <f t="shared" si="116"/>
        <v>D.Kapil</v>
      </c>
      <c r="N698" s="6">
        <f t="shared" si="122"/>
        <v>0</v>
      </c>
      <c r="O698" s="6">
        <f t="shared" si="121"/>
        <v>2</v>
      </c>
      <c r="P698" s="6" t="str">
        <f t="shared" si="117"/>
        <v>N</v>
      </c>
      <c r="Q698" s="6">
        <f t="shared" si="118"/>
        <v>14</v>
      </c>
      <c r="R698" s="6" t="str">
        <f t="shared" si="119"/>
        <v>2018</v>
      </c>
      <c r="S698" s="6" t="str">
        <f t="shared" si="120"/>
        <v>Oct</v>
      </c>
    </row>
    <row r="699" spans="1:19" x14ac:dyDescent="0.25">
      <c r="A699" s="6">
        <v>177</v>
      </c>
      <c r="B699" s="6" t="str">
        <f t="shared" si="112"/>
        <v>NIKHRA00177</v>
      </c>
      <c r="C699" s="7" t="s">
        <v>288</v>
      </c>
      <c r="D699" s="7" t="s">
        <v>68</v>
      </c>
      <c r="E699" s="7" t="str">
        <f t="shared" si="113"/>
        <v>PIYUSH KUMAR</v>
      </c>
      <c r="F699" s="7" t="s">
        <v>13</v>
      </c>
      <c r="G699" s="22">
        <v>43383</v>
      </c>
      <c r="H699" s="8">
        <v>50019</v>
      </c>
      <c r="I699" s="7" t="str">
        <f t="shared" si="114"/>
        <v>piyush.kumar@hr.kur.ba</v>
      </c>
      <c r="J699" s="6" t="s">
        <v>1545</v>
      </c>
      <c r="K699" s="6">
        <v>63</v>
      </c>
      <c r="L699" s="7" t="str">
        <f t="shared" si="115"/>
        <v>hr.kur.ba</v>
      </c>
      <c r="M699" s="7" t="str">
        <f t="shared" si="116"/>
        <v>K.Piyush</v>
      </c>
      <c r="N699" s="6">
        <f t="shared" si="122"/>
        <v>0</v>
      </c>
      <c r="O699" s="6">
        <f t="shared" si="121"/>
        <v>0</v>
      </c>
      <c r="P699" s="6" t="str">
        <f t="shared" si="117"/>
        <v>N</v>
      </c>
      <c r="Q699" s="6">
        <f t="shared" si="118"/>
        <v>11</v>
      </c>
      <c r="R699" s="6" t="str">
        <f t="shared" si="119"/>
        <v>2018</v>
      </c>
      <c r="S699" s="6" t="str">
        <f t="shared" si="120"/>
        <v>Oct</v>
      </c>
    </row>
    <row r="700" spans="1:19" x14ac:dyDescent="0.25">
      <c r="A700" s="6">
        <v>187</v>
      </c>
      <c r="B700" s="6" t="str">
        <f t="shared" si="112"/>
        <v>NIKHRA00187</v>
      </c>
      <c r="C700" s="7" t="s">
        <v>301</v>
      </c>
      <c r="D700" s="7" t="s">
        <v>245</v>
      </c>
      <c r="E700" s="7" t="str">
        <f t="shared" si="113"/>
        <v>DHEERAJ PAREEK</v>
      </c>
      <c r="F700" s="7" t="s">
        <v>13</v>
      </c>
      <c r="G700" s="22">
        <v>43710</v>
      </c>
      <c r="H700" s="8">
        <v>87112</v>
      </c>
      <c r="I700" s="7" t="str">
        <f t="shared" si="114"/>
        <v>dheeraj.pareek@hr.pak.ba</v>
      </c>
      <c r="J700" s="6" t="s">
        <v>1548</v>
      </c>
      <c r="K700" s="6">
        <v>36</v>
      </c>
      <c r="L700" s="7" t="str">
        <f t="shared" si="115"/>
        <v>hr.pak.ba</v>
      </c>
      <c r="M700" s="7" t="str">
        <f t="shared" si="116"/>
        <v>P.Dheeraj</v>
      </c>
      <c r="N700" s="6">
        <f t="shared" si="122"/>
        <v>3</v>
      </c>
      <c r="O700" s="6">
        <f t="shared" si="121"/>
        <v>4</v>
      </c>
      <c r="P700" s="6" t="str">
        <f t="shared" si="117"/>
        <v>Y</v>
      </c>
      <c r="Q700" s="6">
        <f t="shared" si="118"/>
        <v>13</v>
      </c>
      <c r="R700" s="6" t="str">
        <f t="shared" si="119"/>
        <v>2019</v>
      </c>
      <c r="S700" s="6" t="str">
        <f t="shared" si="120"/>
        <v>Sep</v>
      </c>
    </row>
    <row r="701" spans="1:19" x14ac:dyDescent="0.25">
      <c r="A701" s="6">
        <v>195</v>
      </c>
      <c r="B701" s="6" t="str">
        <f t="shared" si="112"/>
        <v>NIKHRA00195</v>
      </c>
      <c r="C701" s="7" t="s">
        <v>311</v>
      </c>
      <c r="D701" s="7" t="s">
        <v>70</v>
      </c>
      <c r="E701" s="7" t="str">
        <f t="shared" si="113"/>
        <v>MANINDER SINGH</v>
      </c>
      <c r="F701" s="7" t="s">
        <v>13</v>
      </c>
      <c r="G701" s="22">
        <v>44048</v>
      </c>
      <c r="H701" s="8">
        <v>75454</v>
      </c>
      <c r="I701" s="7" t="str">
        <f t="shared" si="114"/>
        <v>maninder.singh@hr.sih.ba</v>
      </c>
      <c r="J701" s="6" t="s">
        <v>1544</v>
      </c>
      <c r="K701" s="6">
        <v>62</v>
      </c>
      <c r="L701" s="7" t="str">
        <f t="shared" si="115"/>
        <v>hr.sih.ba</v>
      </c>
      <c r="M701" s="7" t="str">
        <f t="shared" si="116"/>
        <v>S.Maninder</v>
      </c>
      <c r="N701" s="6">
        <f t="shared" si="122"/>
        <v>7</v>
      </c>
      <c r="O701" s="6">
        <f t="shared" si="121"/>
        <v>0</v>
      </c>
      <c r="P701" s="6" t="str">
        <f t="shared" si="117"/>
        <v>N</v>
      </c>
      <c r="Q701" s="6">
        <f t="shared" si="118"/>
        <v>13</v>
      </c>
      <c r="R701" s="6" t="str">
        <f t="shared" si="119"/>
        <v>2020</v>
      </c>
      <c r="S701" s="6" t="str">
        <f t="shared" si="120"/>
        <v>Aug</v>
      </c>
    </row>
    <row r="702" spans="1:19" x14ac:dyDescent="0.25">
      <c r="A702" s="6">
        <v>202</v>
      </c>
      <c r="B702" s="6" t="str">
        <f t="shared" si="112"/>
        <v>NIKHRA00202</v>
      </c>
      <c r="C702" s="7" t="s">
        <v>34</v>
      </c>
      <c r="D702" s="7" t="s">
        <v>95</v>
      </c>
      <c r="E702" s="7" t="str">
        <f t="shared" si="113"/>
        <v>ARPIT JOSHI</v>
      </c>
      <c r="F702" s="7" t="s">
        <v>13</v>
      </c>
      <c r="G702" s="22">
        <v>44228</v>
      </c>
      <c r="H702" s="8">
        <v>32246</v>
      </c>
      <c r="I702" s="7" t="str">
        <f t="shared" si="114"/>
        <v>arpit.joshi@hr.joi.ba</v>
      </c>
      <c r="J702" s="6" t="s">
        <v>1548</v>
      </c>
      <c r="K702" s="6">
        <v>83</v>
      </c>
      <c r="L702" s="7" t="str">
        <f t="shared" si="115"/>
        <v>hr.joi.ba</v>
      </c>
      <c r="M702" s="7" t="str">
        <f t="shared" si="116"/>
        <v>J.Arpit</v>
      </c>
      <c r="N702" s="6">
        <f t="shared" si="122"/>
        <v>0</v>
      </c>
      <c r="O702" s="6">
        <f t="shared" si="121"/>
        <v>0</v>
      </c>
      <c r="P702" s="6" t="str">
        <f t="shared" si="117"/>
        <v>N</v>
      </c>
      <c r="Q702" s="6">
        <f t="shared" si="118"/>
        <v>10</v>
      </c>
      <c r="R702" s="6" t="str">
        <f t="shared" si="119"/>
        <v>2021</v>
      </c>
      <c r="S702" s="6" t="str">
        <f t="shared" si="120"/>
        <v>Feb</v>
      </c>
    </row>
    <row r="703" spans="1:19" x14ac:dyDescent="0.25">
      <c r="A703" s="6">
        <v>215</v>
      </c>
      <c r="B703" s="6" t="str">
        <f t="shared" si="112"/>
        <v>NIKHRA00215</v>
      </c>
      <c r="C703" s="7" t="s">
        <v>338</v>
      </c>
      <c r="D703" s="7" t="s">
        <v>339</v>
      </c>
      <c r="E703" s="7" t="str">
        <f t="shared" si="113"/>
        <v>BHAVESH SEN</v>
      </c>
      <c r="F703" s="7" t="s">
        <v>13</v>
      </c>
      <c r="G703" s="22">
        <v>44410</v>
      </c>
      <c r="H703" s="8">
        <v>61071</v>
      </c>
      <c r="I703" s="7" t="str">
        <f t="shared" si="114"/>
        <v>bhavesh.sen@hr.sen.ba</v>
      </c>
      <c r="J703" s="6" t="s">
        <v>1537</v>
      </c>
      <c r="K703" s="6">
        <v>48</v>
      </c>
      <c r="L703" s="7" t="str">
        <f t="shared" si="115"/>
        <v>hr.sen.ba</v>
      </c>
      <c r="M703" s="7" t="str">
        <f t="shared" si="116"/>
        <v>S.Bhavesh</v>
      </c>
      <c r="N703" s="6">
        <f t="shared" si="122"/>
        <v>5</v>
      </c>
      <c r="O703" s="6">
        <f t="shared" si="121"/>
        <v>2</v>
      </c>
      <c r="P703" s="6" t="str">
        <f t="shared" si="117"/>
        <v>Y</v>
      </c>
      <c r="Q703" s="6">
        <f t="shared" si="118"/>
        <v>10</v>
      </c>
      <c r="R703" s="6" t="str">
        <f t="shared" si="119"/>
        <v>2021</v>
      </c>
      <c r="S703" s="6" t="str">
        <f t="shared" si="120"/>
        <v>Aug</v>
      </c>
    </row>
    <row r="704" spans="1:19" x14ac:dyDescent="0.25">
      <c r="A704" s="6">
        <v>219</v>
      </c>
      <c r="B704" s="6" t="str">
        <f t="shared" si="112"/>
        <v>NIKHRA00219</v>
      </c>
      <c r="C704" s="7" t="s">
        <v>50</v>
      </c>
      <c r="D704" s="7" t="s">
        <v>68</v>
      </c>
      <c r="E704" s="7" t="str">
        <f t="shared" si="113"/>
        <v>SANDEEP KUMAR</v>
      </c>
      <c r="F704" s="7" t="s">
        <v>13</v>
      </c>
      <c r="G704" s="22">
        <v>44449</v>
      </c>
      <c r="H704" s="8">
        <v>43190</v>
      </c>
      <c r="I704" s="7" t="str">
        <f t="shared" si="114"/>
        <v>sandeep.kumar@hr.kur.ba</v>
      </c>
      <c r="J704" s="6" t="s">
        <v>1539</v>
      </c>
      <c r="K704" s="6">
        <v>85</v>
      </c>
      <c r="L704" s="7" t="str">
        <f t="shared" si="115"/>
        <v>hr.kur.ba</v>
      </c>
      <c r="M704" s="7" t="str">
        <f t="shared" si="116"/>
        <v>K.Sandeep</v>
      </c>
      <c r="N704" s="6">
        <f t="shared" si="122"/>
        <v>5</v>
      </c>
      <c r="O704" s="6">
        <f t="shared" si="121"/>
        <v>0</v>
      </c>
      <c r="P704" s="6" t="str">
        <f t="shared" si="117"/>
        <v>N</v>
      </c>
      <c r="Q704" s="6">
        <f t="shared" si="118"/>
        <v>12</v>
      </c>
      <c r="R704" s="6" t="str">
        <f t="shared" si="119"/>
        <v>2021</v>
      </c>
      <c r="S704" s="6" t="str">
        <f t="shared" si="120"/>
        <v>Sep</v>
      </c>
    </row>
    <row r="705" spans="1:19" x14ac:dyDescent="0.25">
      <c r="A705" s="6">
        <v>221</v>
      </c>
      <c r="B705" s="6" t="str">
        <f t="shared" si="112"/>
        <v>NIKHRA00221</v>
      </c>
      <c r="C705" s="7" t="s">
        <v>18</v>
      </c>
      <c r="D705" s="7" t="s">
        <v>55</v>
      </c>
      <c r="E705" s="7" t="str">
        <f t="shared" si="113"/>
        <v>MOHIT SHARMA</v>
      </c>
      <c r="F705" s="7" t="s">
        <v>13</v>
      </c>
      <c r="G705" s="22">
        <v>44480</v>
      </c>
      <c r="H705" s="8">
        <v>42297</v>
      </c>
      <c r="I705" s="7" t="str">
        <f t="shared" si="114"/>
        <v>mohit.sharma@hr.sha.ba</v>
      </c>
      <c r="J705" s="6" t="s">
        <v>1544</v>
      </c>
      <c r="K705" s="6">
        <v>52</v>
      </c>
      <c r="L705" s="7" t="str">
        <f t="shared" si="115"/>
        <v>hr.sha.ba</v>
      </c>
      <c r="M705" s="7" t="str">
        <f t="shared" si="116"/>
        <v>S.Mohit</v>
      </c>
      <c r="N705" s="6">
        <f t="shared" si="122"/>
        <v>0</v>
      </c>
      <c r="O705" s="6">
        <f t="shared" si="121"/>
        <v>0</v>
      </c>
      <c r="P705" s="6" t="str">
        <f t="shared" si="117"/>
        <v>N</v>
      </c>
      <c r="Q705" s="6">
        <f t="shared" si="118"/>
        <v>11</v>
      </c>
      <c r="R705" s="6" t="str">
        <f t="shared" si="119"/>
        <v>2021</v>
      </c>
      <c r="S705" s="6" t="str">
        <f t="shared" si="120"/>
        <v>Oct</v>
      </c>
    </row>
    <row r="706" spans="1:19" x14ac:dyDescent="0.25">
      <c r="A706" s="6">
        <v>229</v>
      </c>
      <c r="B706" s="6" t="str">
        <f t="shared" ref="B706:B769" si="123">_xlfn.TEXTJOIN("",TRUE,"NIK",UPPER(LEFT(SUBSTITUTE(SUBSTITUTE(F706," ",""),"&amp;",""),3)),TEXT(A706,"00000"))</f>
        <v>NIKHRA00229</v>
      </c>
      <c r="C706" s="7" t="s">
        <v>352</v>
      </c>
      <c r="D706" s="7" t="s">
        <v>85</v>
      </c>
      <c r="E706" s="7" t="str">
        <f t="shared" ref="E706:E769" si="124">_xlfn.TEXTJOIN(" ",TRUE,C706,D706)</f>
        <v>AAMOD RAJESH</v>
      </c>
      <c r="F706" s="7" t="s">
        <v>13</v>
      </c>
      <c r="G706" s="22">
        <v>44531</v>
      </c>
      <c r="H706" s="8">
        <v>96798</v>
      </c>
      <c r="I706" s="7" t="str">
        <f t="shared" ref="I706:I769" si="125">LOWER(C706&amp;"."&amp;D706&amp;"@"&amp;LEFT(SUBSTITUTE(F706," ",""),2))&amp;LOWER("."&amp;LEFT(D706,2))&amp;LOWER(RIGHT(D706,1))&amp;".ba"</f>
        <v>aamod.rajesh@hr.rah.ba</v>
      </c>
      <c r="J706" s="6" t="s">
        <v>1533</v>
      </c>
      <c r="K706" s="6">
        <v>81</v>
      </c>
      <c r="L706" s="7" t="str">
        <f t="shared" ref="L706:L769" si="126">RIGHT(I706,LEN(I706)-FIND("@",I706))</f>
        <v>hr.rah.ba</v>
      </c>
      <c r="M706" s="7" t="str">
        <f t="shared" ref="M706:M769" si="127">UPPER(LEFT(D706,1))&amp;"."&amp;PROPER(C706)</f>
        <v>R.Aamod</v>
      </c>
      <c r="N706" s="6">
        <f t="shared" si="122"/>
        <v>0</v>
      </c>
      <c r="O706" s="6">
        <f t="shared" si="121"/>
        <v>4</v>
      </c>
      <c r="P706" s="6" t="str">
        <f t="shared" ref="P706:P769" si="128">IF(AND(N706&gt;=1,O706&gt;=1),"Y","N")</f>
        <v>N</v>
      </c>
      <c r="Q706" s="6">
        <f t="shared" ref="Q706:Q769" si="129">LEN(SUBSTITUTE(E706, " ", ""))</f>
        <v>11</v>
      </c>
      <c r="R706" s="6" t="str">
        <f t="shared" ref="R706:R769" si="130">TEXT(G706,"YYYY")</f>
        <v>2021</v>
      </c>
      <c r="S706" s="6" t="str">
        <f t="shared" ref="S706:S769" si="131">TEXT(G706,"MMM")</f>
        <v>Dec</v>
      </c>
    </row>
    <row r="707" spans="1:19" x14ac:dyDescent="0.25">
      <c r="A707" s="6">
        <v>259</v>
      </c>
      <c r="B707" s="6" t="str">
        <f t="shared" si="123"/>
        <v>NIKHRA00259</v>
      </c>
      <c r="C707" s="7" t="s">
        <v>146</v>
      </c>
      <c r="D707" s="7" t="s">
        <v>68</v>
      </c>
      <c r="E707" s="7" t="str">
        <f t="shared" si="124"/>
        <v>ANKIT KUMAR</v>
      </c>
      <c r="F707" s="7" t="s">
        <v>13</v>
      </c>
      <c r="G707" s="22">
        <v>44743</v>
      </c>
      <c r="H707" s="8">
        <v>52340</v>
      </c>
      <c r="I707" s="7" t="str">
        <f t="shared" si="125"/>
        <v>ankit.kumar@hr.kur.ba</v>
      </c>
      <c r="J707" s="6" t="s">
        <v>1537</v>
      </c>
      <c r="K707" s="6">
        <v>90</v>
      </c>
      <c r="L707" s="7" t="str">
        <f t="shared" si="126"/>
        <v>hr.kur.ba</v>
      </c>
      <c r="M707" s="7" t="str">
        <f t="shared" si="127"/>
        <v>K.Ankit</v>
      </c>
      <c r="N707" s="6">
        <f t="shared" si="122"/>
        <v>0</v>
      </c>
      <c r="O707" s="6">
        <f t="shared" si="121"/>
        <v>0</v>
      </c>
      <c r="P707" s="6" t="str">
        <f t="shared" si="128"/>
        <v>N</v>
      </c>
      <c r="Q707" s="6">
        <f t="shared" si="129"/>
        <v>10</v>
      </c>
      <c r="R707" s="6" t="str">
        <f t="shared" si="130"/>
        <v>2022</v>
      </c>
      <c r="S707" s="6" t="str">
        <f t="shared" si="131"/>
        <v>Jul</v>
      </c>
    </row>
    <row r="708" spans="1:19" x14ac:dyDescent="0.25">
      <c r="A708" s="6">
        <v>274</v>
      </c>
      <c r="B708" s="6" t="str">
        <f t="shared" si="123"/>
        <v>NIKHRA00274</v>
      </c>
      <c r="C708" s="7" t="s">
        <v>412</v>
      </c>
      <c r="D708" s="7" t="s">
        <v>260</v>
      </c>
      <c r="E708" s="7" t="str">
        <f t="shared" si="124"/>
        <v>SUBODH YADAV</v>
      </c>
      <c r="F708" s="7" t="s">
        <v>13</v>
      </c>
      <c r="G708" s="22">
        <v>44813</v>
      </c>
      <c r="H708" s="8">
        <v>97921</v>
      </c>
      <c r="I708" s="7" t="str">
        <f t="shared" si="125"/>
        <v>subodh.yadav@hr.yav.ba</v>
      </c>
      <c r="J708" s="6" t="s">
        <v>1537</v>
      </c>
      <c r="K708" s="6">
        <v>38</v>
      </c>
      <c r="L708" s="7" t="str">
        <f t="shared" si="126"/>
        <v>hr.yav.ba</v>
      </c>
      <c r="M708" s="7" t="str">
        <f t="shared" si="127"/>
        <v>Y.Subodh</v>
      </c>
      <c r="N708" s="6">
        <f t="shared" si="122"/>
        <v>0</v>
      </c>
      <c r="O708" s="6">
        <f t="shared" si="121"/>
        <v>0</v>
      </c>
      <c r="P708" s="6" t="str">
        <f t="shared" si="128"/>
        <v>N</v>
      </c>
      <c r="Q708" s="6">
        <f t="shared" si="129"/>
        <v>11</v>
      </c>
      <c r="R708" s="6" t="str">
        <f t="shared" si="130"/>
        <v>2022</v>
      </c>
      <c r="S708" s="6" t="str">
        <f t="shared" si="131"/>
        <v>Sep</v>
      </c>
    </row>
    <row r="709" spans="1:19" x14ac:dyDescent="0.25">
      <c r="A709" s="6">
        <v>280</v>
      </c>
      <c r="B709" s="6" t="str">
        <f t="shared" si="123"/>
        <v>NIKHRA00280</v>
      </c>
      <c r="C709" s="7" t="s">
        <v>415</v>
      </c>
      <c r="D709" s="7" t="s">
        <v>416</v>
      </c>
      <c r="E709" s="7" t="str">
        <f t="shared" si="124"/>
        <v>ABHILASH DNYANESHWAR</v>
      </c>
      <c r="F709" s="7" t="s">
        <v>13</v>
      </c>
      <c r="G709" s="22">
        <v>44853</v>
      </c>
      <c r="H709" s="8">
        <v>76018</v>
      </c>
      <c r="I709" s="7" t="str">
        <f t="shared" si="125"/>
        <v>abhilash.dnyaneshwar@hr.dnr.ba</v>
      </c>
      <c r="J709" s="6" t="s">
        <v>1534</v>
      </c>
      <c r="K709" s="6">
        <v>55</v>
      </c>
      <c r="L709" s="7" t="str">
        <f t="shared" si="126"/>
        <v>hr.dnr.ba</v>
      </c>
      <c r="M709" s="7" t="str">
        <f t="shared" si="127"/>
        <v>D.Abhilash</v>
      </c>
      <c r="N709" s="6">
        <f t="shared" si="122"/>
        <v>0</v>
      </c>
      <c r="O709" s="6">
        <f t="shared" si="121"/>
        <v>6</v>
      </c>
      <c r="P709" s="6" t="str">
        <f t="shared" si="128"/>
        <v>N</v>
      </c>
      <c r="Q709" s="6">
        <f t="shared" si="129"/>
        <v>19</v>
      </c>
      <c r="R709" s="6" t="str">
        <f t="shared" si="130"/>
        <v>2022</v>
      </c>
      <c r="S709" s="6" t="str">
        <f t="shared" si="131"/>
        <v>Oct</v>
      </c>
    </row>
    <row r="710" spans="1:19" x14ac:dyDescent="0.25">
      <c r="A710" s="6">
        <v>281</v>
      </c>
      <c r="B710" s="6" t="str">
        <f t="shared" si="123"/>
        <v>NIKHRA00281</v>
      </c>
      <c r="C710" s="7" t="s">
        <v>392</v>
      </c>
      <c r="D710" s="7" t="s">
        <v>417</v>
      </c>
      <c r="E710" s="7" t="str">
        <f t="shared" si="124"/>
        <v>AKSHAY BHAGWAT</v>
      </c>
      <c r="F710" s="7" t="s">
        <v>13</v>
      </c>
      <c r="G710" s="22">
        <v>44866</v>
      </c>
      <c r="H710" s="8">
        <v>76142</v>
      </c>
      <c r="I710" s="7" t="str">
        <f t="shared" si="125"/>
        <v>akshay.bhagwat@hr.bht.ba</v>
      </c>
      <c r="J710" s="6" t="s">
        <v>1541</v>
      </c>
      <c r="K710" s="6">
        <v>75</v>
      </c>
      <c r="L710" s="7" t="str">
        <f t="shared" si="126"/>
        <v>hr.bht.ba</v>
      </c>
      <c r="M710" s="7" t="str">
        <f t="shared" si="127"/>
        <v>B.Akshay</v>
      </c>
      <c r="N710" s="6">
        <f t="shared" si="122"/>
        <v>0</v>
      </c>
      <c r="O710" s="6">
        <f t="shared" si="121"/>
        <v>0</v>
      </c>
      <c r="P710" s="6" t="str">
        <f t="shared" si="128"/>
        <v>N</v>
      </c>
      <c r="Q710" s="6">
        <f t="shared" si="129"/>
        <v>13</v>
      </c>
      <c r="R710" s="6" t="str">
        <f t="shared" si="130"/>
        <v>2022</v>
      </c>
      <c r="S710" s="6" t="str">
        <f t="shared" si="131"/>
        <v>Nov</v>
      </c>
    </row>
    <row r="711" spans="1:19" x14ac:dyDescent="0.25">
      <c r="A711" s="6">
        <v>284</v>
      </c>
      <c r="B711" s="6" t="str">
        <f t="shared" si="123"/>
        <v>NIKHRA00284</v>
      </c>
      <c r="C711" s="7" t="s">
        <v>421</v>
      </c>
      <c r="D711" s="7" t="s">
        <v>422</v>
      </c>
      <c r="E711" s="7" t="str">
        <f t="shared" si="124"/>
        <v>SHAILYBEN ROHITBHAI</v>
      </c>
      <c r="F711" s="7" t="s">
        <v>13</v>
      </c>
      <c r="G711" s="22">
        <v>44866</v>
      </c>
      <c r="H711" s="8">
        <v>61911</v>
      </c>
      <c r="I711" s="7" t="str">
        <f t="shared" si="125"/>
        <v>shailyben.rohitbhai@hr.roi.ba</v>
      </c>
      <c r="J711" s="6" t="s">
        <v>1538</v>
      </c>
      <c r="K711" s="6">
        <v>71</v>
      </c>
      <c r="L711" s="7" t="str">
        <f t="shared" si="126"/>
        <v>hr.roi.ba</v>
      </c>
      <c r="M711" s="7" t="str">
        <f t="shared" si="127"/>
        <v>R.Shailyben</v>
      </c>
      <c r="N711" s="6">
        <f t="shared" si="122"/>
        <v>8</v>
      </c>
      <c r="O711" s="6">
        <f t="shared" si="121"/>
        <v>0</v>
      </c>
      <c r="P711" s="6" t="str">
        <f t="shared" si="128"/>
        <v>N</v>
      </c>
      <c r="Q711" s="6">
        <f t="shared" si="129"/>
        <v>18</v>
      </c>
      <c r="R711" s="6" t="str">
        <f t="shared" si="130"/>
        <v>2022</v>
      </c>
      <c r="S711" s="6" t="str">
        <f t="shared" si="131"/>
        <v>Nov</v>
      </c>
    </row>
    <row r="712" spans="1:19" x14ac:dyDescent="0.25">
      <c r="A712" s="6">
        <v>298</v>
      </c>
      <c r="B712" s="6" t="str">
        <f t="shared" si="123"/>
        <v>NIKHRA00298</v>
      </c>
      <c r="C712" s="7" t="s">
        <v>442</v>
      </c>
      <c r="D712" s="7" t="s">
        <v>179</v>
      </c>
      <c r="E712" s="7" t="str">
        <f t="shared" si="124"/>
        <v>NIBEDITA GUPTA</v>
      </c>
      <c r="F712" s="7" t="s">
        <v>13</v>
      </c>
      <c r="G712" s="22">
        <v>44942</v>
      </c>
      <c r="H712" s="8">
        <v>49160</v>
      </c>
      <c r="I712" s="7" t="str">
        <f t="shared" si="125"/>
        <v>nibedita.gupta@hr.gua.ba</v>
      </c>
      <c r="J712" s="6" t="s">
        <v>1532</v>
      </c>
      <c r="K712" s="6">
        <v>50</v>
      </c>
      <c r="L712" s="7" t="str">
        <f t="shared" si="126"/>
        <v>hr.gua.ba</v>
      </c>
      <c r="M712" s="7" t="str">
        <f t="shared" si="127"/>
        <v>G.Nibedita</v>
      </c>
      <c r="N712" s="6">
        <f t="shared" si="122"/>
        <v>4</v>
      </c>
      <c r="O712" s="6">
        <f t="shared" si="121"/>
        <v>0</v>
      </c>
      <c r="P712" s="6" t="str">
        <f t="shared" si="128"/>
        <v>N</v>
      </c>
      <c r="Q712" s="6">
        <f t="shared" si="129"/>
        <v>13</v>
      </c>
      <c r="R712" s="6" t="str">
        <f t="shared" si="130"/>
        <v>2023</v>
      </c>
      <c r="S712" s="6" t="str">
        <f t="shared" si="131"/>
        <v>Jan</v>
      </c>
    </row>
    <row r="713" spans="1:19" x14ac:dyDescent="0.25">
      <c r="A713" s="6">
        <v>299</v>
      </c>
      <c r="B713" s="6" t="str">
        <f t="shared" si="123"/>
        <v>NIKHRA00299</v>
      </c>
      <c r="C713" s="7" t="s">
        <v>443</v>
      </c>
      <c r="D713" s="7" t="s">
        <v>444</v>
      </c>
      <c r="E713" s="7" t="str">
        <f t="shared" si="124"/>
        <v>RITIKA WADHWANI</v>
      </c>
      <c r="F713" s="7" t="s">
        <v>13</v>
      </c>
      <c r="G713" s="22">
        <v>44942</v>
      </c>
      <c r="H713" s="8">
        <v>36840</v>
      </c>
      <c r="I713" s="7" t="str">
        <f t="shared" si="125"/>
        <v>ritika.wadhwani@hr.wai.ba</v>
      </c>
      <c r="J713" s="6" t="s">
        <v>1547</v>
      </c>
      <c r="K713" s="6">
        <v>74</v>
      </c>
      <c r="L713" s="7" t="str">
        <f t="shared" si="126"/>
        <v>hr.wai.ba</v>
      </c>
      <c r="M713" s="7" t="str">
        <f t="shared" si="127"/>
        <v>W.Ritika</v>
      </c>
      <c r="N713" s="6">
        <f t="shared" si="122"/>
        <v>0</v>
      </c>
      <c r="O713" s="6">
        <f t="shared" si="121"/>
        <v>0</v>
      </c>
      <c r="P713" s="6" t="str">
        <f t="shared" si="128"/>
        <v>N</v>
      </c>
      <c r="Q713" s="6">
        <f t="shared" si="129"/>
        <v>14</v>
      </c>
      <c r="R713" s="6" t="str">
        <f t="shared" si="130"/>
        <v>2023</v>
      </c>
      <c r="S713" s="6" t="str">
        <f t="shared" si="131"/>
        <v>Jan</v>
      </c>
    </row>
    <row r="714" spans="1:19" x14ac:dyDescent="0.25">
      <c r="A714" s="6">
        <v>300</v>
      </c>
      <c r="B714" s="6" t="str">
        <f t="shared" si="123"/>
        <v>NIKHRA00300</v>
      </c>
      <c r="C714" s="7" t="s">
        <v>445</v>
      </c>
      <c r="D714" s="7" t="s">
        <v>446</v>
      </c>
      <c r="E714" s="7" t="str">
        <f t="shared" si="124"/>
        <v>VAIBHAV JAYSUKHBHAI</v>
      </c>
      <c r="F714" s="7" t="s">
        <v>13</v>
      </c>
      <c r="G714" s="22">
        <v>44942</v>
      </c>
      <c r="H714" s="8">
        <v>47754</v>
      </c>
      <c r="I714" s="7" t="str">
        <f t="shared" si="125"/>
        <v>vaibhav.jaysukhbhai@hr.jai.ba</v>
      </c>
      <c r="J714" s="6" t="s">
        <v>1542</v>
      </c>
      <c r="K714" s="6">
        <v>90</v>
      </c>
      <c r="L714" s="7" t="str">
        <f t="shared" si="126"/>
        <v>hr.jai.ba</v>
      </c>
      <c r="M714" s="7" t="str">
        <f t="shared" si="127"/>
        <v>J.Vaibhav</v>
      </c>
      <c r="N714" s="6">
        <f t="shared" si="122"/>
        <v>0</v>
      </c>
      <c r="O714" s="6">
        <f t="shared" si="121"/>
        <v>0</v>
      </c>
      <c r="P714" s="6" t="str">
        <f t="shared" si="128"/>
        <v>N</v>
      </c>
      <c r="Q714" s="6">
        <f t="shared" si="129"/>
        <v>18</v>
      </c>
      <c r="R714" s="6" t="str">
        <f t="shared" si="130"/>
        <v>2023</v>
      </c>
      <c r="S714" s="6" t="str">
        <f t="shared" si="131"/>
        <v>Jan</v>
      </c>
    </row>
    <row r="715" spans="1:19" x14ac:dyDescent="0.25">
      <c r="A715" s="6">
        <v>305</v>
      </c>
      <c r="B715" s="6" t="str">
        <f t="shared" si="123"/>
        <v>NIKHRA00305</v>
      </c>
      <c r="C715" s="7" t="s">
        <v>454</v>
      </c>
      <c r="D715" s="7" t="s">
        <v>455</v>
      </c>
      <c r="E715" s="7" t="str">
        <f t="shared" si="124"/>
        <v>KRUTARTH CHANDRAKANTBHAI</v>
      </c>
      <c r="F715" s="7" t="s">
        <v>13</v>
      </c>
      <c r="G715" s="22">
        <v>44971</v>
      </c>
      <c r="H715" s="8">
        <v>90553</v>
      </c>
      <c r="I715" s="7" t="str">
        <f t="shared" si="125"/>
        <v>krutarth.chandrakantbhai@hr.chi.ba</v>
      </c>
      <c r="J715" s="6" t="s">
        <v>1540</v>
      </c>
      <c r="K715" s="6">
        <v>55</v>
      </c>
      <c r="L715" s="7" t="str">
        <f t="shared" si="126"/>
        <v>hr.chi.ba</v>
      </c>
      <c r="M715" s="7" t="str">
        <f t="shared" si="127"/>
        <v>C.Krutarth</v>
      </c>
      <c r="N715" s="6">
        <f t="shared" si="122"/>
        <v>0</v>
      </c>
      <c r="O715" s="6">
        <f t="shared" si="121"/>
        <v>0</v>
      </c>
      <c r="P715" s="6" t="str">
        <f t="shared" si="128"/>
        <v>N</v>
      </c>
      <c r="Q715" s="6">
        <f t="shared" si="129"/>
        <v>23</v>
      </c>
      <c r="R715" s="6" t="str">
        <f t="shared" si="130"/>
        <v>2023</v>
      </c>
      <c r="S715" s="6" t="str">
        <f t="shared" si="131"/>
        <v>Feb</v>
      </c>
    </row>
    <row r="716" spans="1:19" x14ac:dyDescent="0.25">
      <c r="A716" s="6">
        <v>313</v>
      </c>
      <c r="B716" s="6" t="str">
        <f t="shared" si="123"/>
        <v>NIKHRA00313</v>
      </c>
      <c r="C716" s="7" t="s">
        <v>445</v>
      </c>
      <c r="D716" s="7" t="s">
        <v>465</v>
      </c>
      <c r="E716" s="7" t="str">
        <f t="shared" si="124"/>
        <v>VAIBHAV SURESH</v>
      </c>
      <c r="F716" s="7" t="s">
        <v>13</v>
      </c>
      <c r="G716" s="22">
        <v>45026</v>
      </c>
      <c r="H716" s="8">
        <v>28940</v>
      </c>
      <c r="I716" s="7" t="str">
        <f t="shared" si="125"/>
        <v>vaibhav.suresh@hr.suh.ba</v>
      </c>
      <c r="J716" s="6" t="s">
        <v>1551</v>
      </c>
      <c r="K716" s="6">
        <v>37</v>
      </c>
      <c r="L716" s="7" t="str">
        <f t="shared" si="126"/>
        <v>hr.suh.ba</v>
      </c>
      <c r="M716" s="7" t="str">
        <f t="shared" si="127"/>
        <v>S.Vaibhav</v>
      </c>
      <c r="N716" s="6">
        <f t="shared" si="122"/>
        <v>0</v>
      </c>
      <c r="O716" s="6">
        <f t="shared" si="121"/>
        <v>4</v>
      </c>
      <c r="P716" s="6" t="str">
        <f t="shared" si="128"/>
        <v>N</v>
      </c>
      <c r="Q716" s="6">
        <f t="shared" si="129"/>
        <v>13</v>
      </c>
      <c r="R716" s="6" t="str">
        <f t="shared" si="130"/>
        <v>2023</v>
      </c>
      <c r="S716" s="6" t="str">
        <f t="shared" si="131"/>
        <v>Apr</v>
      </c>
    </row>
    <row r="717" spans="1:19" x14ac:dyDescent="0.25">
      <c r="A717" s="6">
        <v>347</v>
      </c>
      <c r="B717" s="6" t="str">
        <f t="shared" si="123"/>
        <v>NIKHRA00347</v>
      </c>
      <c r="C717" s="7" t="s">
        <v>221</v>
      </c>
      <c r="D717" s="7" t="s">
        <v>247</v>
      </c>
      <c r="E717" s="7" t="str">
        <f t="shared" si="124"/>
        <v>DILIP A</v>
      </c>
      <c r="F717" s="7" t="s">
        <v>13</v>
      </c>
      <c r="G717" s="22">
        <v>45148</v>
      </c>
      <c r="H717" s="8">
        <v>65837</v>
      </c>
      <c r="I717" s="7" t="str">
        <f t="shared" si="125"/>
        <v>dilip.a@hr.aa.ba</v>
      </c>
      <c r="J717" s="6" t="s">
        <v>1534</v>
      </c>
      <c r="K717" s="6">
        <v>74</v>
      </c>
      <c r="L717" s="7" t="str">
        <f t="shared" si="126"/>
        <v>hr.aa.ba</v>
      </c>
      <c r="M717" s="7" t="str">
        <f t="shared" si="127"/>
        <v>A.Dilip</v>
      </c>
      <c r="N717" s="6">
        <f t="shared" si="122"/>
        <v>0</v>
      </c>
      <c r="O717" s="6">
        <f t="shared" si="121"/>
        <v>0</v>
      </c>
      <c r="P717" s="6" t="str">
        <f t="shared" si="128"/>
        <v>N</v>
      </c>
      <c r="Q717" s="6">
        <f t="shared" si="129"/>
        <v>6</v>
      </c>
      <c r="R717" s="6" t="str">
        <f t="shared" si="130"/>
        <v>2023</v>
      </c>
      <c r="S717" s="6" t="str">
        <f t="shared" si="131"/>
        <v>Aug</v>
      </c>
    </row>
    <row r="718" spans="1:19" x14ac:dyDescent="0.25">
      <c r="A718" s="6">
        <v>357</v>
      </c>
      <c r="B718" s="6" t="str">
        <f t="shared" si="123"/>
        <v>NIKHRA00357</v>
      </c>
      <c r="C718" s="7" t="s">
        <v>392</v>
      </c>
      <c r="D718" s="7" t="s">
        <v>207</v>
      </c>
      <c r="E718" s="7" t="str">
        <f t="shared" si="124"/>
        <v>AKSHAY ANKUSH</v>
      </c>
      <c r="F718" s="7" t="s">
        <v>13</v>
      </c>
      <c r="G718" s="22">
        <v>45248</v>
      </c>
      <c r="H718" s="8">
        <v>93591</v>
      </c>
      <c r="I718" s="7" t="str">
        <f t="shared" si="125"/>
        <v>akshay.ankush@hr.anh.ba</v>
      </c>
      <c r="J718" s="6" t="s">
        <v>1536</v>
      </c>
      <c r="K718" s="6">
        <v>57</v>
      </c>
      <c r="L718" s="7" t="str">
        <f t="shared" si="126"/>
        <v>hr.anh.ba</v>
      </c>
      <c r="M718" s="7" t="str">
        <f t="shared" si="127"/>
        <v>A.Akshay</v>
      </c>
      <c r="N718" s="6">
        <f t="shared" si="122"/>
        <v>0</v>
      </c>
      <c r="O718" s="6">
        <f t="shared" si="121"/>
        <v>0</v>
      </c>
      <c r="P718" s="6" t="str">
        <f t="shared" si="128"/>
        <v>N</v>
      </c>
      <c r="Q718" s="6">
        <f t="shared" si="129"/>
        <v>12</v>
      </c>
      <c r="R718" s="6" t="str">
        <f t="shared" si="130"/>
        <v>2023</v>
      </c>
      <c r="S718" s="6" t="str">
        <f t="shared" si="131"/>
        <v>Nov</v>
      </c>
    </row>
    <row r="719" spans="1:19" x14ac:dyDescent="0.25">
      <c r="A719" s="6">
        <v>359</v>
      </c>
      <c r="B719" s="6" t="str">
        <f t="shared" si="123"/>
        <v>NIKHRA00359</v>
      </c>
      <c r="C719" s="7" t="s">
        <v>524</v>
      </c>
      <c r="D719" s="7" t="s">
        <v>120</v>
      </c>
      <c r="E719" s="7" t="str">
        <f t="shared" si="124"/>
        <v>MITA MAHENDRA</v>
      </c>
      <c r="F719" s="7" t="s">
        <v>13</v>
      </c>
      <c r="G719" s="22">
        <v>45261</v>
      </c>
      <c r="H719" s="8">
        <v>91630</v>
      </c>
      <c r="I719" s="7" t="str">
        <f t="shared" si="125"/>
        <v>mita.mahendra@hr.maa.ba</v>
      </c>
      <c r="J719" s="6" t="s">
        <v>1548</v>
      </c>
      <c r="K719" s="6">
        <v>52</v>
      </c>
      <c r="L719" s="7" t="str">
        <f t="shared" si="126"/>
        <v>hr.maa.ba</v>
      </c>
      <c r="M719" s="7" t="str">
        <f t="shared" si="127"/>
        <v>M.Mita</v>
      </c>
      <c r="N719" s="6">
        <f t="shared" si="122"/>
        <v>0</v>
      </c>
      <c r="O719" s="6">
        <f t="shared" si="121"/>
        <v>4</v>
      </c>
      <c r="P719" s="6" t="str">
        <f t="shared" si="128"/>
        <v>N</v>
      </c>
      <c r="Q719" s="6">
        <f t="shared" si="129"/>
        <v>12</v>
      </c>
      <c r="R719" s="6" t="str">
        <f t="shared" si="130"/>
        <v>2023</v>
      </c>
      <c r="S719" s="6" t="str">
        <f t="shared" si="131"/>
        <v>Dec</v>
      </c>
    </row>
    <row r="720" spans="1:19" x14ac:dyDescent="0.25">
      <c r="A720" s="6">
        <v>383</v>
      </c>
      <c r="B720" s="6" t="str">
        <f t="shared" si="123"/>
        <v>NIKHRA00383</v>
      </c>
      <c r="C720" s="7" t="s">
        <v>465</v>
      </c>
      <c r="D720" s="7" t="s">
        <v>55</v>
      </c>
      <c r="E720" s="7" t="str">
        <f t="shared" si="124"/>
        <v>SURESH SHARMA</v>
      </c>
      <c r="F720" s="7" t="s">
        <v>13</v>
      </c>
      <c r="G720" s="22">
        <v>45370</v>
      </c>
      <c r="H720" s="8">
        <v>46287</v>
      </c>
      <c r="I720" s="7" t="str">
        <f t="shared" si="125"/>
        <v>suresh.sharma@hr.sha.ba</v>
      </c>
      <c r="J720" s="6" t="s">
        <v>1540</v>
      </c>
      <c r="K720" s="6">
        <v>42</v>
      </c>
      <c r="L720" s="7" t="str">
        <f t="shared" si="126"/>
        <v>hr.sha.ba</v>
      </c>
      <c r="M720" s="7" t="str">
        <f t="shared" si="127"/>
        <v>S.Suresh</v>
      </c>
      <c r="N720" s="6">
        <f t="shared" si="122"/>
        <v>4</v>
      </c>
      <c r="O720" s="6">
        <f t="shared" si="121"/>
        <v>0</v>
      </c>
      <c r="P720" s="6" t="str">
        <f t="shared" si="128"/>
        <v>N</v>
      </c>
      <c r="Q720" s="6">
        <f t="shared" si="129"/>
        <v>12</v>
      </c>
      <c r="R720" s="6" t="str">
        <f t="shared" si="130"/>
        <v>2024</v>
      </c>
      <c r="S720" s="6" t="str">
        <f t="shared" si="131"/>
        <v>Mar</v>
      </c>
    </row>
    <row r="721" spans="1:19" x14ac:dyDescent="0.25">
      <c r="A721" s="6">
        <v>391</v>
      </c>
      <c r="B721" s="6" t="str">
        <f t="shared" si="123"/>
        <v>NIKHRA00391</v>
      </c>
      <c r="C721" s="7" t="s">
        <v>447</v>
      </c>
      <c r="D721" s="7" t="s">
        <v>562</v>
      </c>
      <c r="E721" s="7" t="str">
        <f t="shared" si="124"/>
        <v>AMAR NARSING</v>
      </c>
      <c r="F721" s="7" t="s">
        <v>13</v>
      </c>
      <c r="G721" s="22">
        <v>45387</v>
      </c>
      <c r="H721" s="8">
        <v>108977</v>
      </c>
      <c r="I721" s="7" t="str">
        <f t="shared" si="125"/>
        <v>amar.narsing@hr.nag.ba</v>
      </c>
      <c r="J721" s="6" t="s">
        <v>1537</v>
      </c>
      <c r="K721" s="6">
        <v>75</v>
      </c>
      <c r="L721" s="7" t="str">
        <f t="shared" si="126"/>
        <v>hr.nag.ba</v>
      </c>
      <c r="M721" s="7" t="str">
        <f t="shared" si="127"/>
        <v>N.Amar</v>
      </c>
      <c r="N721" s="6">
        <f t="shared" si="122"/>
        <v>0</v>
      </c>
      <c r="O721" s="6">
        <f t="shared" si="121"/>
        <v>0</v>
      </c>
      <c r="P721" s="6" t="str">
        <f t="shared" si="128"/>
        <v>N</v>
      </c>
      <c r="Q721" s="6">
        <f t="shared" si="129"/>
        <v>11</v>
      </c>
      <c r="R721" s="6" t="str">
        <f t="shared" si="130"/>
        <v>2024</v>
      </c>
      <c r="S721" s="6" t="str">
        <f t="shared" si="131"/>
        <v>Apr</v>
      </c>
    </row>
    <row r="722" spans="1:19" x14ac:dyDescent="0.25">
      <c r="A722" s="6">
        <v>397</v>
      </c>
      <c r="B722" s="6" t="str">
        <f t="shared" si="123"/>
        <v>NIKHRA00397</v>
      </c>
      <c r="C722" s="7" t="s">
        <v>569</v>
      </c>
      <c r="D722" s="7" t="s">
        <v>570</v>
      </c>
      <c r="E722" s="7" t="str">
        <f t="shared" si="124"/>
        <v>AYUSHI GAUTAM</v>
      </c>
      <c r="F722" s="7" t="s">
        <v>13</v>
      </c>
      <c r="G722" s="22">
        <v>45413</v>
      </c>
      <c r="H722" s="8">
        <v>73998</v>
      </c>
      <c r="I722" s="7" t="str">
        <f t="shared" si="125"/>
        <v>ayushi.gautam@hr.gam.ba</v>
      </c>
      <c r="J722" s="6" t="s">
        <v>1551</v>
      </c>
      <c r="K722" s="6">
        <v>48</v>
      </c>
      <c r="L722" s="7" t="str">
        <f t="shared" si="126"/>
        <v>hr.gam.ba</v>
      </c>
      <c r="M722" s="7" t="str">
        <f t="shared" si="127"/>
        <v>G.Ayushi</v>
      </c>
      <c r="N722" s="6">
        <f t="shared" si="122"/>
        <v>0</v>
      </c>
      <c r="O722" s="6">
        <f t="shared" si="121"/>
        <v>0</v>
      </c>
      <c r="P722" s="6" t="str">
        <f t="shared" si="128"/>
        <v>N</v>
      </c>
      <c r="Q722" s="6">
        <f t="shared" si="129"/>
        <v>12</v>
      </c>
      <c r="R722" s="6" t="str">
        <f t="shared" si="130"/>
        <v>2024</v>
      </c>
      <c r="S722" s="6" t="str">
        <f t="shared" si="131"/>
        <v>May</v>
      </c>
    </row>
    <row r="723" spans="1:19" x14ac:dyDescent="0.25">
      <c r="A723" s="6">
        <v>407</v>
      </c>
      <c r="B723" s="6" t="str">
        <f t="shared" si="123"/>
        <v>NIKHRA00407</v>
      </c>
      <c r="C723" s="7" t="s">
        <v>582</v>
      </c>
      <c r="D723" s="7" t="s">
        <v>583</v>
      </c>
      <c r="E723" s="7" t="str">
        <f t="shared" si="124"/>
        <v>AAYUSHI SUDHAKAR</v>
      </c>
      <c r="F723" s="7" t="s">
        <v>13</v>
      </c>
      <c r="G723" s="22">
        <v>45429</v>
      </c>
      <c r="H723" s="8">
        <v>47652</v>
      </c>
      <c r="I723" s="7" t="str">
        <f t="shared" si="125"/>
        <v>aayushi.sudhakar@hr.sur.ba</v>
      </c>
      <c r="J723" s="6" t="s">
        <v>1534</v>
      </c>
      <c r="K723" s="6">
        <v>56</v>
      </c>
      <c r="L723" s="7" t="str">
        <f t="shared" si="126"/>
        <v>hr.sur.ba</v>
      </c>
      <c r="M723" s="7" t="str">
        <f t="shared" si="127"/>
        <v>S.Aayushi</v>
      </c>
      <c r="N723" s="6">
        <f t="shared" si="122"/>
        <v>0</v>
      </c>
      <c r="O723" s="6">
        <f t="shared" si="121"/>
        <v>0</v>
      </c>
      <c r="P723" s="6" t="str">
        <f t="shared" si="128"/>
        <v>N</v>
      </c>
      <c r="Q723" s="6">
        <f t="shared" si="129"/>
        <v>15</v>
      </c>
      <c r="R723" s="6" t="str">
        <f t="shared" si="130"/>
        <v>2024</v>
      </c>
      <c r="S723" s="6" t="str">
        <f t="shared" si="131"/>
        <v>May</v>
      </c>
    </row>
    <row r="724" spans="1:19" x14ac:dyDescent="0.25">
      <c r="A724" s="6">
        <v>428</v>
      </c>
      <c r="B724" s="6" t="str">
        <f t="shared" si="123"/>
        <v>NIKHRA00428</v>
      </c>
      <c r="C724" s="7" t="s">
        <v>220</v>
      </c>
      <c r="D724" s="7" t="s">
        <v>70</v>
      </c>
      <c r="E724" s="7" t="str">
        <f t="shared" si="124"/>
        <v>SANGRAM SINGH</v>
      </c>
      <c r="F724" s="7" t="s">
        <v>13</v>
      </c>
      <c r="G724" s="22">
        <v>45509</v>
      </c>
      <c r="H724" s="8">
        <v>76654</v>
      </c>
      <c r="I724" s="7" t="str">
        <f t="shared" si="125"/>
        <v>sangram.singh@hr.sih.ba</v>
      </c>
      <c r="J724" s="6" t="s">
        <v>1541</v>
      </c>
      <c r="K724" s="6">
        <v>52</v>
      </c>
      <c r="L724" s="7" t="str">
        <f t="shared" si="126"/>
        <v>hr.sih.ba</v>
      </c>
      <c r="M724" s="7" t="str">
        <f t="shared" si="127"/>
        <v>S.Sangram</v>
      </c>
      <c r="N724" s="6">
        <f t="shared" si="122"/>
        <v>0</v>
      </c>
      <c r="O724" s="6">
        <f t="shared" si="121"/>
        <v>0</v>
      </c>
      <c r="P724" s="6" t="str">
        <f t="shared" si="128"/>
        <v>N</v>
      </c>
      <c r="Q724" s="6">
        <f t="shared" si="129"/>
        <v>12</v>
      </c>
      <c r="R724" s="6" t="str">
        <f t="shared" si="130"/>
        <v>2024</v>
      </c>
      <c r="S724" s="6" t="str">
        <f t="shared" si="131"/>
        <v>Aug</v>
      </c>
    </row>
    <row r="725" spans="1:19" x14ac:dyDescent="0.25">
      <c r="A725" s="6">
        <v>439</v>
      </c>
      <c r="B725" s="6" t="str">
        <f t="shared" si="123"/>
        <v>NIKHRA00439</v>
      </c>
      <c r="C725" s="7" t="s">
        <v>40</v>
      </c>
      <c r="D725" s="7" t="s">
        <v>55</v>
      </c>
      <c r="E725" s="7" t="str">
        <f t="shared" si="124"/>
        <v>SHUBHAM SHARMA</v>
      </c>
      <c r="F725" s="7" t="s">
        <v>13</v>
      </c>
      <c r="G725" s="22">
        <v>45539</v>
      </c>
      <c r="H725" s="8">
        <v>94914</v>
      </c>
      <c r="I725" s="7" t="str">
        <f t="shared" si="125"/>
        <v>shubham.sharma@hr.sha.ba</v>
      </c>
      <c r="J725" s="6" t="s">
        <v>1543</v>
      </c>
      <c r="K725" s="6">
        <v>44</v>
      </c>
      <c r="L725" s="7" t="str">
        <f t="shared" si="126"/>
        <v>hr.sha.ba</v>
      </c>
      <c r="M725" s="7" t="str">
        <f t="shared" si="127"/>
        <v>S.Shubham</v>
      </c>
      <c r="N725" s="6">
        <f t="shared" si="122"/>
        <v>0</v>
      </c>
      <c r="O725" s="6">
        <f t="shared" si="121"/>
        <v>0</v>
      </c>
      <c r="P725" s="6" t="str">
        <f t="shared" si="128"/>
        <v>N</v>
      </c>
      <c r="Q725" s="6">
        <f t="shared" si="129"/>
        <v>13</v>
      </c>
      <c r="R725" s="6" t="str">
        <f t="shared" si="130"/>
        <v>2024</v>
      </c>
      <c r="S725" s="6" t="str">
        <f t="shared" si="131"/>
        <v>Sep</v>
      </c>
    </row>
    <row r="726" spans="1:19" x14ac:dyDescent="0.25">
      <c r="A726" s="6">
        <v>445</v>
      </c>
      <c r="B726" s="6" t="str">
        <f t="shared" si="123"/>
        <v>NIKHRA00445</v>
      </c>
      <c r="C726" s="7" t="s">
        <v>625</v>
      </c>
      <c r="D726" s="7" t="s">
        <v>70</v>
      </c>
      <c r="E726" s="7" t="str">
        <f t="shared" si="124"/>
        <v>MANMINDER SINGH</v>
      </c>
      <c r="F726" s="7" t="s">
        <v>13</v>
      </c>
      <c r="G726" s="22">
        <v>45545</v>
      </c>
      <c r="H726" s="8">
        <v>26771</v>
      </c>
      <c r="I726" s="7" t="str">
        <f t="shared" si="125"/>
        <v>manminder.singh@hr.sih.ba</v>
      </c>
      <c r="J726" s="6" t="s">
        <v>1533</v>
      </c>
      <c r="K726" s="6">
        <v>37</v>
      </c>
      <c r="L726" s="7" t="str">
        <f t="shared" si="126"/>
        <v>hr.sih.ba</v>
      </c>
      <c r="M726" s="7" t="str">
        <f t="shared" si="127"/>
        <v>S.Manminder</v>
      </c>
      <c r="N726" s="6">
        <f t="shared" si="122"/>
        <v>8</v>
      </c>
      <c r="O726" s="6">
        <f t="shared" si="121"/>
        <v>0</v>
      </c>
      <c r="P726" s="6" t="str">
        <f t="shared" si="128"/>
        <v>N</v>
      </c>
      <c r="Q726" s="6">
        <f t="shared" si="129"/>
        <v>14</v>
      </c>
      <c r="R726" s="6" t="str">
        <f t="shared" si="130"/>
        <v>2024</v>
      </c>
      <c r="S726" s="6" t="str">
        <f t="shared" si="131"/>
        <v>Sep</v>
      </c>
    </row>
    <row r="727" spans="1:19" x14ac:dyDescent="0.25">
      <c r="A727" s="6">
        <v>460</v>
      </c>
      <c r="B727" s="6" t="str">
        <f t="shared" si="123"/>
        <v>NIKHRA00460</v>
      </c>
      <c r="C727" s="7" t="s">
        <v>641</v>
      </c>
      <c r="D727" s="7" t="s">
        <v>62</v>
      </c>
      <c r="E727" s="7" t="str">
        <f t="shared" si="124"/>
        <v>MITIKA JAIN</v>
      </c>
      <c r="F727" s="7" t="s">
        <v>13</v>
      </c>
      <c r="G727" s="22">
        <v>45584</v>
      </c>
      <c r="H727" s="8">
        <v>95926</v>
      </c>
      <c r="I727" s="7" t="str">
        <f t="shared" si="125"/>
        <v>mitika.jain@hr.jan.ba</v>
      </c>
      <c r="J727" s="6" t="s">
        <v>1543</v>
      </c>
      <c r="K727" s="6">
        <v>74</v>
      </c>
      <c r="L727" s="7" t="str">
        <f t="shared" si="126"/>
        <v>hr.jan.ba</v>
      </c>
      <c r="M727" s="7" t="str">
        <f t="shared" si="127"/>
        <v>J.Mitika</v>
      </c>
      <c r="N727" s="6">
        <f t="shared" si="122"/>
        <v>0</v>
      </c>
      <c r="O727" s="6">
        <f t="shared" si="121"/>
        <v>0</v>
      </c>
      <c r="P727" s="6" t="str">
        <f t="shared" si="128"/>
        <v>N</v>
      </c>
      <c r="Q727" s="6">
        <f t="shared" si="129"/>
        <v>10</v>
      </c>
      <c r="R727" s="6" t="str">
        <f t="shared" si="130"/>
        <v>2024</v>
      </c>
      <c r="S727" s="6" t="str">
        <f t="shared" si="131"/>
        <v>Oct</v>
      </c>
    </row>
    <row r="728" spans="1:19" x14ac:dyDescent="0.25">
      <c r="A728" s="6">
        <v>463</v>
      </c>
      <c r="B728" s="6" t="str">
        <f t="shared" si="123"/>
        <v>NIKHRA00463</v>
      </c>
      <c r="C728" s="7" t="s">
        <v>644</v>
      </c>
      <c r="D728" s="7" t="s">
        <v>55</v>
      </c>
      <c r="E728" s="7" t="str">
        <f t="shared" si="124"/>
        <v>NIKITA SHARMA</v>
      </c>
      <c r="F728" s="7" t="s">
        <v>13</v>
      </c>
      <c r="G728" s="22">
        <v>45601</v>
      </c>
      <c r="H728" s="8">
        <v>63821</v>
      </c>
      <c r="I728" s="7" t="str">
        <f t="shared" si="125"/>
        <v>nikita.sharma@hr.sha.ba</v>
      </c>
      <c r="J728" s="6" t="s">
        <v>1532</v>
      </c>
      <c r="K728" s="6">
        <v>42</v>
      </c>
      <c r="L728" s="7" t="str">
        <f t="shared" si="126"/>
        <v>hr.sha.ba</v>
      </c>
      <c r="M728" s="7" t="str">
        <f t="shared" si="127"/>
        <v>S.Nikita</v>
      </c>
      <c r="N728" s="6">
        <f t="shared" si="122"/>
        <v>0</v>
      </c>
      <c r="O728" s="6">
        <f t="shared" si="121"/>
        <v>0</v>
      </c>
      <c r="P728" s="6" t="str">
        <f t="shared" si="128"/>
        <v>N</v>
      </c>
      <c r="Q728" s="6">
        <f t="shared" si="129"/>
        <v>12</v>
      </c>
      <c r="R728" s="6" t="str">
        <f t="shared" si="130"/>
        <v>2024</v>
      </c>
      <c r="S728" s="6" t="str">
        <f t="shared" si="131"/>
        <v>Nov</v>
      </c>
    </row>
    <row r="729" spans="1:19" x14ac:dyDescent="0.25">
      <c r="A729" s="6">
        <v>469</v>
      </c>
      <c r="B729" s="6" t="str">
        <f t="shared" si="123"/>
        <v>NIKHRA00469</v>
      </c>
      <c r="C729" s="7" t="s">
        <v>650</v>
      </c>
      <c r="D729" s="7" t="s">
        <v>651</v>
      </c>
      <c r="E729" s="7" t="str">
        <f t="shared" si="124"/>
        <v>ABHIJIT PODDER</v>
      </c>
      <c r="F729" s="7" t="s">
        <v>13</v>
      </c>
      <c r="G729" s="22">
        <v>45614</v>
      </c>
      <c r="H729" s="8">
        <v>45323</v>
      </c>
      <c r="I729" s="7" t="str">
        <f t="shared" si="125"/>
        <v>abhijit.podder@hr.por.ba</v>
      </c>
      <c r="J729" s="6" t="s">
        <v>1542</v>
      </c>
      <c r="K729" s="6">
        <v>45</v>
      </c>
      <c r="L729" s="7" t="str">
        <f t="shared" si="126"/>
        <v>hr.por.ba</v>
      </c>
      <c r="M729" s="7" t="str">
        <f t="shared" si="127"/>
        <v>P.Abhijit</v>
      </c>
      <c r="N729" s="6">
        <f t="shared" si="122"/>
        <v>0</v>
      </c>
      <c r="O729" s="6">
        <f t="shared" si="121"/>
        <v>5</v>
      </c>
      <c r="P729" s="6" t="str">
        <f t="shared" si="128"/>
        <v>N</v>
      </c>
      <c r="Q729" s="6">
        <f t="shared" si="129"/>
        <v>13</v>
      </c>
      <c r="R729" s="6" t="str">
        <f t="shared" si="130"/>
        <v>2024</v>
      </c>
      <c r="S729" s="6" t="str">
        <f t="shared" si="131"/>
        <v>Nov</v>
      </c>
    </row>
    <row r="730" spans="1:19" x14ac:dyDescent="0.25">
      <c r="A730" s="6">
        <v>478</v>
      </c>
      <c r="B730" s="6" t="str">
        <f t="shared" si="123"/>
        <v>NIKHRA00478</v>
      </c>
      <c r="C730" s="7" t="s">
        <v>662</v>
      </c>
      <c r="D730" s="7" t="s">
        <v>70</v>
      </c>
      <c r="E730" s="7" t="str">
        <f t="shared" si="124"/>
        <v>KARAN SINGH</v>
      </c>
      <c r="F730" s="7" t="s">
        <v>13</v>
      </c>
      <c r="G730" s="22">
        <v>45642</v>
      </c>
      <c r="H730" s="8">
        <v>91952</v>
      </c>
      <c r="I730" s="7" t="str">
        <f t="shared" si="125"/>
        <v>karan.singh@hr.sih.ba</v>
      </c>
      <c r="J730" s="6" t="s">
        <v>1544</v>
      </c>
      <c r="K730" s="6">
        <v>81</v>
      </c>
      <c r="L730" s="7" t="str">
        <f t="shared" si="126"/>
        <v>hr.sih.ba</v>
      </c>
      <c r="M730" s="7" t="str">
        <f t="shared" si="127"/>
        <v>S.Karan</v>
      </c>
      <c r="N730" s="6">
        <f t="shared" si="122"/>
        <v>0</v>
      </c>
      <c r="O730" s="6">
        <f t="shared" si="121"/>
        <v>0</v>
      </c>
      <c r="P730" s="6" t="str">
        <f t="shared" si="128"/>
        <v>N</v>
      </c>
      <c r="Q730" s="6">
        <f t="shared" si="129"/>
        <v>10</v>
      </c>
      <c r="R730" s="6" t="str">
        <f t="shared" si="130"/>
        <v>2024</v>
      </c>
      <c r="S730" s="6" t="str">
        <f t="shared" si="131"/>
        <v>Dec</v>
      </c>
    </row>
    <row r="731" spans="1:19" x14ac:dyDescent="0.25">
      <c r="A731" s="6">
        <v>479</v>
      </c>
      <c r="B731" s="6" t="str">
        <f t="shared" si="123"/>
        <v>NIKHRA00479</v>
      </c>
      <c r="C731" s="7" t="s">
        <v>663</v>
      </c>
      <c r="D731" s="7" t="s">
        <v>102</v>
      </c>
      <c r="E731" s="7" t="str">
        <f t="shared" si="124"/>
        <v>RABINA CHAUHAN</v>
      </c>
      <c r="F731" s="7" t="s">
        <v>13</v>
      </c>
      <c r="G731" s="22">
        <v>45642</v>
      </c>
      <c r="H731" s="8">
        <v>109747</v>
      </c>
      <c r="I731" s="7" t="str">
        <f t="shared" si="125"/>
        <v>rabina.chauhan@hr.chn.ba</v>
      </c>
      <c r="J731" s="6" t="s">
        <v>1540</v>
      </c>
      <c r="K731" s="6">
        <v>66</v>
      </c>
      <c r="L731" s="7" t="str">
        <f t="shared" si="126"/>
        <v>hr.chn.ba</v>
      </c>
      <c r="M731" s="7" t="str">
        <f t="shared" si="127"/>
        <v>C.Rabina</v>
      </c>
      <c r="N731" s="6">
        <f t="shared" si="122"/>
        <v>0</v>
      </c>
      <c r="O731" s="6">
        <f t="shared" si="121"/>
        <v>0</v>
      </c>
      <c r="P731" s="6" t="str">
        <f t="shared" si="128"/>
        <v>N</v>
      </c>
      <c r="Q731" s="6">
        <f t="shared" si="129"/>
        <v>13</v>
      </c>
      <c r="R731" s="6" t="str">
        <f t="shared" si="130"/>
        <v>2024</v>
      </c>
      <c r="S731" s="6" t="str">
        <f t="shared" si="131"/>
        <v>Dec</v>
      </c>
    </row>
    <row r="732" spans="1:19" x14ac:dyDescent="0.25">
      <c r="A732" s="6">
        <v>480</v>
      </c>
      <c r="B732" s="6" t="str">
        <f t="shared" si="123"/>
        <v>NIKHRA00480</v>
      </c>
      <c r="C732" s="7" t="s">
        <v>664</v>
      </c>
      <c r="D732" s="7" t="s">
        <v>665</v>
      </c>
      <c r="E732" s="7" t="str">
        <f t="shared" si="124"/>
        <v>ROHAN BAPAT</v>
      </c>
      <c r="F732" s="7" t="s">
        <v>13</v>
      </c>
      <c r="G732" s="22">
        <v>41608</v>
      </c>
      <c r="H732" s="8">
        <v>53955</v>
      </c>
      <c r="I732" s="7" t="str">
        <f t="shared" si="125"/>
        <v>rohan.bapat@hr.bat.ba</v>
      </c>
      <c r="J732" s="6" t="s">
        <v>1537</v>
      </c>
      <c r="K732" s="6">
        <v>45</v>
      </c>
      <c r="L732" s="7" t="str">
        <f t="shared" si="126"/>
        <v>hr.bat.ba</v>
      </c>
      <c r="M732" s="7" t="str">
        <f t="shared" si="127"/>
        <v>B.Rohan</v>
      </c>
      <c r="N732" s="6">
        <f t="shared" si="122"/>
        <v>0</v>
      </c>
      <c r="O732" s="6">
        <f t="shared" si="121"/>
        <v>0</v>
      </c>
      <c r="P732" s="6" t="str">
        <f t="shared" si="128"/>
        <v>N</v>
      </c>
      <c r="Q732" s="6">
        <f t="shared" si="129"/>
        <v>10</v>
      </c>
      <c r="R732" s="6" t="str">
        <f t="shared" si="130"/>
        <v>2013</v>
      </c>
      <c r="S732" s="6" t="str">
        <f t="shared" si="131"/>
        <v>Nov</v>
      </c>
    </row>
    <row r="733" spans="1:19" x14ac:dyDescent="0.25">
      <c r="A733" s="6">
        <v>483</v>
      </c>
      <c r="B733" s="6" t="str">
        <f t="shared" si="123"/>
        <v>NIKHRA00483</v>
      </c>
      <c r="C733" s="7" t="s">
        <v>668</v>
      </c>
      <c r="D733" s="7" t="s">
        <v>501</v>
      </c>
      <c r="E733" s="7" t="str">
        <f t="shared" si="124"/>
        <v>DIPALI PATEL</v>
      </c>
      <c r="F733" s="7" t="s">
        <v>13</v>
      </c>
      <c r="G733" s="22">
        <v>42772</v>
      </c>
      <c r="H733" s="8">
        <v>66717</v>
      </c>
      <c r="I733" s="7" t="str">
        <f t="shared" si="125"/>
        <v>dipali.patel@hr.pal.ba</v>
      </c>
      <c r="J733" s="6" t="s">
        <v>1546</v>
      </c>
      <c r="K733" s="6">
        <v>84</v>
      </c>
      <c r="L733" s="7" t="str">
        <f t="shared" si="126"/>
        <v>hr.pal.ba</v>
      </c>
      <c r="M733" s="7" t="str">
        <f t="shared" si="127"/>
        <v>P.Dipali</v>
      </c>
      <c r="N733" s="6">
        <f t="shared" si="122"/>
        <v>0</v>
      </c>
      <c r="O733" s="6">
        <f t="shared" si="121"/>
        <v>4</v>
      </c>
      <c r="P733" s="6" t="str">
        <f t="shared" si="128"/>
        <v>N</v>
      </c>
      <c r="Q733" s="6">
        <f t="shared" si="129"/>
        <v>11</v>
      </c>
      <c r="R733" s="6" t="str">
        <f t="shared" si="130"/>
        <v>2017</v>
      </c>
      <c r="S733" s="6" t="str">
        <f t="shared" si="131"/>
        <v>Feb</v>
      </c>
    </row>
    <row r="734" spans="1:19" x14ac:dyDescent="0.25">
      <c r="A734" s="6">
        <v>490</v>
      </c>
      <c r="B734" s="6" t="str">
        <f t="shared" si="123"/>
        <v>NIKHRA00490</v>
      </c>
      <c r="C734" s="7" t="s">
        <v>355</v>
      </c>
      <c r="D734" s="7" t="s">
        <v>55</v>
      </c>
      <c r="E734" s="7" t="str">
        <f t="shared" si="124"/>
        <v>SONALI SHARMA</v>
      </c>
      <c r="F734" s="7" t="s">
        <v>13</v>
      </c>
      <c r="G734" s="22">
        <v>42800</v>
      </c>
      <c r="H734" s="8">
        <v>109269</v>
      </c>
      <c r="I734" s="7" t="str">
        <f t="shared" si="125"/>
        <v>sonali.sharma@hr.sha.ba</v>
      </c>
      <c r="J734" s="6" t="s">
        <v>1549</v>
      </c>
      <c r="K734" s="6">
        <v>86</v>
      </c>
      <c r="L734" s="7" t="str">
        <f t="shared" si="126"/>
        <v>hr.sha.ba</v>
      </c>
      <c r="M734" s="7" t="str">
        <f t="shared" si="127"/>
        <v>S.Sonali</v>
      </c>
      <c r="N734" s="6">
        <f t="shared" si="122"/>
        <v>0</v>
      </c>
      <c r="O734" s="6">
        <f t="shared" si="121"/>
        <v>0</v>
      </c>
      <c r="P734" s="6" t="str">
        <f t="shared" si="128"/>
        <v>N</v>
      </c>
      <c r="Q734" s="6">
        <f t="shared" si="129"/>
        <v>12</v>
      </c>
      <c r="R734" s="6" t="str">
        <f t="shared" si="130"/>
        <v>2017</v>
      </c>
      <c r="S734" s="6" t="str">
        <f t="shared" si="131"/>
        <v>Mar</v>
      </c>
    </row>
    <row r="735" spans="1:19" x14ac:dyDescent="0.25">
      <c r="A735" s="6">
        <v>492</v>
      </c>
      <c r="B735" s="6" t="str">
        <f t="shared" si="123"/>
        <v>NIKHRA00492</v>
      </c>
      <c r="C735" s="7" t="s">
        <v>676</v>
      </c>
      <c r="D735" s="7" t="s">
        <v>677</v>
      </c>
      <c r="E735" s="7" t="str">
        <f t="shared" si="124"/>
        <v>HARISH BHOJWANI</v>
      </c>
      <c r="F735" s="7" t="s">
        <v>13</v>
      </c>
      <c r="G735" s="22">
        <v>42646</v>
      </c>
      <c r="H735" s="8">
        <v>47838</v>
      </c>
      <c r="I735" s="7" t="str">
        <f t="shared" si="125"/>
        <v>harish.bhojwani@hr.bhi.ba</v>
      </c>
      <c r="J735" s="6" t="s">
        <v>1541</v>
      </c>
      <c r="K735" s="6">
        <v>56</v>
      </c>
      <c r="L735" s="7" t="str">
        <f t="shared" si="126"/>
        <v>hr.bhi.ba</v>
      </c>
      <c r="M735" s="7" t="str">
        <f t="shared" si="127"/>
        <v>B.Harish</v>
      </c>
      <c r="N735" s="6">
        <f t="shared" si="122"/>
        <v>0</v>
      </c>
      <c r="O735" s="6">
        <f t="shared" si="121"/>
        <v>0</v>
      </c>
      <c r="P735" s="6" t="str">
        <f t="shared" si="128"/>
        <v>N</v>
      </c>
      <c r="Q735" s="6">
        <f t="shared" si="129"/>
        <v>14</v>
      </c>
      <c r="R735" s="6" t="str">
        <f t="shared" si="130"/>
        <v>2016</v>
      </c>
      <c r="S735" s="6" t="str">
        <f t="shared" si="131"/>
        <v>Oct</v>
      </c>
    </row>
    <row r="736" spans="1:19" x14ac:dyDescent="0.25">
      <c r="A736" s="6">
        <v>525</v>
      </c>
      <c r="B736" s="6" t="str">
        <f t="shared" si="123"/>
        <v>NIKHRA00525</v>
      </c>
      <c r="C736" s="7" t="s">
        <v>709</v>
      </c>
      <c r="D736" s="7" t="s">
        <v>710</v>
      </c>
      <c r="E736" s="7" t="str">
        <f t="shared" si="124"/>
        <v>MAYANK HANS</v>
      </c>
      <c r="F736" s="7" t="s">
        <v>13</v>
      </c>
      <c r="G736" s="22">
        <v>42622</v>
      </c>
      <c r="H736" s="8">
        <v>79891</v>
      </c>
      <c r="I736" s="7" t="str">
        <f t="shared" si="125"/>
        <v>mayank.hans@hr.has.ba</v>
      </c>
      <c r="J736" s="6" t="s">
        <v>1544</v>
      </c>
      <c r="K736" s="6">
        <v>63</v>
      </c>
      <c r="L736" s="7" t="str">
        <f t="shared" si="126"/>
        <v>hr.has.ba</v>
      </c>
      <c r="M736" s="7" t="str">
        <f t="shared" si="127"/>
        <v>H.Mayank</v>
      </c>
      <c r="N736" s="6">
        <f t="shared" si="122"/>
        <v>0</v>
      </c>
      <c r="O736" s="6">
        <f t="shared" si="121"/>
        <v>0</v>
      </c>
      <c r="P736" s="6" t="str">
        <f t="shared" si="128"/>
        <v>N</v>
      </c>
      <c r="Q736" s="6">
        <f t="shared" si="129"/>
        <v>10</v>
      </c>
      <c r="R736" s="6" t="str">
        <f t="shared" si="130"/>
        <v>2016</v>
      </c>
      <c r="S736" s="6" t="str">
        <f t="shared" si="131"/>
        <v>Sep</v>
      </c>
    </row>
    <row r="737" spans="1:19" x14ac:dyDescent="0.25">
      <c r="A737" s="6">
        <v>539</v>
      </c>
      <c r="B737" s="6" t="str">
        <f t="shared" si="123"/>
        <v>NIKHRA00539</v>
      </c>
      <c r="C737" s="7" t="s">
        <v>721</v>
      </c>
      <c r="D737" s="7" t="s">
        <v>230</v>
      </c>
      <c r="E737" s="7" t="str">
        <f t="shared" si="124"/>
        <v>DANISH AHMAD</v>
      </c>
      <c r="F737" s="7" t="s">
        <v>13</v>
      </c>
      <c r="G737" s="22">
        <v>42019</v>
      </c>
      <c r="H737" s="8">
        <v>38450</v>
      </c>
      <c r="I737" s="7" t="str">
        <f t="shared" si="125"/>
        <v>danish.ahmad@hr.ahd.ba</v>
      </c>
      <c r="J737" s="6" t="s">
        <v>1538</v>
      </c>
      <c r="K737" s="6">
        <v>58</v>
      </c>
      <c r="L737" s="7" t="str">
        <f t="shared" si="126"/>
        <v>hr.ahd.ba</v>
      </c>
      <c r="M737" s="7" t="str">
        <f t="shared" si="127"/>
        <v>A.Danish</v>
      </c>
      <c r="N737" s="6">
        <f t="shared" si="122"/>
        <v>0</v>
      </c>
      <c r="O737" s="6">
        <f t="shared" si="121"/>
        <v>0</v>
      </c>
      <c r="P737" s="6" t="str">
        <f t="shared" si="128"/>
        <v>N</v>
      </c>
      <c r="Q737" s="6">
        <f t="shared" si="129"/>
        <v>11</v>
      </c>
      <c r="R737" s="6" t="str">
        <f t="shared" si="130"/>
        <v>2015</v>
      </c>
      <c r="S737" s="6" t="str">
        <f t="shared" si="131"/>
        <v>Jan</v>
      </c>
    </row>
    <row r="738" spans="1:19" x14ac:dyDescent="0.25">
      <c r="A738" s="6">
        <v>546</v>
      </c>
      <c r="B738" s="6" t="str">
        <f t="shared" si="123"/>
        <v>NIKHRA00546</v>
      </c>
      <c r="C738" s="7" t="s">
        <v>248</v>
      </c>
      <c r="D738" s="7" t="s">
        <v>55</v>
      </c>
      <c r="E738" s="7" t="str">
        <f t="shared" si="124"/>
        <v>PRIYANKA SHARMA</v>
      </c>
      <c r="F738" s="7" t="s">
        <v>13</v>
      </c>
      <c r="G738" s="22">
        <v>42352</v>
      </c>
      <c r="H738" s="8">
        <v>104404</v>
      </c>
      <c r="I738" s="7" t="str">
        <f t="shared" si="125"/>
        <v>priyanka.sharma@hr.sha.ba</v>
      </c>
      <c r="J738" s="6" t="s">
        <v>1544</v>
      </c>
      <c r="K738" s="6">
        <v>51</v>
      </c>
      <c r="L738" s="7" t="str">
        <f t="shared" si="126"/>
        <v>hr.sha.ba</v>
      </c>
      <c r="M738" s="7" t="str">
        <f t="shared" si="127"/>
        <v>S.Priyanka</v>
      </c>
      <c r="N738" s="6">
        <f t="shared" si="122"/>
        <v>0</v>
      </c>
      <c r="O738" s="6">
        <f t="shared" si="121"/>
        <v>0</v>
      </c>
      <c r="P738" s="6" t="str">
        <f t="shared" si="128"/>
        <v>N</v>
      </c>
      <c r="Q738" s="6">
        <f t="shared" si="129"/>
        <v>14</v>
      </c>
      <c r="R738" s="6" t="str">
        <f t="shared" si="130"/>
        <v>2015</v>
      </c>
      <c r="S738" s="6" t="str">
        <f t="shared" si="131"/>
        <v>Dec</v>
      </c>
    </row>
    <row r="739" spans="1:19" x14ac:dyDescent="0.25">
      <c r="A739" s="6">
        <v>547</v>
      </c>
      <c r="B739" s="6" t="str">
        <f t="shared" si="123"/>
        <v>NIKHRA00547</v>
      </c>
      <c r="C739" s="7" t="s">
        <v>30</v>
      </c>
      <c r="D739" s="7"/>
      <c r="E739" s="7" t="str">
        <f t="shared" si="124"/>
        <v>SUDEEP</v>
      </c>
      <c r="F739" s="7" t="s">
        <v>13</v>
      </c>
      <c r="G739" s="22">
        <v>42644</v>
      </c>
      <c r="H739" s="8">
        <v>35026</v>
      </c>
      <c r="I739" s="7" t="str">
        <f t="shared" si="125"/>
        <v>sudeep.@hr..ba</v>
      </c>
      <c r="J739" s="6" t="s">
        <v>1549</v>
      </c>
      <c r="K739" s="6">
        <v>59</v>
      </c>
      <c r="L739" s="7" t="str">
        <f t="shared" si="126"/>
        <v>hr..ba</v>
      </c>
      <c r="M739" s="7" t="str">
        <f t="shared" si="127"/>
        <v>.Sudeep</v>
      </c>
      <c r="N739" s="6">
        <f t="shared" si="122"/>
        <v>4</v>
      </c>
      <c r="O739" s="6">
        <f t="shared" si="121"/>
        <v>0</v>
      </c>
      <c r="P739" s="6" t="str">
        <f t="shared" si="128"/>
        <v>N</v>
      </c>
      <c r="Q739" s="6">
        <f t="shared" si="129"/>
        <v>6</v>
      </c>
      <c r="R739" s="6" t="str">
        <f t="shared" si="130"/>
        <v>2016</v>
      </c>
      <c r="S739" s="6" t="str">
        <f t="shared" si="131"/>
        <v>Oct</v>
      </c>
    </row>
    <row r="740" spans="1:19" x14ac:dyDescent="0.25">
      <c r="A740" s="6">
        <v>549</v>
      </c>
      <c r="B740" s="6" t="str">
        <f t="shared" si="123"/>
        <v>NIKHRA00549</v>
      </c>
      <c r="C740" s="7" t="s">
        <v>626</v>
      </c>
      <c r="D740" s="7" t="s">
        <v>730</v>
      </c>
      <c r="E740" s="7" t="str">
        <f t="shared" si="124"/>
        <v>MEHAK PANDIT</v>
      </c>
      <c r="F740" s="7" t="s">
        <v>13</v>
      </c>
      <c r="G740" s="22">
        <v>42795</v>
      </c>
      <c r="H740" s="8">
        <v>79202</v>
      </c>
      <c r="I740" s="7" t="str">
        <f t="shared" si="125"/>
        <v>mehak.pandit@hr.pat.ba</v>
      </c>
      <c r="J740" s="6" t="s">
        <v>1532</v>
      </c>
      <c r="K740" s="6">
        <v>39</v>
      </c>
      <c r="L740" s="7" t="str">
        <f t="shared" si="126"/>
        <v>hr.pat.ba</v>
      </c>
      <c r="M740" s="7" t="str">
        <f t="shared" si="127"/>
        <v>P.Mehak</v>
      </c>
      <c r="N740" s="6">
        <f t="shared" si="122"/>
        <v>2</v>
      </c>
      <c r="O740" s="6">
        <f t="shared" si="121"/>
        <v>0</v>
      </c>
      <c r="P740" s="6" t="str">
        <f t="shared" si="128"/>
        <v>N</v>
      </c>
      <c r="Q740" s="6">
        <f t="shared" si="129"/>
        <v>11</v>
      </c>
      <c r="R740" s="6" t="str">
        <f t="shared" si="130"/>
        <v>2017</v>
      </c>
      <c r="S740" s="6" t="str">
        <f t="shared" si="131"/>
        <v>Mar</v>
      </c>
    </row>
    <row r="741" spans="1:19" x14ac:dyDescent="0.25">
      <c r="A741" s="6">
        <v>559</v>
      </c>
      <c r="B741" s="6" t="str">
        <f t="shared" si="123"/>
        <v>NIKHRA00559</v>
      </c>
      <c r="C741" s="7" t="s">
        <v>311</v>
      </c>
      <c r="D741" s="7" t="s">
        <v>70</v>
      </c>
      <c r="E741" s="7" t="str">
        <f t="shared" si="124"/>
        <v>MANINDER SINGH</v>
      </c>
      <c r="F741" s="7" t="s">
        <v>13</v>
      </c>
      <c r="G741" s="22">
        <v>42905</v>
      </c>
      <c r="H741" s="8">
        <v>100269</v>
      </c>
      <c r="I741" s="7" t="str">
        <f t="shared" si="125"/>
        <v>maninder.singh@hr.sih.ba</v>
      </c>
      <c r="J741" s="6" t="s">
        <v>1550</v>
      </c>
      <c r="K741" s="6">
        <v>74</v>
      </c>
      <c r="L741" s="7" t="str">
        <f t="shared" si="126"/>
        <v>hr.sih.ba</v>
      </c>
      <c r="M741" s="7" t="str">
        <f t="shared" si="127"/>
        <v>S.Maninder</v>
      </c>
      <c r="N741" s="6">
        <f t="shared" si="122"/>
        <v>7</v>
      </c>
      <c r="O741" s="6">
        <f t="shared" si="121"/>
        <v>0</v>
      </c>
      <c r="P741" s="6" t="str">
        <f t="shared" si="128"/>
        <v>N</v>
      </c>
      <c r="Q741" s="6">
        <f t="shared" si="129"/>
        <v>13</v>
      </c>
      <c r="R741" s="6" t="str">
        <f t="shared" si="130"/>
        <v>2017</v>
      </c>
      <c r="S741" s="6" t="str">
        <f t="shared" si="131"/>
        <v>Jun</v>
      </c>
    </row>
    <row r="742" spans="1:19" x14ac:dyDescent="0.25">
      <c r="A742" s="6">
        <v>560</v>
      </c>
      <c r="B742" s="6" t="str">
        <f t="shared" si="123"/>
        <v>NIKHRA00560</v>
      </c>
      <c r="C742" s="7" t="s">
        <v>739</v>
      </c>
      <c r="D742" s="7" t="s">
        <v>154</v>
      </c>
      <c r="E742" s="7" t="str">
        <f t="shared" si="124"/>
        <v>HINA BHARDWAJ</v>
      </c>
      <c r="F742" s="7" t="s">
        <v>13</v>
      </c>
      <c r="G742" s="22">
        <v>42797</v>
      </c>
      <c r="H742" s="8">
        <v>67926</v>
      </c>
      <c r="I742" s="7" t="str">
        <f t="shared" si="125"/>
        <v>hina.bhardwaj@hr.bhj.ba</v>
      </c>
      <c r="J742" s="6" t="s">
        <v>1541</v>
      </c>
      <c r="K742" s="6">
        <v>77</v>
      </c>
      <c r="L742" s="7" t="str">
        <f t="shared" si="126"/>
        <v>hr.bhj.ba</v>
      </c>
      <c r="M742" s="7" t="str">
        <f t="shared" si="127"/>
        <v>B.Hina</v>
      </c>
      <c r="N742" s="6">
        <f t="shared" si="122"/>
        <v>0</v>
      </c>
      <c r="O742" s="6">
        <f t="shared" si="121"/>
        <v>0</v>
      </c>
      <c r="P742" s="6" t="str">
        <f t="shared" si="128"/>
        <v>N</v>
      </c>
      <c r="Q742" s="6">
        <f t="shared" si="129"/>
        <v>12</v>
      </c>
      <c r="R742" s="6" t="str">
        <f t="shared" si="130"/>
        <v>2017</v>
      </c>
      <c r="S742" s="6" t="str">
        <f t="shared" si="131"/>
        <v>Mar</v>
      </c>
    </row>
    <row r="743" spans="1:19" x14ac:dyDescent="0.25">
      <c r="A743" s="6">
        <v>582</v>
      </c>
      <c r="B743" s="6" t="str">
        <f t="shared" si="123"/>
        <v>NIKHRA00582</v>
      </c>
      <c r="C743" s="7" t="s">
        <v>286</v>
      </c>
      <c r="D743" s="7" t="s">
        <v>675</v>
      </c>
      <c r="E743" s="7" t="str">
        <f t="shared" si="124"/>
        <v>KAPIL DEV</v>
      </c>
      <c r="F743" s="7" t="s">
        <v>13</v>
      </c>
      <c r="G743" s="22">
        <v>42917</v>
      </c>
      <c r="H743" s="8">
        <v>51626</v>
      </c>
      <c r="I743" s="7" t="str">
        <f t="shared" si="125"/>
        <v>kapil.dev@hr.dev.ba</v>
      </c>
      <c r="J743" s="6" t="s">
        <v>1545</v>
      </c>
      <c r="K743" s="6">
        <v>51</v>
      </c>
      <c r="L743" s="7" t="str">
        <f t="shared" si="126"/>
        <v>hr.dev.ba</v>
      </c>
      <c r="M743" s="7" t="str">
        <f t="shared" si="127"/>
        <v>D.Kapil</v>
      </c>
      <c r="N743" s="6">
        <f t="shared" si="122"/>
        <v>0</v>
      </c>
      <c r="O743" s="6">
        <f t="shared" si="121"/>
        <v>2</v>
      </c>
      <c r="P743" s="6" t="str">
        <f t="shared" si="128"/>
        <v>N</v>
      </c>
      <c r="Q743" s="6">
        <f t="shared" si="129"/>
        <v>8</v>
      </c>
      <c r="R743" s="6" t="str">
        <f t="shared" si="130"/>
        <v>2017</v>
      </c>
      <c r="S743" s="6" t="str">
        <f t="shared" si="131"/>
        <v>Jul</v>
      </c>
    </row>
    <row r="744" spans="1:19" x14ac:dyDescent="0.25">
      <c r="A744" s="6">
        <v>596</v>
      </c>
      <c r="B744" s="6" t="str">
        <f t="shared" si="123"/>
        <v>NIKHRA00596</v>
      </c>
      <c r="C744" s="7" t="s">
        <v>775</v>
      </c>
      <c r="D744" s="7" t="s">
        <v>68</v>
      </c>
      <c r="E744" s="7" t="str">
        <f t="shared" si="124"/>
        <v>ALOK KUMAR</v>
      </c>
      <c r="F744" s="7" t="s">
        <v>13</v>
      </c>
      <c r="G744" s="22">
        <v>42585</v>
      </c>
      <c r="H744" s="8">
        <v>30848</v>
      </c>
      <c r="I744" s="7" t="str">
        <f t="shared" si="125"/>
        <v>alok.kumar@hr.kur.ba</v>
      </c>
      <c r="J744" s="6" t="s">
        <v>1540</v>
      </c>
      <c r="K744" s="6">
        <v>78</v>
      </c>
      <c r="L744" s="7" t="str">
        <f t="shared" si="126"/>
        <v>hr.kur.ba</v>
      </c>
      <c r="M744" s="7" t="str">
        <f t="shared" si="127"/>
        <v>K.Alok</v>
      </c>
      <c r="N744" s="6">
        <f t="shared" si="122"/>
        <v>0</v>
      </c>
      <c r="O744" s="6">
        <f t="shared" si="121"/>
        <v>0</v>
      </c>
      <c r="P744" s="6" t="str">
        <f t="shared" si="128"/>
        <v>N</v>
      </c>
      <c r="Q744" s="6">
        <f t="shared" si="129"/>
        <v>9</v>
      </c>
      <c r="R744" s="6" t="str">
        <f t="shared" si="130"/>
        <v>2016</v>
      </c>
      <c r="S744" s="6" t="str">
        <f t="shared" si="131"/>
        <v>Aug</v>
      </c>
    </row>
    <row r="745" spans="1:19" x14ac:dyDescent="0.25">
      <c r="A745" s="6">
        <v>611</v>
      </c>
      <c r="B745" s="6" t="str">
        <f t="shared" si="123"/>
        <v>NIKHRA00611</v>
      </c>
      <c r="C745" s="7" t="s">
        <v>794</v>
      </c>
      <c r="D745" s="7" t="s">
        <v>32</v>
      </c>
      <c r="E745" s="7" t="str">
        <f t="shared" si="124"/>
        <v>LALLIT SUSHIL</v>
      </c>
      <c r="F745" s="7" t="s">
        <v>13</v>
      </c>
      <c r="G745" s="22">
        <v>42870</v>
      </c>
      <c r="H745" s="8">
        <v>73190</v>
      </c>
      <c r="I745" s="7" t="str">
        <f t="shared" si="125"/>
        <v>lallit.sushil@hr.sul.ba</v>
      </c>
      <c r="J745" s="6" t="s">
        <v>1548</v>
      </c>
      <c r="K745" s="6">
        <v>81</v>
      </c>
      <c r="L745" s="7" t="str">
        <f t="shared" si="126"/>
        <v>hr.sul.ba</v>
      </c>
      <c r="M745" s="7" t="str">
        <f t="shared" si="127"/>
        <v>S.Lallit</v>
      </c>
      <c r="N745" s="6">
        <f t="shared" si="122"/>
        <v>0</v>
      </c>
      <c r="O745" s="6">
        <f t="shared" si="121"/>
        <v>0</v>
      </c>
      <c r="P745" s="6" t="str">
        <f t="shared" si="128"/>
        <v>N</v>
      </c>
      <c r="Q745" s="6">
        <f t="shared" si="129"/>
        <v>12</v>
      </c>
      <c r="R745" s="6" t="str">
        <f t="shared" si="130"/>
        <v>2017</v>
      </c>
      <c r="S745" s="6" t="str">
        <f t="shared" si="131"/>
        <v>May</v>
      </c>
    </row>
    <row r="746" spans="1:19" x14ac:dyDescent="0.25">
      <c r="A746" s="6">
        <v>617</v>
      </c>
      <c r="B746" s="6" t="str">
        <f t="shared" si="123"/>
        <v>NIKHRA00617</v>
      </c>
      <c r="C746" s="7" t="s">
        <v>125</v>
      </c>
      <c r="D746" s="7" t="s">
        <v>609</v>
      </c>
      <c r="E746" s="7" t="str">
        <f t="shared" si="124"/>
        <v>VIKAS PAWAR</v>
      </c>
      <c r="F746" s="7" t="s">
        <v>13</v>
      </c>
      <c r="G746" s="22">
        <v>41391</v>
      </c>
      <c r="H746" s="8">
        <v>92771</v>
      </c>
      <c r="I746" s="7" t="str">
        <f t="shared" si="125"/>
        <v>vikas.pawar@hr.par.ba</v>
      </c>
      <c r="J746" s="6" t="s">
        <v>1548</v>
      </c>
      <c r="K746" s="6">
        <v>90</v>
      </c>
      <c r="L746" s="7" t="str">
        <f t="shared" si="126"/>
        <v>hr.par.ba</v>
      </c>
      <c r="M746" s="7" t="str">
        <f t="shared" si="127"/>
        <v>P.Vikas</v>
      </c>
      <c r="N746" s="6">
        <f t="shared" si="122"/>
        <v>0</v>
      </c>
      <c r="O746" s="6">
        <f t="shared" si="121"/>
        <v>0</v>
      </c>
      <c r="P746" s="6" t="str">
        <f t="shared" si="128"/>
        <v>N</v>
      </c>
      <c r="Q746" s="6">
        <f t="shared" si="129"/>
        <v>10</v>
      </c>
      <c r="R746" s="6" t="str">
        <f t="shared" si="130"/>
        <v>2013</v>
      </c>
      <c r="S746" s="6" t="str">
        <f t="shared" si="131"/>
        <v>Apr</v>
      </c>
    </row>
    <row r="747" spans="1:19" x14ac:dyDescent="0.25">
      <c r="A747" s="6">
        <v>619</v>
      </c>
      <c r="B747" s="6" t="str">
        <f t="shared" si="123"/>
        <v>NIKHRA00619</v>
      </c>
      <c r="C747" s="7" t="s">
        <v>801</v>
      </c>
      <c r="D747" s="7" t="s">
        <v>802</v>
      </c>
      <c r="E747" s="7" t="str">
        <f t="shared" si="124"/>
        <v>LATESH I</v>
      </c>
      <c r="F747" s="7" t="s">
        <v>13</v>
      </c>
      <c r="G747" s="22">
        <v>42579</v>
      </c>
      <c r="H747" s="8">
        <v>84484</v>
      </c>
      <c r="I747" s="7" t="str">
        <f t="shared" si="125"/>
        <v>latesh.i@hr.ii.ba</v>
      </c>
      <c r="J747" s="6" t="s">
        <v>1536</v>
      </c>
      <c r="K747" s="6">
        <v>54</v>
      </c>
      <c r="L747" s="7" t="str">
        <f t="shared" si="126"/>
        <v>hr.ii.ba</v>
      </c>
      <c r="M747" s="7" t="str">
        <f t="shared" si="127"/>
        <v>I.Latesh</v>
      </c>
      <c r="N747" s="6">
        <f t="shared" si="122"/>
        <v>4</v>
      </c>
      <c r="O747" s="6">
        <f t="shared" si="121"/>
        <v>0</v>
      </c>
      <c r="P747" s="6" t="str">
        <f t="shared" si="128"/>
        <v>N</v>
      </c>
      <c r="Q747" s="6">
        <f t="shared" si="129"/>
        <v>7</v>
      </c>
      <c r="R747" s="6" t="str">
        <f t="shared" si="130"/>
        <v>2016</v>
      </c>
      <c r="S747" s="6" t="str">
        <f t="shared" si="131"/>
        <v>Jul</v>
      </c>
    </row>
    <row r="748" spans="1:19" x14ac:dyDescent="0.25">
      <c r="A748" s="6">
        <v>623</v>
      </c>
      <c r="B748" s="6" t="str">
        <f t="shared" si="123"/>
        <v>NIKHRA00623</v>
      </c>
      <c r="C748" s="7" t="s">
        <v>804</v>
      </c>
      <c r="D748" s="7" t="s">
        <v>805</v>
      </c>
      <c r="E748" s="7" t="str">
        <f t="shared" si="124"/>
        <v>BALJEET BEDI</v>
      </c>
      <c r="F748" s="7" t="s">
        <v>13</v>
      </c>
      <c r="G748" s="22">
        <v>42979</v>
      </c>
      <c r="H748" s="8">
        <v>48568</v>
      </c>
      <c r="I748" s="7" t="str">
        <f t="shared" si="125"/>
        <v>baljeet.bedi@hr.bei.ba</v>
      </c>
      <c r="J748" s="6" t="s">
        <v>1549</v>
      </c>
      <c r="K748" s="6">
        <v>67</v>
      </c>
      <c r="L748" s="7" t="str">
        <f t="shared" si="126"/>
        <v>hr.bei.ba</v>
      </c>
      <c r="M748" s="7" t="str">
        <f t="shared" si="127"/>
        <v>B.Baljeet</v>
      </c>
      <c r="N748" s="6">
        <f t="shared" si="122"/>
        <v>5</v>
      </c>
      <c r="O748" s="6">
        <f t="shared" ref="O748:O811" si="132">IFERROR(SEARCH("e",D748),0)</f>
        <v>2</v>
      </c>
      <c r="P748" s="6" t="str">
        <f t="shared" si="128"/>
        <v>Y</v>
      </c>
      <c r="Q748" s="6">
        <f t="shared" si="129"/>
        <v>11</v>
      </c>
      <c r="R748" s="6" t="str">
        <f t="shared" si="130"/>
        <v>2017</v>
      </c>
      <c r="S748" s="6" t="str">
        <f t="shared" si="131"/>
        <v>Sep</v>
      </c>
    </row>
    <row r="749" spans="1:19" x14ac:dyDescent="0.25">
      <c r="A749" s="6">
        <v>632</v>
      </c>
      <c r="B749" s="6" t="str">
        <f t="shared" si="123"/>
        <v>NIKHRA00632</v>
      </c>
      <c r="C749" s="7" t="s">
        <v>222</v>
      </c>
      <c r="D749" s="7" t="s">
        <v>812</v>
      </c>
      <c r="E749" s="7" t="str">
        <f t="shared" si="124"/>
        <v>SHWETA CHOPRA</v>
      </c>
      <c r="F749" s="7" t="s">
        <v>13</v>
      </c>
      <c r="G749" s="22">
        <v>42966</v>
      </c>
      <c r="H749" s="8">
        <v>70482</v>
      </c>
      <c r="I749" s="7" t="str">
        <f t="shared" si="125"/>
        <v>shweta.chopra@hr.cha.ba</v>
      </c>
      <c r="J749" s="6" t="s">
        <v>1550</v>
      </c>
      <c r="K749" s="6">
        <v>46</v>
      </c>
      <c r="L749" s="7" t="str">
        <f t="shared" si="126"/>
        <v>hr.cha.ba</v>
      </c>
      <c r="M749" s="7" t="str">
        <f t="shared" si="127"/>
        <v>C.Shweta</v>
      </c>
      <c r="N749" s="6">
        <f t="shared" si="122"/>
        <v>4</v>
      </c>
      <c r="O749" s="6">
        <f t="shared" si="132"/>
        <v>0</v>
      </c>
      <c r="P749" s="6" t="str">
        <f t="shared" si="128"/>
        <v>N</v>
      </c>
      <c r="Q749" s="6">
        <f t="shared" si="129"/>
        <v>12</v>
      </c>
      <c r="R749" s="6" t="str">
        <f t="shared" si="130"/>
        <v>2017</v>
      </c>
      <c r="S749" s="6" t="str">
        <f t="shared" si="131"/>
        <v>Aug</v>
      </c>
    </row>
    <row r="750" spans="1:19" x14ac:dyDescent="0.25">
      <c r="A750" s="6">
        <v>633</v>
      </c>
      <c r="B750" s="6" t="str">
        <f t="shared" si="123"/>
        <v>NIKHRA00633</v>
      </c>
      <c r="C750" s="7" t="s">
        <v>813</v>
      </c>
      <c r="D750" s="7" t="s">
        <v>814</v>
      </c>
      <c r="E750" s="7" t="str">
        <f t="shared" si="124"/>
        <v>DARSHIL ASHOKBHAI</v>
      </c>
      <c r="F750" s="7" t="s">
        <v>13</v>
      </c>
      <c r="G750" s="22">
        <v>42268</v>
      </c>
      <c r="H750" s="8">
        <v>38344</v>
      </c>
      <c r="I750" s="7" t="str">
        <f t="shared" si="125"/>
        <v>darshil.ashokbhai@hr.asi.ba</v>
      </c>
      <c r="J750" s="6" t="s">
        <v>1536</v>
      </c>
      <c r="K750" s="6">
        <v>60</v>
      </c>
      <c r="L750" s="7" t="str">
        <f t="shared" si="126"/>
        <v>hr.asi.ba</v>
      </c>
      <c r="M750" s="7" t="str">
        <f t="shared" si="127"/>
        <v>A.Darshil</v>
      </c>
      <c r="N750" s="6">
        <f t="shared" ref="N750:N813" si="133">IFERROR(SEARCH("e",C750),0)</f>
        <v>0</v>
      </c>
      <c r="O750" s="6">
        <f t="shared" si="132"/>
        <v>0</v>
      </c>
      <c r="P750" s="6" t="str">
        <f t="shared" si="128"/>
        <v>N</v>
      </c>
      <c r="Q750" s="6">
        <f t="shared" si="129"/>
        <v>16</v>
      </c>
      <c r="R750" s="6" t="str">
        <f t="shared" si="130"/>
        <v>2015</v>
      </c>
      <c r="S750" s="6" t="str">
        <f t="shared" si="131"/>
        <v>Sep</v>
      </c>
    </row>
    <row r="751" spans="1:19" x14ac:dyDescent="0.25">
      <c r="A751" s="6">
        <v>645</v>
      </c>
      <c r="B751" s="6" t="str">
        <f t="shared" si="123"/>
        <v>NIKHRA00645</v>
      </c>
      <c r="C751" s="7" t="s">
        <v>672</v>
      </c>
      <c r="D751" s="7" t="s">
        <v>249</v>
      </c>
      <c r="E751" s="7" t="str">
        <f t="shared" si="124"/>
        <v>VARUN N</v>
      </c>
      <c r="F751" s="7" t="s">
        <v>13</v>
      </c>
      <c r="G751" s="22">
        <v>42751</v>
      </c>
      <c r="H751" s="8">
        <v>72736</v>
      </c>
      <c r="I751" s="7" t="str">
        <f t="shared" si="125"/>
        <v>varun.n@hr.nn.ba</v>
      </c>
      <c r="J751" s="6" t="s">
        <v>1537</v>
      </c>
      <c r="K751" s="6">
        <v>64</v>
      </c>
      <c r="L751" s="7" t="str">
        <f t="shared" si="126"/>
        <v>hr.nn.ba</v>
      </c>
      <c r="M751" s="7" t="str">
        <f t="shared" si="127"/>
        <v>N.Varun</v>
      </c>
      <c r="N751" s="6">
        <f t="shared" si="133"/>
        <v>0</v>
      </c>
      <c r="O751" s="6">
        <f t="shared" si="132"/>
        <v>0</v>
      </c>
      <c r="P751" s="6" t="str">
        <f t="shared" si="128"/>
        <v>N</v>
      </c>
      <c r="Q751" s="6">
        <f t="shared" si="129"/>
        <v>6</v>
      </c>
      <c r="R751" s="6" t="str">
        <f t="shared" si="130"/>
        <v>2017</v>
      </c>
      <c r="S751" s="6" t="str">
        <f t="shared" si="131"/>
        <v>Jan</v>
      </c>
    </row>
    <row r="752" spans="1:19" x14ac:dyDescent="0.25">
      <c r="A752" s="6">
        <v>649</v>
      </c>
      <c r="B752" s="6" t="str">
        <f t="shared" si="123"/>
        <v>NIKHRA00649</v>
      </c>
      <c r="C752" s="7" t="s">
        <v>827</v>
      </c>
      <c r="D752" s="7" t="s">
        <v>828</v>
      </c>
      <c r="E752" s="7" t="str">
        <f t="shared" si="124"/>
        <v>DEVAL SHARADBHAI</v>
      </c>
      <c r="F752" s="7" t="s">
        <v>13</v>
      </c>
      <c r="G752" s="22">
        <v>42506</v>
      </c>
      <c r="H752" s="8">
        <v>60593</v>
      </c>
      <c r="I752" s="7" t="str">
        <f t="shared" si="125"/>
        <v>deval.sharadbhai@hr.shi.ba</v>
      </c>
      <c r="J752" s="6" t="s">
        <v>1550</v>
      </c>
      <c r="K752" s="6">
        <v>50</v>
      </c>
      <c r="L752" s="7" t="str">
        <f t="shared" si="126"/>
        <v>hr.shi.ba</v>
      </c>
      <c r="M752" s="7" t="str">
        <f t="shared" si="127"/>
        <v>S.Deval</v>
      </c>
      <c r="N752" s="6">
        <f t="shared" si="133"/>
        <v>2</v>
      </c>
      <c r="O752" s="6">
        <f t="shared" si="132"/>
        <v>0</v>
      </c>
      <c r="P752" s="6" t="str">
        <f t="shared" si="128"/>
        <v>N</v>
      </c>
      <c r="Q752" s="6">
        <f t="shared" si="129"/>
        <v>15</v>
      </c>
      <c r="R752" s="6" t="str">
        <f t="shared" si="130"/>
        <v>2016</v>
      </c>
      <c r="S752" s="6" t="str">
        <f t="shared" si="131"/>
        <v>May</v>
      </c>
    </row>
    <row r="753" spans="1:19" x14ac:dyDescent="0.25">
      <c r="A753" s="6">
        <v>659</v>
      </c>
      <c r="B753" s="6" t="str">
        <f t="shared" si="123"/>
        <v>NIKHRA00659</v>
      </c>
      <c r="C753" s="7" t="s">
        <v>838</v>
      </c>
      <c r="D753" s="7" t="s">
        <v>839</v>
      </c>
      <c r="E753" s="7" t="str">
        <f t="shared" si="124"/>
        <v>KAMAYA SARASWAT</v>
      </c>
      <c r="F753" s="7" t="s">
        <v>13</v>
      </c>
      <c r="G753" s="22">
        <v>42870</v>
      </c>
      <c r="H753" s="8">
        <v>70278</v>
      </c>
      <c r="I753" s="7" t="str">
        <f t="shared" si="125"/>
        <v>kamaya.saraswat@hr.sat.ba</v>
      </c>
      <c r="J753" s="6" t="s">
        <v>1551</v>
      </c>
      <c r="K753" s="6">
        <v>60</v>
      </c>
      <c r="L753" s="7" t="str">
        <f t="shared" si="126"/>
        <v>hr.sat.ba</v>
      </c>
      <c r="M753" s="7" t="str">
        <f t="shared" si="127"/>
        <v>S.Kamaya</v>
      </c>
      <c r="N753" s="6">
        <f t="shared" si="133"/>
        <v>0</v>
      </c>
      <c r="O753" s="6">
        <f t="shared" si="132"/>
        <v>0</v>
      </c>
      <c r="P753" s="6" t="str">
        <f t="shared" si="128"/>
        <v>N</v>
      </c>
      <c r="Q753" s="6">
        <f t="shared" si="129"/>
        <v>14</v>
      </c>
      <c r="R753" s="6" t="str">
        <f t="shared" si="130"/>
        <v>2017</v>
      </c>
      <c r="S753" s="6" t="str">
        <f t="shared" si="131"/>
        <v>May</v>
      </c>
    </row>
    <row r="754" spans="1:19" x14ac:dyDescent="0.25">
      <c r="A754" s="6">
        <v>682</v>
      </c>
      <c r="B754" s="6" t="str">
        <f t="shared" si="123"/>
        <v>NIKHRA00682</v>
      </c>
      <c r="C754" s="7" t="s">
        <v>86</v>
      </c>
      <c r="D754" s="7" t="s">
        <v>124</v>
      </c>
      <c r="E754" s="7" t="str">
        <f t="shared" si="124"/>
        <v>MANISH SHUKLA</v>
      </c>
      <c r="F754" s="7" t="s">
        <v>13</v>
      </c>
      <c r="G754" s="22">
        <v>41627</v>
      </c>
      <c r="H754" s="8">
        <v>109255</v>
      </c>
      <c r="I754" s="7" t="str">
        <f t="shared" si="125"/>
        <v>manish.shukla@hr.sha.ba</v>
      </c>
      <c r="J754" s="6" t="s">
        <v>1547</v>
      </c>
      <c r="K754" s="6">
        <v>38</v>
      </c>
      <c r="L754" s="7" t="str">
        <f t="shared" si="126"/>
        <v>hr.sha.ba</v>
      </c>
      <c r="M754" s="7" t="str">
        <f t="shared" si="127"/>
        <v>S.Manish</v>
      </c>
      <c r="N754" s="6">
        <f t="shared" si="133"/>
        <v>0</v>
      </c>
      <c r="O754" s="6">
        <f t="shared" si="132"/>
        <v>0</v>
      </c>
      <c r="P754" s="6" t="str">
        <f t="shared" si="128"/>
        <v>N</v>
      </c>
      <c r="Q754" s="6">
        <f t="shared" si="129"/>
        <v>12</v>
      </c>
      <c r="R754" s="6" t="str">
        <f t="shared" si="130"/>
        <v>2013</v>
      </c>
      <c r="S754" s="6" t="str">
        <f t="shared" si="131"/>
        <v>Dec</v>
      </c>
    </row>
    <row r="755" spans="1:19" x14ac:dyDescent="0.25">
      <c r="A755" s="6">
        <v>693</v>
      </c>
      <c r="B755" s="6" t="str">
        <f t="shared" si="123"/>
        <v>NIKHRA00693</v>
      </c>
      <c r="C755" s="7" t="s">
        <v>869</v>
      </c>
      <c r="D755" s="7" t="s">
        <v>712</v>
      </c>
      <c r="E755" s="7" t="str">
        <f t="shared" si="124"/>
        <v>SHREYAS SHRIKANT</v>
      </c>
      <c r="F755" s="7" t="s">
        <v>13</v>
      </c>
      <c r="G755" s="22">
        <v>42590</v>
      </c>
      <c r="H755" s="8">
        <v>108609</v>
      </c>
      <c r="I755" s="7" t="str">
        <f t="shared" si="125"/>
        <v>shreyas.shrikant@hr.sht.ba</v>
      </c>
      <c r="J755" s="6" t="s">
        <v>1543</v>
      </c>
      <c r="K755" s="6">
        <v>81</v>
      </c>
      <c r="L755" s="7" t="str">
        <f t="shared" si="126"/>
        <v>hr.sht.ba</v>
      </c>
      <c r="M755" s="7" t="str">
        <f t="shared" si="127"/>
        <v>S.Shreyas</v>
      </c>
      <c r="N755" s="6">
        <f t="shared" si="133"/>
        <v>4</v>
      </c>
      <c r="O755" s="6">
        <f t="shared" si="132"/>
        <v>0</v>
      </c>
      <c r="P755" s="6" t="str">
        <f t="shared" si="128"/>
        <v>N</v>
      </c>
      <c r="Q755" s="6">
        <f t="shared" si="129"/>
        <v>15</v>
      </c>
      <c r="R755" s="6" t="str">
        <f t="shared" si="130"/>
        <v>2016</v>
      </c>
      <c r="S755" s="6" t="str">
        <f t="shared" si="131"/>
        <v>Aug</v>
      </c>
    </row>
    <row r="756" spans="1:19" x14ac:dyDescent="0.25">
      <c r="A756" s="6">
        <v>696</v>
      </c>
      <c r="B756" s="6" t="str">
        <f t="shared" si="123"/>
        <v>NIKHRA00696</v>
      </c>
      <c r="C756" s="7" t="s">
        <v>872</v>
      </c>
      <c r="D756" s="7" t="s">
        <v>873</v>
      </c>
      <c r="E756" s="7" t="str">
        <f t="shared" si="124"/>
        <v>SHIPRA NARAYAN</v>
      </c>
      <c r="F756" s="7" t="s">
        <v>13</v>
      </c>
      <c r="G756" s="22">
        <v>42422</v>
      </c>
      <c r="H756" s="8">
        <v>76426</v>
      </c>
      <c r="I756" s="7" t="str">
        <f t="shared" si="125"/>
        <v>shipra.narayan@hr.nan.ba</v>
      </c>
      <c r="J756" s="6" t="s">
        <v>1545</v>
      </c>
      <c r="K756" s="6">
        <v>81</v>
      </c>
      <c r="L756" s="7" t="str">
        <f t="shared" si="126"/>
        <v>hr.nan.ba</v>
      </c>
      <c r="M756" s="7" t="str">
        <f t="shared" si="127"/>
        <v>N.Shipra</v>
      </c>
      <c r="N756" s="6">
        <f t="shared" si="133"/>
        <v>0</v>
      </c>
      <c r="O756" s="6">
        <f t="shared" si="132"/>
        <v>0</v>
      </c>
      <c r="P756" s="6" t="str">
        <f t="shared" si="128"/>
        <v>N</v>
      </c>
      <c r="Q756" s="6">
        <f t="shared" si="129"/>
        <v>13</v>
      </c>
      <c r="R756" s="6" t="str">
        <f t="shared" si="130"/>
        <v>2016</v>
      </c>
      <c r="S756" s="6" t="str">
        <f t="shared" si="131"/>
        <v>Feb</v>
      </c>
    </row>
    <row r="757" spans="1:19" x14ac:dyDescent="0.25">
      <c r="A757" s="6">
        <v>700</v>
      </c>
      <c r="B757" s="6" t="str">
        <f t="shared" si="123"/>
        <v>NIKHRA00700</v>
      </c>
      <c r="C757" s="7" t="s">
        <v>877</v>
      </c>
      <c r="D757" s="7" t="s">
        <v>124</v>
      </c>
      <c r="E757" s="7" t="str">
        <f t="shared" si="124"/>
        <v>ASHMITA SHUKLA</v>
      </c>
      <c r="F757" s="7" t="s">
        <v>13</v>
      </c>
      <c r="G757" s="22">
        <v>42887</v>
      </c>
      <c r="H757" s="8">
        <v>73096</v>
      </c>
      <c r="I757" s="7" t="str">
        <f t="shared" si="125"/>
        <v>ashmita.shukla@hr.sha.ba</v>
      </c>
      <c r="J757" s="6" t="s">
        <v>1551</v>
      </c>
      <c r="K757" s="6">
        <v>37</v>
      </c>
      <c r="L757" s="7" t="str">
        <f t="shared" si="126"/>
        <v>hr.sha.ba</v>
      </c>
      <c r="M757" s="7" t="str">
        <f t="shared" si="127"/>
        <v>S.Ashmita</v>
      </c>
      <c r="N757" s="6">
        <f t="shared" si="133"/>
        <v>0</v>
      </c>
      <c r="O757" s="6">
        <f t="shared" si="132"/>
        <v>0</v>
      </c>
      <c r="P757" s="6" t="str">
        <f t="shared" si="128"/>
        <v>N</v>
      </c>
      <c r="Q757" s="6">
        <f t="shared" si="129"/>
        <v>13</v>
      </c>
      <c r="R757" s="6" t="str">
        <f t="shared" si="130"/>
        <v>2017</v>
      </c>
      <c r="S757" s="6" t="str">
        <f t="shared" si="131"/>
        <v>Jun</v>
      </c>
    </row>
    <row r="758" spans="1:19" x14ac:dyDescent="0.25">
      <c r="A758" s="6">
        <v>707</v>
      </c>
      <c r="B758" s="6" t="str">
        <f t="shared" si="123"/>
        <v>NIKHRA00707</v>
      </c>
      <c r="C758" s="7" t="s">
        <v>883</v>
      </c>
      <c r="D758" s="7" t="s">
        <v>884</v>
      </c>
      <c r="E758" s="7" t="str">
        <f t="shared" si="124"/>
        <v>JERRIN ALEXANDER</v>
      </c>
      <c r="F758" s="7" t="s">
        <v>13</v>
      </c>
      <c r="G758" s="22">
        <v>42900</v>
      </c>
      <c r="H758" s="8">
        <v>87422</v>
      </c>
      <c r="I758" s="7" t="str">
        <f t="shared" si="125"/>
        <v>jerrin.alexander@hr.alr.ba</v>
      </c>
      <c r="J758" s="6" t="s">
        <v>1532</v>
      </c>
      <c r="K758" s="6">
        <v>77</v>
      </c>
      <c r="L758" s="7" t="str">
        <f t="shared" si="126"/>
        <v>hr.alr.ba</v>
      </c>
      <c r="M758" s="7" t="str">
        <f t="shared" si="127"/>
        <v>A.Jerrin</v>
      </c>
      <c r="N758" s="6">
        <f t="shared" si="133"/>
        <v>2</v>
      </c>
      <c r="O758" s="6">
        <f t="shared" si="132"/>
        <v>3</v>
      </c>
      <c r="P758" s="6" t="str">
        <f t="shared" si="128"/>
        <v>Y</v>
      </c>
      <c r="Q758" s="6">
        <f t="shared" si="129"/>
        <v>15</v>
      </c>
      <c r="R758" s="6" t="str">
        <f t="shared" si="130"/>
        <v>2017</v>
      </c>
      <c r="S758" s="6" t="str">
        <f t="shared" si="131"/>
        <v>Jun</v>
      </c>
    </row>
    <row r="759" spans="1:19" x14ac:dyDescent="0.25">
      <c r="A759" s="6">
        <v>708</v>
      </c>
      <c r="B759" s="6" t="str">
        <f t="shared" si="123"/>
        <v>NIKHRA00708</v>
      </c>
      <c r="C759" s="7" t="s">
        <v>885</v>
      </c>
      <c r="D759" s="7" t="s">
        <v>117</v>
      </c>
      <c r="E759" s="7" t="str">
        <f t="shared" si="124"/>
        <v>RAMANDEEP RAI</v>
      </c>
      <c r="F759" s="7" t="s">
        <v>13</v>
      </c>
      <c r="G759" s="22">
        <v>41974</v>
      </c>
      <c r="H759" s="8">
        <v>33581</v>
      </c>
      <c r="I759" s="7" t="str">
        <f t="shared" si="125"/>
        <v>ramandeep.rai@hr.rai.ba</v>
      </c>
      <c r="J759" s="6" t="s">
        <v>1549</v>
      </c>
      <c r="K759" s="6">
        <v>74</v>
      </c>
      <c r="L759" s="7" t="str">
        <f t="shared" si="126"/>
        <v>hr.rai.ba</v>
      </c>
      <c r="M759" s="7" t="str">
        <f t="shared" si="127"/>
        <v>R.Ramandeep</v>
      </c>
      <c r="N759" s="6">
        <f t="shared" si="133"/>
        <v>7</v>
      </c>
      <c r="O759" s="6">
        <f t="shared" si="132"/>
        <v>0</v>
      </c>
      <c r="P759" s="6" t="str">
        <f t="shared" si="128"/>
        <v>N</v>
      </c>
      <c r="Q759" s="6">
        <f t="shared" si="129"/>
        <v>12</v>
      </c>
      <c r="R759" s="6" t="str">
        <f t="shared" si="130"/>
        <v>2014</v>
      </c>
      <c r="S759" s="6" t="str">
        <f t="shared" si="131"/>
        <v>Dec</v>
      </c>
    </row>
    <row r="760" spans="1:19" x14ac:dyDescent="0.25">
      <c r="A760" s="6">
        <v>719</v>
      </c>
      <c r="B760" s="6" t="str">
        <f t="shared" si="123"/>
        <v>NIKHRA00719</v>
      </c>
      <c r="C760" s="7" t="s">
        <v>146</v>
      </c>
      <c r="D760" s="7" t="s">
        <v>896</v>
      </c>
      <c r="E760" s="7" t="str">
        <f t="shared" si="124"/>
        <v>ANKIT CHAUDHARY</v>
      </c>
      <c r="F760" s="7" t="s">
        <v>13</v>
      </c>
      <c r="G760" s="22">
        <v>42522</v>
      </c>
      <c r="H760" s="8">
        <v>88869</v>
      </c>
      <c r="I760" s="7" t="str">
        <f t="shared" si="125"/>
        <v>ankit.chaudhary@hr.chy.ba</v>
      </c>
      <c r="J760" s="6" t="s">
        <v>1543</v>
      </c>
      <c r="K760" s="6">
        <v>58</v>
      </c>
      <c r="L760" s="7" t="str">
        <f t="shared" si="126"/>
        <v>hr.chy.ba</v>
      </c>
      <c r="M760" s="7" t="str">
        <f t="shared" si="127"/>
        <v>C.Ankit</v>
      </c>
      <c r="N760" s="6">
        <f t="shared" si="133"/>
        <v>0</v>
      </c>
      <c r="O760" s="6">
        <f t="shared" si="132"/>
        <v>0</v>
      </c>
      <c r="P760" s="6" t="str">
        <f t="shared" si="128"/>
        <v>N</v>
      </c>
      <c r="Q760" s="6">
        <f t="shared" si="129"/>
        <v>14</v>
      </c>
      <c r="R760" s="6" t="str">
        <f t="shared" si="130"/>
        <v>2016</v>
      </c>
      <c r="S760" s="6" t="str">
        <f t="shared" si="131"/>
        <v>Jun</v>
      </c>
    </row>
    <row r="761" spans="1:19" x14ac:dyDescent="0.25">
      <c r="A761" s="6">
        <v>721</v>
      </c>
      <c r="B761" s="6" t="str">
        <f t="shared" si="123"/>
        <v>NIKHRA00721</v>
      </c>
      <c r="C761" s="7" t="s">
        <v>898</v>
      </c>
      <c r="D761" s="7" t="s">
        <v>899</v>
      </c>
      <c r="E761" s="7" t="str">
        <f t="shared" si="124"/>
        <v>IYER VENKATESH</v>
      </c>
      <c r="F761" s="7" t="s">
        <v>13</v>
      </c>
      <c r="G761" s="22">
        <v>42186</v>
      </c>
      <c r="H761" s="8">
        <v>44639</v>
      </c>
      <c r="I761" s="7" t="str">
        <f t="shared" si="125"/>
        <v>iyer.venkatesh@hr.veh.ba</v>
      </c>
      <c r="J761" s="6" t="s">
        <v>1544</v>
      </c>
      <c r="K761" s="6">
        <v>60</v>
      </c>
      <c r="L761" s="7" t="str">
        <f t="shared" si="126"/>
        <v>hr.veh.ba</v>
      </c>
      <c r="M761" s="7" t="str">
        <f t="shared" si="127"/>
        <v>V.Iyer</v>
      </c>
      <c r="N761" s="6">
        <f t="shared" si="133"/>
        <v>3</v>
      </c>
      <c r="O761" s="6">
        <f t="shared" si="132"/>
        <v>2</v>
      </c>
      <c r="P761" s="6" t="str">
        <f t="shared" si="128"/>
        <v>Y</v>
      </c>
      <c r="Q761" s="6">
        <f t="shared" si="129"/>
        <v>13</v>
      </c>
      <c r="R761" s="6" t="str">
        <f t="shared" si="130"/>
        <v>2015</v>
      </c>
      <c r="S761" s="6" t="str">
        <f t="shared" si="131"/>
        <v>Jul</v>
      </c>
    </row>
    <row r="762" spans="1:19" x14ac:dyDescent="0.25">
      <c r="A762" s="6">
        <v>723</v>
      </c>
      <c r="B762" s="6" t="str">
        <f t="shared" si="123"/>
        <v>NIKHRA00723</v>
      </c>
      <c r="C762" s="7" t="s">
        <v>445</v>
      </c>
      <c r="D762" s="7" t="s">
        <v>901</v>
      </c>
      <c r="E762" s="7" t="str">
        <f t="shared" si="124"/>
        <v>VAIBHAV RANGARI</v>
      </c>
      <c r="F762" s="7" t="s">
        <v>13</v>
      </c>
      <c r="G762" s="22">
        <v>43199</v>
      </c>
      <c r="H762" s="8">
        <v>108225</v>
      </c>
      <c r="I762" s="7" t="str">
        <f t="shared" si="125"/>
        <v>vaibhav.rangari@hr.rai.ba</v>
      </c>
      <c r="J762" s="6" t="s">
        <v>1532</v>
      </c>
      <c r="K762" s="6">
        <v>44</v>
      </c>
      <c r="L762" s="7" t="str">
        <f t="shared" si="126"/>
        <v>hr.rai.ba</v>
      </c>
      <c r="M762" s="7" t="str">
        <f t="shared" si="127"/>
        <v>R.Vaibhav</v>
      </c>
      <c r="N762" s="6">
        <f t="shared" si="133"/>
        <v>0</v>
      </c>
      <c r="O762" s="6">
        <f t="shared" si="132"/>
        <v>0</v>
      </c>
      <c r="P762" s="6" t="str">
        <f t="shared" si="128"/>
        <v>N</v>
      </c>
      <c r="Q762" s="6">
        <f t="shared" si="129"/>
        <v>14</v>
      </c>
      <c r="R762" s="6" t="str">
        <f t="shared" si="130"/>
        <v>2018</v>
      </c>
      <c r="S762" s="6" t="str">
        <f t="shared" si="131"/>
        <v>Apr</v>
      </c>
    </row>
    <row r="763" spans="1:19" x14ac:dyDescent="0.25">
      <c r="A763" s="6">
        <v>724</v>
      </c>
      <c r="B763" s="6" t="str">
        <f t="shared" si="123"/>
        <v>NIKHRA00724</v>
      </c>
      <c r="C763" s="7" t="s">
        <v>902</v>
      </c>
      <c r="D763" s="7" t="s">
        <v>179</v>
      </c>
      <c r="E763" s="7" t="str">
        <f t="shared" si="124"/>
        <v>ROHINI GUPTA</v>
      </c>
      <c r="F763" s="7" t="s">
        <v>13</v>
      </c>
      <c r="G763" s="22">
        <v>43115</v>
      </c>
      <c r="H763" s="8">
        <v>73024</v>
      </c>
      <c r="I763" s="7" t="str">
        <f t="shared" si="125"/>
        <v>rohini.gupta@hr.gua.ba</v>
      </c>
      <c r="J763" s="6" t="s">
        <v>1536</v>
      </c>
      <c r="K763" s="6">
        <v>37</v>
      </c>
      <c r="L763" s="7" t="str">
        <f t="shared" si="126"/>
        <v>hr.gua.ba</v>
      </c>
      <c r="M763" s="7" t="str">
        <f t="shared" si="127"/>
        <v>G.Rohini</v>
      </c>
      <c r="N763" s="6">
        <f t="shared" si="133"/>
        <v>0</v>
      </c>
      <c r="O763" s="6">
        <f t="shared" si="132"/>
        <v>0</v>
      </c>
      <c r="P763" s="6" t="str">
        <f t="shared" si="128"/>
        <v>N</v>
      </c>
      <c r="Q763" s="6">
        <f t="shared" si="129"/>
        <v>11</v>
      </c>
      <c r="R763" s="6" t="str">
        <f t="shared" si="130"/>
        <v>2018</v>
      </c>
      <c r="S763" s="6" t="str">
        <f t="shared" si="131"/>
        <v>Jan</v>
      </c>
    </row>
    <row r="764" spans="1:19" x14ac:dyDescent="0.25">
      <c r="A764" s="6">
        <v>742</v>
      </c>
      <c r="B764" s="6" t="str">
        <f t="shared" si="123"/>
        <v>NIKHRA00742</v>
      </c>
      <c r="C764" s="7" t="s">
        <v>915</v>
      </c>
      <c r="D764" s="7" t="s">
        <v>916</v>
      </c>
      <c r="E764" s="7" t="str">
        <f t="shared" si="124"/>
        <v>MILAN SARVAIYA</v>
      </c>
      <c r="F764" s="7" t="s">
        <v>13</v>
      </c>
      <c r="G764" s="22">
        <v>43160</v>
      </c>
      <c r="H764" s="8">
        <v>56947</v>
      </c>
      <c r="I764" s="7" t="str">
        <f t="shared" si="125"/>
        <v>milan.sarvaiya@hr.saa.ba</v>
      </c>
      <c r="J764" s="6" t="s">
        <v>1548</v>
      </c>
      <c r="K764" s="6">
        <v>83</v>
      </c>
      <c r="L764" s="7" t="str">
        <f t="shared" si="126"/>
        <v>hr.saa.ba</v>
      </c>
      <c r="M764" s="7" t="str">
        <f t="shared" si="127"/>
        <v>S.Milan</v>
      </c>
      <c r="N764" s="6">
        <f t="shared" si="133"/>
        <v>0</v>
      </c>
      <c r="O764" s="6">
        <f t="shared" si="132"/>
        <v>0</v>
      </c>
      <c r="P764" s="6" t="str">
        <f t="shared" si="128"/>
        <v>N</v>
      </c>
      <c r="Q764" s="6">
        <f t="shared" si="129"/>
        <v>13</v>
      </c>
      <c r="R764" s="6" t="str">
        <f t="shared" si="130"/>
        <v>2018</v>
      </c>
      <c r="S764" s="6" t="str">
        <f t="shared" si="131"/>
        <v>Mar</v>
      </c>
    </row>
    <row r="765" spans="1:19" x14ac:dyDescent="0.25">
      <c r="A765" s="6">
        <v>748</v>
      </c>
      <c r="B765" s="6" t="str">
        <f t="shared" si="123"/>
        <v>NIKHRA00748</v>
      </c>
      <c r="C765" s="7" t="s">
        <v>918</v>
      </c>
      <c r="D765" s="7" t="s">
        <v>70</v>
      </c>
      <c r="E765" s="7" t="str">
        <f t="shared" si="124"/>
        <v>KAMINI SINGH</v>
      </c>
      <c r="F765" s="7" t="s">
        <v>13</v>
      </c>
      <c r="G765" s="22">
        <v>42541</v>
      </c>
      <c r="H765" s="8">
        <v>69804</v>
      </c>
      <c r="I765" s="7" t="str">
        <f t="shared" si="125"/>
        <v>kamini.singh@hr.sih.ba</v>
      </c>
      <c r="J765" s="6" t="s">
        <v>1550</v>
      </c>
      <c r="K765" s="6">
        <v>76</v>
      </c>
      <c r="L765" s="7" t="str">
        <f t="shared" si="126"/>
        <v>hr.sih.ba</v>
      </c>
      <c r="M765" s="7" t="str">
        <f t="shared" si="127"/>
        <v>S.Kamini</v>
      </c>
      <c r="N765" s="6">
        <f t="shared" si="133"/>
        <v>0</v>
      </c>
      <c r="O765" s="6">
        <f t="shared" si="132"/>
        <v>0</v>
      </c>
      <c r="P765" s="6" t="str">
        <f t="shared" si="128"/>
        <v>N</v>
      </c>
      <c r="Q765" s="6">
        <f t="shared" si="129"/>
        <v>11</v>
      </c>
      <c r="R765" s="6" t="str">
        <f t="shared" si="130"/>
        <v>2016</v>
      </c>
      <c r="S765" s="6" t="str">
        <f t="shared" si="131"/>
        <v>Jun</v>
      </c>
    </row>
    <row r="766" spans="1:19" x14ac:dyDescent="0.25">
      <c r="A766" s="6">
        <v>788</v>
      </c>
      <c r="B766" s="6" t="str">
        <f t="shared" si="123"/>
        <v>NIKHRA00788</v>
      </c>
      <c r="C766" s="7" t="s">
        <v>386</v>
      </c>
      <c r="D766" s="7" t="s">
        <v>750</v>
      </c>
      <c r="E766" s="7" t="str">
        <f t="shared" si="124"/>
        <v>VARSHA SRIVASTAVA</v>
      </c>
      <c r="F766" s="7" t="s">
        <v>13</v>
      </c>
      <c r="G766" s="22">
        <v>42576</v>
      </c>
      <c r="H766" s="8">
        <v>63588</v>
      </c>
      <c r="I766" s="7" t="str">
        <f t="shared" si="125"/>
        <v>varsha.srivastava@hr.sra.ba</v>
      </c>
      <c r="J766" s="6" t="s">
        <v>1547</v>
      </c>
      <c r="K766" s="6">
        <v>62</v>
      </c>
      <c r="L766" s="7" t="str">
        <f t="shared" si="126"/>
        <v>hr.sra.ba</v>
      </c>
      <c r="M766" s="7" t="str">
        <f t="shared" si="127"/>
        <v>S.Varsha</v>
      </c>
      <c r="N766" s="6">
        <f t="shared" si="133"/>
        <v>0</v>
      </c>
      <c r="O766" s="6">
        <f t="shared" si="132"/>
        <v>0</v>
      </c>
      <c r="P766" s="6" t="str">
        <f t="shared" si="128"/>
        <v>N</v>
      </c>
      <c r="Q766" s="6">
        <f t="shared" si="129"/>
        <v>16</v>
      </c>
      <c r="R766" s="6" t="str">
        <f t="shared" si="130"/>
        <v>2016</v>
      </c>
      <c r="S766" s="6" t="str">
        <f t="shared" si="131"/>
        <v>Jul</v>
      </c>
    </row>
    <row r="767" spans="1:19" x14ac:dyDescent="0.25">
      <c r="A767" s="6">
        <v>812</v>
      </c>
      <c r="B767" s="6" t="str">
        <f t="shared" si="123"/>
        <v>NIKHRA00812</v>
      </c>
      <c r="C767" s="7" t="s">
        <v>974</v>
      </c>
      <c r="D767" s="7" t="s">
        <v>975</v>
      </c>
      <c r="E767" s="7" t="str">
        <f t="shared" si="124"/>
        <v>VANI JUNEJA</v>
      </c>
      <c r="F767" s="7" t="s">
        <v>13</v>
      </c>
      <c r="G767" s="22">
        <v>43136</v>
      </c>
      <c r="H767" s="8">
        <v>86631</v>
      </c>
      <c r="I767" s="7" t="str">
        <f t="shared" si="125"/>
        <v>vani.juneja@hr.jua.ba</v>
      </c>
      <c r="J767" s="6" t="s">
        <v>1542</v>
      </c>
      <c r="K767" s="6">
        <v>43</v>
      </c>
      <c r="L767" s="7" t="str">
        <f t="shared" si="126"/>
        <v>hr.jua.ba</v>
      </c>
      <c r="M767" s="7" t="str">
        <f t="shared" si="127"/>
        <v>J.Vani</v>
      </c>
      <c r="N767" s="6">
        <f t="shared" si="133"/>
        <v>0</v>
      </c>
      <c r="O767" s="6">
        <f t="shared" si="132"/>
        <v>4</v>
      </c>
      <c r="P767" s="6" t="str">
        <f t="shared" si="128"/>
        <v>N</v>
      </c>
      <c r="Q767" s="6">
        <f t="shared" si="129"/>
        <v>10</v>
      </c>
      <c r="R767" s="6" t="str">
        <f t="shared" si="130"/>
        <v>2018</v>
      </c>
      <c r="S767" s="6" t="str">
        <f t="shared" si="131"/>
        <v>Feb</v>
      </c>
    </row>
    <row r="768" spans="1:19" x14ac:dyDescent="0.25">
      <c r="A768" s="6">
        <v>861</v>
      </c>
      <c r="B768" s="6" t="str">
        <f t="shared" si="123"/>
        <v>NIKHRA00861</v>
      </c>
      <c r="C768" s="7" t="s">
        <v>1009</v>
      </c>
      <c r="D768" s="7" t="s">
        <v>1004</v>
      </c>
      <c r="E768" s="7" t="str">
        <f t="shared" si="124"/>
        <v>RISHI MUKESHBHAI</v>
      </c>
      <c r="F768" s="7" t="s">
        <v>13</v>
      </c>
      <c r="G768" s="22">
        <v>43626</v>
      </c>
      <c r="H768" s="8">
        <v>89204</v>
      </c>
      <c r="I768" s="7" t="str">
        <f t="shared" si="125"/>
        <v>rishi.mukeshbhai@hr.mui.ba</v>
      </c>
      <c r="J768" s="6" t="s">
        <v>1547</v>
      </c>
      <c r="K768" s="6">
        <v>84</v>
      </c>
      <c r="L768" s="7" t="str">
        <f t="shared" si="126"/>
        <v>hr.mui.ba</v>
      </c>
      <c r="M768" s="7" t="str">
        <f t="shared" si="127"/>
        <v>M.Rishi</v>
      </c>
      <c r="N768" s="6">
        <f t="shared" si="133"/>
        <v>0</v>
      </c>
      <c r="O768" s="6">
        <f t="shared" si="132"/>
        <v>4</v>
      </c>
      <c r="P768" s="6" t="str">
        <f t="shared" si="128"/>
        <v>N</v>
      </c>
      <c r="Q768" s="6">
        <f t="shared" si="129"/>
        <v>15</v>
      </c>
      <c r="R768" s="6" t="str">
        <f t="shared" si="130"/>
        <v>2019</v>
      </c>
      <c r="S768" s="6" t="str">
        <f t="shared" si="131"/>
        <v>Jun</v>
      </c>
    </row>
    <row r="769" spans="1:19" x14ac:dyDescent="0.25">
      <c r="A769" s="6">
        <v>867</v>
      </c>
      <c r="B769" s="6" t="str">
        <f t="shared" si="123"/>
        <v>NIKHRA00867</v>
      </c>
      <c r="C769" s="7" t="s">
        <v>363</v>
      </c>
      <c r="D769" s="7" t="s">
        <v>364</v>
      </c>
      <c r="E769" s="7" t="str">
        <f t="shared" si="124"/>
        <v>MEDHA VARI</v>
      </c>
      <c r="F769" s="7" t="s">
        <v>13</v>
      </c>
      <c r="G769" s="22">
        <v>42646</v>
      </c>
      <c r="H769" s="8">
        <v>109932</v>
      </c>
      <c r="I769" s="7" t="str">
        <f t="shared" si="125"/>
        <v>medha.vari@hr.vai.ba</v>
      </c>
      <c r="J769" s="6" t="s">
        <v>1541</v>
      </c>
      <c r="K769" s="6">
        <v>87</v>
      </c>
      <c r="L769" s="7" t="str">
        <f t="shared" si="126"/>
        <v>hr.vai.ba</v>
      </c>
      <c r="M769" s="7" t="str">
        <f t="shared" si="127"/>
        <v>V.Medha</v>
      </c>
      <c r="N769" s="6">
        <f t="shared" si="133"/>
        <v>2</v>
      </c>
      <c r="O769" s="6">
        <f t="shared" si="132"/>
        <v>0</v>
      </c>
      <c r="P769" s="6" t="str">
        <f t="shared" si="128"/>
        <v>N</v>
      </c>
      <c r="Q769" s="6">
        <f t="shared" si="129"/>
        <v>9</v>
      </c>
      <c r="R769" s="6" t="str">
        <f t="shared" si="130"/>
        <v>2016</v>
      </c>
      <c r="S769" s="6" t="str">
        <f t="shared" si="131"/>
        <v>Oct</v>
      </c>
    </row>
    <row r="770" spans="1:19" x14ac:dyDescent="0.25">
      <c r="A770" s="6">
        <v>882</v>
      </c>
      <c r="B770" s="6" t="str">
        <f t="shared" ref="B770:B833" si="134">_xlfn.TEXTJOIN("",TRUE,"NIK",UPPER(LEFT(SUBSTITUTE(SUBSTITUTE(F770," ",""),"&amp;",""),3)),TEXT(A770,"00000"))</f>
        <v>NIKHRA00882</v>
      </c>
      <c r="C770" s="7" t="s">
        <v>1025</v>
      </c>
      <c r="D770" s="7" t="s">
        <v>1026</v>
      </c>
      <c r="E770" s="7" t="str">
        <f t="shared" ref="E770:E833" si="135">_xlfn.TEXTJOIN(" ",TRUE,C770,D770)</f>
        <v>NUTAN PANT</v>
      </c>
      <c r="F770" s="7" t="s">
        <v>13</v>
      </c>
      <c r="G770" s="22">
        <v>43201</v>
      </c>
      <c r="H770" s="8">
        <v>79943</v>
      </c>
      <c r="I770" s="7" t="str">
        <f t="shared" ref="I770:I833" si="136">LOWER(C770&amp;"."&amp;D770&amp;"@"&amp;LEFT(SUBSTITUTE(F770," ",""),2))&amp;LOWER("."&amp;LEFT(D770,2))&amp;LOWER(RIGHT(D770,1))&amp;".ba"</f>
        <v>nutan.pant@hr.pat.ba</v>
      </c>
      <c r="J770" s="6" t="s">
        <v>1549</v>
      </c>
      <c r="K770" s="6">
        <v>58</v>
      </c>
      <c r="L770" s="7" t="str">
        <f t="shared" ref="L770:L833" si="137">RIGHT(I770,LEN(I770)-FIND("@",I770))</f>
        <v>hr.pat.ba</v>
      </c>
      <c r="M770" s="7" t="str">
        <f t="shared" ref="M770:M833" si="138">UPPER(LEFT(D770,1))&amp;"."&amp;PROPER(C770)</f>
        <v>P.Nutan</v>
      </c>
      <c r="N770" s="6">
        <f t="shared" si="133"/>
        <v>0</v>
      </c>
      <c r="O770" s="6">
        <f t="shared" si="132"/>
        <v>0</v>
      </c>
      <c r="P770" s="6" t="str">
        <f t="shared" ref="P770:P833" si="139">IF(AND(N770&gt;=1,O770&gt;=1),"Y","N")</f>
        <v>N</v>
      </c>
      <c r="Q770" s="6">
        <f t="shared" ref="Q770:Q833" si="140">LEN(SUBSTITUTE(E770, " ", ""))</f>
        <v>9</v>
      </c>
      <c r="R770" s="6" t="str">
        <f t="shared" ref="R770:R833" si="141">TEXT(G770,"YYYY")</f>
        <v>2018</v>
      </c>
      <c r="S770" s="6" t="str">
        <f t="shared" ref="S770:S833" si="142">TEXT(G770,"MMM")</f>
        <v>Apr</v>
      </c>
    </row>
    <row r="771" spans="1:19" x14ac:dyDescent="0.25">
      <c r="A771" s="6">
        <v>896</v>
      </c>
      <c r="B771" s="6" t="str">
        <f t="shared" si="134"/>
        <v>NIKHRA00896</v>
      </c>
      <c r="C771" s="7" t="s">
        <v>48</v>
      </c>
      <c r="D771" s="7" t="s">
        <v>68</v>
      </c>
      <c r="E771" s="7" t="str">
        <f t="shared" si="135"/>
        <v>SANJAY KUMAR</v>
      </c>
      <c r="F771" s="7" t="s">
        <v>13</v>
      </c>
      <c r="G771" s="22">
        <v>42543</v>
      </c>
      <c r="H771" s="8">
        <v>35949</v>
      </c>
      <c r="I771" s="7" t="str">
        <f t="shared" si="136"/>
        <v>sanjay.kumar@hr.kur.ba</v>
      </c>
      <c r="J771" s="6" t="s">
        <v>1535</v>
      </c>
      <c r="K771" s="6">
        <v>71</v>
      </c>
      <c r="L771" s="7" t="str">
        <f t="shared" si="137"/>
        <v>hr.kur.ba</v>
      </c>
      <c r="M771" s="7" t="str">
        <f t="shared" si="138"/>
        <v>K.Sanjay</v>
      </c>
      <c r="N771" s="6">
        <f t="shared" si="133"/>
        <v>0</v>
      </c>
      <c r="O771" s="6">
        <f t="shared" si="132"/>
        <v>0</v>
      </c>
      <c r="P771" s="6" t="str">
        <f t="shared" si="139"/>
        <v>N</v>
      </c>
      <c r="Q771" s="6">
        <f t="shared" si="140"/>
        <v>11</v>
      </c>
      <c r="R771" s="6" t="str">
        <f t="shared" si="141"/>
        <v>2016</v>
      </c>
      <c r="S771" s="6" t="str">
        <f t="shared" si="142"/>
        <v>Jun</v>
      </c>
    </row>
    <row r="772" spans="1:19" x14ac:dyDescent="0.25">
      <c r="A772" s="6">
        <v>902</v>
      </c>
      <c r="B772" s="6" t="str">
        <f t="shared" si="134"/>
        <v>NIKHRA00902</v>
      </c>
      <c r="C772" s="7" t="s">
        <v>1042</v>
      </c>
      <c r="D772" s="7" t="s">
        <v>1043</v>
      </c>
      <c r="E772" s="7" t="str">
        <f t="shared" si="135"/>
        <v>MISTRY UJJVAL</v>
      </c>
      <c r="F772" s="7" t="s">
        <v>13</v>
      </c>
      <c r="G772" s="22">
        <v>43801</v>
      </c>
      <c r="H772" s="8">
        <v>90684</v>
      </c>
      <c r="I772" s="7" t="str">
        <f t="shared" si="136"/>
        <v>mistry.ujjval@hr.ujl.ba</v>
      </c>
      <c r="J772" s="6" t="s">
        <v>1540</v>
      </c>
      <c r="K772" s="6">
        <v>53</v>
      </c>
      <c r="L772" s="7" t="str">
        <f t="shared" si="137"/>
        <v>hr.ujl.ba</v>
      </c>
      <c r="M772" s="7" t="str">
        <f t="shared" si="138"/>
        <v>U.Mistry</v>
      </c>
      <c r="N772" s="6">
        <f t="shared" si="133"/>
        <v>0</v>
      </c>
      <c r="O772" s="6">
        <f t="shared" si="132"/>
        <v>0</v>
      </c>
      <c r="P772" s="6" t="str">
        <f t="shared" si="139"/>
        <v>N</v>
      </c>
      <c r="Q772" s="6">
        <f t="shared" si="140"/>
        <v>12</v>
      </c>
      <c r="R772" s="6" t="str">
        <f t="shared" si="141"/>
        <v>2019</v>
      </c>
      <c r="S772" s="6" t="str">
        <f t="shared" si="142"/>
        <v>Dec</v>
      </c>
    </row>
    <row r="773" spans="1:19" x14ac:dyDescent="0.25">
      <c r="A773" s="6">
        <v>917</v>
      </c>
      <c r="B773" s="6" t="str">
        <f t="shared" si="134"/>
        <v>NIKHRA00917</v>
      </c>
      <c r="C773" s="7" t="s">
        <v>1057</v>
      </c>
      <c r="D773" s="7" t="s">
        <v>1058</v>
      </c>
      <c r="E773" s="7" t="str">
        <f t="shared" si="135"/>
        <v>VASUNDHARA MAZUMDER</v>
      </c>
      <c r="F773" s="7" t="s">
        <v>13</v>
      </c>
      <c r="G773" s="22">
        <v>43678</v>
      </c>
      <c r="H773" s="8">
        <v>63518</v>
      </c>
      <c r="I773" s="7" t="str">
        <f t="shared" si="136"/>
        <v>vasundhara.mazumder@hr.mar.ba</v>
      </c>
      <c r="J773" s="6" t="s">
        <v>1536</v>
      </c>
      <c r="K773" s="6">
        <v>56</v>
      </c>
      <c r="L773" s="7" t="str">
        <f t="shared" si="137"/>
        <v>hr.mar.ba</v>
      </c>
      <c r="M773" s="7" t="str">
        <f t="shared" si="138"/>
        <v>M.Vasundhara</v>
      </c>
      <c r="N773" s="6">
        <f t="shared" si="133"/>
        <v>0</v>
      </c>
      <c r="O773" s="6">
        <f t="shared" si="132"/>
        <v>7</v>
      </c>
      <c r="P773" s="6" t="str">
        <f t="shared" si="139"/>
        <v>N</v>
      </c>
      <c r="Q773" s="6">
        <f t="shared" si="140"/>
        <v>18</v>
      </c>
      <c r="R773" s="6" t="str">
        <f t="shared" si="141"/>
        <v>2019</v>
      </c>
      <c r="S773" s="6" t="str">
        <f t="shared" si="142"/>
        <v>Aug</v>
      </c>
    </row>
    <row r="774" spans="1:19" x14ac:dyDescent="0.25">
      <c r="A774" s="6">
        <v>929</v>
      </c>
      <c r="B774" s="6" t="str">
        <f t="shared" si="134"/>
        <v>NIKHRA00929</v>
      </c>
      <c r="C774" s="7" t="s">
        <v>1069</v>
      </c>
      <c r="D774" s="7" t="s">
        <v>1070</v>
      </c>
      <c r="E774" s="7" t="str">
        <f t="shared" si="135"/>
        <v>RAJAN SAHOTRA</v>
      </c>
      <c r="F774" s="7" t="s">
        <v>13</v>
      </c>
      <c r="G774" s="22">
        <v>43267</v>
      </c>
      <c r="H774" s="8">
        <v>82551</v>
      </c>
      <c r="I774" s="7" t="str">
        <f t="shared" si="136"/>
        <v>rajan.sahotra@hr.saa.ba</v>
      </c>
      <c r="J774" s="6" t="s">
        <v>1541</v>
      </c>
      <c r="K774" s="6">
        <v>67</v>
      </c>
      <c r="L774" s="7" t="str">
        <f t="shared" si="137"/>
        <v>hr.saa.ba</v>
      </c>
      <c r="M774" s="7" t="str">
        <f t="shared" si="138"/>
        <v>S.Rajan</v>
      </c>
      <c r="N774" s="6">
        <f t="shared" si="133"/>
        <v>0</v>
      </c>
      <c r="O774" s="6">
        <f t="shared" si="132"/>
        <v>0</v>
      </c>
      <c r="P774" s="6" t="str">
        <f t="shared" si="139"/>
        <v>N</v>
      </c>
      <c r="Q774" s="6">
        <f t="shared" si="140"/>
        <v>12</v>
      </c>
      <c r="R774" s="6" t="str">
        <f t="shared" si="141"/>
        <v>2018</v>
      </c>
      <c r="S774" s="6" t="str">
        <f t="shared" si="142"/>
        <v>Jun</v>
      </c>
    </row>
    <row r="775" spans="1:19" x14ac:dyDescent="0.25">
      <c r="A775" s="6">
        <v>959</v>
      </c>
      <c r="B775" s="6" t="str">
        <f t="shared" si="134"/>
        <v>NIKHRA00959</v>
      </c>
      <c r="C775" s="7" t="s">
        <v>1088</v>
      </c>
      <c r="D775" s="7" t="s">
        <v>1089</v>
      </c>
      <c r="E775" s="7" t="str">
        <f t="shared" si="135"/>
        <v>PRANSHU MALHOTRA</v>
      </c>
      <c r="F775" s="7" t="s">
        <v>13</v>
      </c>
      <c r="G775" s="22">
        <v>42874</v>
      </c>
      <c r="H775" s="8">
        <v>30371</v>
      </c>
      <c r="I775" s="7" t="str">
        <f t="shared" si="136"/>
        <v>pranshu.malhotra@hr.maa.ba</v>
      </c>
      <c r="J775" s="6" t="s">
        <v>1546</v>
      </c>
      <c r="K775" s="6">
        <v>86</v>
      </c>
      <c r="L775" s="7" t="str">
        <f t="shared" si="137"/>
        <v>hr.maa.ba</v>
      </c>
      <c r="M775" s="7" t="str">
        <f t="shared" si="138"/>
        <v>M.Pranshu</v>
      </c>
      <c r="N775" s="6">
        <f t="shared" si="133"/>
        <v>0</v>
      </c>
      <c r="O775" s="6">
        <f t="shared" si="132"/>
        <v>0</v>
      </c>
      <c r="P775" s="6" t="str">
        <f t="shared" si="139"/>
        <v>N</v>
      </c>
      <c r="Q775" s="6">
        <f t="shared" si="140"/>
        <v>15</v>
      </c>
      <c r="R775" s="6" t="str">
        <f t="shared" si="141"/>
        <v>2017</v>
      </c>
      <c r="S775" s="6" t="str">
        <f t="shared" si="142"/>
        <v>May</v>
      </c>
    </row>
    <row r="776" spans="1:19" x14ac:dyDescent="0.25">
      <c r="A776" s="6">
        <v>976</v>
      </c>
      <c r="B776" s="6" t="str">
        <f t="shared" si="134"/>
        <v>NIKHRA00976</v>
      </c>
      <c r="C776" s="7" t="s">
        <v>1102</v>
      </c>
      <c r="D776" s="7" t="s">
        <v>407</v>
      </c>
      <c r="E776" s="7" t="str">
        <f t="shared" si="135"/>
        <v>NAHUSH AVINASH</v>
      </c>
      <c r="F776" s="7" t="s">
        <v>13</v>
      </c>
      <c r="G776" s="22">
        <v>43710</v>
      </c>
      <c r="H776" s="8">
        <v>75019</v>
      </c>
      <c r="I776" s="7" t="str">
        <f t="shared" si="136"/>
        <v>nahush.avinash@hr.avh.ba</v>
      </c>
      <c r="J776" s="6" t="s">
        <v>1537</v>
      </c>
      <c r="K776" s="6">
        <v>40</v>
      </c>
      <c r="L776" s="7" t="str">
        <f t="shared" si="137"/>
        <v>hr.avh.ba</v>
      </c>
      <c r="M776" s="7" t="str">
        <f t="shared" si="138"/>
        <v>A.Nahush</v>
      </c>
      <c r="N776" s="6">
        <f t="shared" si="133"/>
        <v>0</v>
      </c>
      <c r="O776" s="6">
        <f t="shared" si="132"/>
        <v>0</v>
      </c>
      <c r="P776" s="6" t="str">
        <f t="shared" si="139"/>
        <v>N</v>
      </c>
      <c r="Q776" s="6">
        <f t="shared" si="140"/>
        <v>13</v>
      </c>
      <c r="R776" s="6" t="str">
        <f t="shared" si="141"/>
        <v>2019</v>
      </c>
      <c r="S776" s="6" t="str">
        <f t="shared" si="142"/>
        <v>Sep</v>
      </c>
    </row>
    <row r="777" spans="1:19" x14ac:dyDescent="0.25">
      <c r="A777" s="6">
        <v>979</v>
      </c>
      <c r="B777" s="6" t="str">
        <f t="shared" si="134"/>
        <v>NIKHRA00979</v>
      </c>
      <c r="C777" s="7" t="s">
        <v>207</v>
      </c>
      <c r="D777" s="7" t="s">
        <v>1105</v>
      </c>
      <c r="E777" s="7" t="str">
        <f t="shared" si="135"/>
        <v>ANKUSH NAMDEORAO</v>
      </c>
      <c r="F777" s="7" t="s">
        <v>13</v>
      </c>
      <c r="G777" s="22">
        <v>43383</v>
      </c>
      <c r="H777" s="8">
        <v>39377</v>
      </c>
      <c r="I777" s="7" t="str">
        <f t="shared" si="136"/>
        <v>ankush.namdeorao@hr.nao.ba</v>
      </c>
      <c r="J777" s="6" t="s">
        <v>1540</v>
      </c>
      <c r="K777" s="6">
        <v>56</v>
      </c>
      <c r="L777" s="7" t="str">
        <f t="shared" si="137"/>
        <v>hr.nao.ba</v>
      </c>
      <c r="M777" s="7" t="str">
        <f t="shared" si="138"/>
        <v>N.Ankush</v>
      </c>
      <c r="N777" s="6">
        <f t="shared" si="133"/>
        <v>0</v>
      </c>
      <c r="O777" s="6">
        <f t="shared" si="132"/>
        <v>5</v>
      </c>
      <c r="P777" s="6" t="str">
        <f t="shared" si="139"/>
        <v>N</v>
      </c>
      <c r="Q777" s="6">
        <f t="shared" si="140"/>
        <v>15</v>
      </c>
      <c r="R777" s="6" t="str">
        <f t="shared" si="141"/>
        <v>2018</v>
      </c>
      <c r="S777" s="6" t="str">
        <f t="shared" si="142"/>
        <v>Oct</v>
      </c>
    </row>
    <row r="778" spans="1:19" x14ac:dyDescent="0.25">
      <c r="A778" s="6">
        <v>980</v>
      </c>
      <c r="B778" s="6" t="str">
        <f t="shared" si="134"/>
        <v>NIKHRA00980</v>
      </c>
      <c r="C778" s="7" t="s">
        <v>952</v>
      </c>
      <c r="D778" s="7" t="s">
        <v>1106</v>
      </c>
      <c r="E778" s="7" t="str">
        <f t="shared" si="135"/>
        <v>DINKAR DADHEECH</v>
      </c>
      <c r="F778" s="7" t="s">
        <v>13</v>
      </c>
      <c r="G778" s="22">
        <v>44047</v>
      </c>
      <c r="H778" s="8">
        <v>70383</v>
      </c>
      <c r="I778" s="7" t="str">
        <f t="shared" si="136"/>
        <v>dinkar.dadheech@hr.dah.ba</v>
      </c>
      <c r="J778" s="6" t="s">
        <v>1548</v>
      </c>
      <c r="K778" s="6">
        <v>67</v>
      </c>
      <c r="L778" s="7" t="str">
        <f t="shared" si="137"/>
        <v>hr.dah.ba</v>
      </c>
      <c r="M778" s="7" t="str">
        <f t="shared" si="138"/>
        <v>D.Dinkar</v>
      </c>
      <c r="N778" s="6">
        <f t="shared" si="133"/>
        <v>0</v>
      </c>
      <c r="O778" s="6">
        <f t="shared" si="132"/>
        <v>5</v>
      </c>
      <c r="P778" s="6" t="str">
        <f t="shared" si="139"/>
        <v>N</v>
      </c>
      <c r="Q778" s="6">
        <f t="shared" si="140"/>
        <v>14</v>
      </c>
      <c r="R778" s="6" t="str">
        <f t="shared" si="141"/>
        <v>2020</v>
      </c>
      <c r="S778" s="6" t="str">
        <f t="shared" si="142"/>
        <v>Aug</v>
      </c>
    </row>
    <row r="779" spans="1:19" x14ac:dyDescent="0.25">
      <c r="A779" s="6">
        <v>982</v>
      </c>
      <c r="B779" s="6" t="str">
        <f t="shared" si="134"/>
        <v>NIKHRA00982</v>
      </c>
      <c r="C779" s="7" t="s">
        <v>1107</v>
      </c>
      <c r="D779" s="7" t="s">
        <v>1108</v>
      </c>
      <c r="E779" s="7" t="str">
        <f t="shared" si="135"/>
        <v>MANAV AHUJA</v>
      </c>
      <c r="F779" s="7" t="s">
        <v>13</v>
      </c>
      <c r="G779" s="22">
        <v>39846</v>
      </c>
      <c r="H779" s="8">
        <v>108120</v>
      </c>
      <c r="I779" s="7" t="str">
        <f t="shared" si="136"/>
        <v>manav.ahuja@hr.aha.ba</v>
      </c>
      <c r="J779" s="6" t="s">
        <v>1536</v>
      </c>
      <c r="K779" s="6">
        <v>47</v>
      </c>
      <c r="L779" s="7" t="str">
        <f t="shared" si="137"/>
        <v>hr.aha.ba</v>
      </c>
      <c r="M779" s="7" t="str">
        <f t="shared" si="138"/>
        <v>A.Manav</v>
      </c>
      <c r="N779" s="6">
        <f t="shared" si="133"/>
        <v>0</v>
      </c>
      <c r="O779" s="6">
        <f t="shared" si="132"/>
        <v>0</v>
      </c>
      <c r="P779" s="6" t="str">
        <f t="shared" si="139"/>
        <v>N</v>
      </c>
      <c r="Q779" s="6">
        <f t="shared" si="140"/>
        <v>10</v>
      </c>
      <c r="R779" s="6" t="str">
        <f t="shared" si="141"/>
        <v>2009</v>
      </c>
      <c r="S779" s="6" t="str">
        <f t="shared" si="142"/>
        <v>Feb</v>
      </c>
    </row>
    <row r="780" spans="1:19" x14ac:dyDescent="0.25">
      <c r="A780" s="6">
        <v>984</v>
      </c>
      <c r="B780" s="6" t="str">
        <f t="shared" si="134"/>
        <v>NIKHRA00984</v>
      </c>
      <c r="C780" s="7" t="s">
        <v>1109</v>
      </c>
      <c r="D780" s="7" t="s">
        <v>1110</v>
      </c>
      <c r="E780" s="7" t="str">
        <f t="shared" si="135"/>
        <v>INDU NEGI</v>
      </c>
      <c r="F780" s="7" t="s">
        <v>13</v>
      </c>
      <c r="G780" s="22">
        <v>42695</v>
      </c>
      <c r="H780" s="8">
        <v>38529</v>
      </c>
      <c r="I780" s="7" t="str">
        <f t="shared" si="136"/>
        <v>indu.negi@hr.nei.ba</v>
      </c>
      <c r="J780" s="6" t="s">
        <v>1543</v>
      </c>
      <c r="K780" s="6">
        <v>68</v>
      </c>
      <c r="L780" s="7" t="str">
        <f t="shared" si="137"/>
        <v>hr.nei.ba</v>
      </c>
      <c r="M780" s="7" t="str">
        <f t="shared" si="138"/>
        <v>N.Indu</v>
      </c>
      <c r="N780" s="6">
        <f t="shared" si="133"/>
        <v>0</v>
      </c>
      <c r="O780" s="6">
        <f t="shared" si="132"/>
        <v>2</v>
      </c>
      <c r="P780" s="6" t="str">
        <f t="shared" si="139"/>
        <v>N</v>
      </c>
      <c r="Q780" s="6">
        <f t="shared" si="140"/>
        <v>8</v>
      </c>
      <c r="R780" s="6" t="str">
        <f t="shared" si="141"/>
        <v>2016</v>
      </c>
      <c r="S780" s="6" t="str">
        <f t="shared" si="142"/>
        <v>Nov</v>
      </c>
    </row>
    <row r="781" spans="1:19" x14ac:dyDescent="0.25">
      <c r="A781" s="6">
        <v>996</v>
      </c>
      <c r="B781" s="6" t="str">
        <f t="shared" si="134"/>
        <v>NIKHRA00996</v>
      </c>
      <c r="C781" s="7" t="s">
        <v>1124</v>
      </c>
      <c r="D781" s="7" t="s">
        <v>797</v>
      </c>
      <c r="E781" s="7" t="str">
        <f t="shared" si="135"/>
        <v>ANIKET S</v>
      </c>
      <c r="F781" s="7" t="s">
        <v>13</v>
      </c>
      <c r="G781" s="22">
        <v>42604</v>
      </c>
      <c r="H781" s="8">
        <v>58564</v>
      </c>
      <c r="I781" s="7" t="str">
        <f t="shared" si="136"/>
        <v>aniket.s@hr.ss.ba</v>
      </c>
      <c r="J781" s="6" t="s">
        <v>1534</v>
      </c>
      <c r="K781" s="6">
        <v>45</v>
      </c>
      <c r="L781" s="7" t="str">
        <f t="shared" si="137"/>
        <v>hr.ss.ba</v>
      </c>
      <c r="M781" s="7" t="str">
        <f t="shared" si="138"/>
        <v>S.Aniket</v>
      </c>
      <c r="N781" s="6">
        <f t="shared" si="133"/>
        <v>5</v>
      </c>
      <c r="O781" s="6">
        <f t="shared" si="132"/>
        <v>0</v>
      </c>
      <c r="P781" s="6" t="str">
        <f t="shared" si="139"/>
        <v>N</v>
      </c>
      <c r="Q781" s="6">
        <f t="shared" si="140"/>
        <v>7</v>
      </c>
      <c r="R781" s="6" t="str">
        <f t="shared" si="141"/>
        <v>2016</v>
      </c>
      <c r="S781" s="6" t="str">
        <f t="shared" si="142"/>
        <v>Aug</v>
      </c>
    </row>
    <row r="782" spans="1:19" x14ac:dyDescent="0.25">
      <c r="A782" s="6">
        <v>997</v>
      </c>
      <c r="B782" s="6" t="str">
        <f t="shared" si="134"/>
        <v>NIKHRA00997</v>
      </c>
      <c r="C782" s="7" t="s">
        <v>1125</v>
      </c>
      <c r="D782" s="7" t="s">
        <v>501</v>
      </c>
      <c r="E782" s="7" t="str">
        <f t="shared" si="135"/>
        <v>BHAUMIK PATEL</v>
      </c>
      <c r="F782" s="7" t="s">
        <v>13</v>
      </c>
      <c r="G782" s="22">
        <v>43357</v>
      </c>
      <c r="H782" s="8">
        <v>76899</v>
      </c>
      <c r="I782" s="7" t="str">
        <f t="shared" si="136"/>
        <v>bhaumik.patel@hr.pal.ba</v>
      </c>
      <c r="J782" s="6" t="s">
        <v>1542</v>
      </c>
      <c r="K782" s="6">
        <v>72</v>
      </c>
      <c r="L782" s="7" t="str">
        <f t="shared" si="137"/>
        <v>hr.pal.ba</v>
      </c>
      <c r="M782" s="7" t="str">
        <f t="shared" si="138"/>
        <v>P.Bhaumik</v>
      </c>
      <c r="N782" s="6">
        <f t="shared" si="133"/>
        <v>0</v>
      </c>
      <c r="O782" s="6">
        <f t="shared" si="132"/>
        <v>4</v>
      </c>
      <c r="P782" s="6" t="str">
        <f t="shared" si="139"/>
        <v>N</v>
      </c>
      <c r="Q782" s="6">
        <f t="shared" si="140"/>
        <v>12</v>
      </c>
      <c r="R782" s="6" t="str">
        <f t="shared" si="141"/>
        <v>2018</v>
      </c>
      <c r="S782" s="6" t="str">
        <f t="shared" si="142"/>
        <v>Sep</v>
      </c>
    </row>
    <row r="783" spans="1:19" x14ac:dyDescent="0.25">
      <c r="A783" s="6">
        <v>1000</v>
      </c>
      <c r="B783" s="6" t="str">
        <f t="shared" si="134"/>
        <v>NIKHRA01000</v>
      </c>
      <c r="C783" s="7" t="s">
        <v>616</v>
      </c>
      <c r="D783" s="7" t="s">
        <v>1126</v>
      </c>
      <c r="E783" s="7" t="str">
        <f t="shared" si="135"/>
        <v>ANURAG GULERIA</v>
      </c>
      <c r="F783" s="7" t="s">
        <v>13</v>
      </c>
      <c r="G783" s="22">
        <v>43055</v>
      </c>
      <c r="H783" s="8">
        <v>42084</v>
      </c>
      <c r="I783" s="7" t="str">
        <f t="shared" si="136"/>
        <v>anurag.guleria@hr.gua.ba</v>
      </c>
      <c r="J783" s="6" t="s">
        <v>1550</v>
      </c>
      <c r="K783" s="6">
        <v>43</v>
      </c>
      <c r="L783" s="7" t="str">
        <f t="shared" si="137"/>
        <v>hr.gua.ba</v>
      </c>
      <c r="M783" s="7" t="str">
        <f t="shared" si="138"/>
        <v>G.Anurag</v>
      </c>
      <c r="N783" s="6">
        <f t="shared" si="133"/>
        <v>0</v>
      </c>
      <c r="O783" s="6">
        <f t="shared" si="132"/>
        <v>4</v>
      </c>
      <c r="P783" s="6" t="str">
        <f t="shared" si="139"/>
        <v>N</v>
      </c>
      <c r="Q783" s="6">
        <f t="shared" si="140"/>
        <v>13</v>
      </c>
      <c r="R783" s="6" t="str">
        <f t="shared" si="141"/>
        <v>2017</v>
      </c>
      <c r="S783" s="6" t="str">
        <f t="shared" si="142"/>
        <v>Nov</v>
      </c>
    </row>
    <row r="784" spans="1:19" x14ac:dyDescent="0.25">
      <c r="A784" s="6">
        <v>1005</v>
      </c>
      <c r="B784" s="6" t="str">
        <f t="shared" si="134"/>
        <v>NIKHRA01005</v>
      </c>
      <c r="C784" s="7" t="s">
        <v>407</v>
      </c>
      <c r="D784" s="7" t="s">
        <v>408</v>
      </c>
      <c r="E784" s="7" t="str">
        <f t="shared" si="135"/>
        <v>AVINASH CHIMANLAL</v>
      </c>
      <c r="F784" s="7" t="s">
        <v>13</v>
      </c>
      <c r="G784" s="22">
        <v>42576</v>
      </c>
      <c r="H784" s="8">
        <v>107801</v>
      </c>
      <c r="I784" s="7" t="str">
        <f t="shared" si="136"/>
        <v>avinash.chimanlal@hr.chl.ba</v>
      </c>
      <c r="J784" s="6" t="s">
        <v>1549</v>
      </c>
      <c r="K784" s="6">
        <v>42</v>
      </c>
      <c r="L784" s="7" t="str">
        <f t="shared" si="137"/>
        <v>hr.chl.ba</v>
      </c>
      <c r="M784" s="7" t="str">
        <f t="shared" si="138"/>
        <v>C.Avinash</v>
      </c>
      <c r="N784" s="6">
        <f t="shared" si="133"/>
        <v>0</v>
      </c>
      <c r="O784" s="6">
        <f t="shared" si="132"/>
        <v>0</v>
      </c>
      <c r="P784" s="6" t="str">
        <f t="shared" si="139"/>
        <v>N</v>
      </c>
      <c r="Q784" s="6">
        <f t="shared" si="140"/>
        <v>16</v>
      </c>
      <c r="R784" s="6" t="str">
        <f t="shared" si="141"/>
        <v>2016</v>
      </c>
      <c r="S784" s="6" t="str">
        <f t="shared" si="142"/>
        <v>Jul</v>
      </c>
    </row>
    <row r="785" spans="1:19" x14ac:dyDescent="0.25">
      <c r="A785" s="6">
        <v>1007</v>
      </c>
      <c r="B785" s="6" t="str">
        <f t="shared" si="134"/>
        <v>NIKHRA01007</v>
      </c>
      <c r="C785" s="7" t="s">
        <v>355</v>
      </c>
      <c r="D785" s="7" t="s">
        <v>356</v>
      </c>
      <c r="E785" s="7" t="str">
        <f t="shared" si="135"/>
        <v>SONALI LALWANI</v>
      </c>
      <c r="F785" s="7" t="s">
        <v>13</v>
      </c>
      <c r="G785" s="22">
        <v>41584</v>
      </c>
      <c r="H785" s="8">
        <v>97267</v>
      </c>
      <c r="I785" s="7" t="str">
        <f t="shared" si="136"/>
        <v>sonali.lalwani@hr.lai.ba</v>
      </c>
      <c r="J785" s="6" t="s">
        <v>1532</v>
      </c>
      <c r="K785" s="6">
        <v>60</v>
      </c>
      <c r="L785" s="7" t="str">
        <f t="shared" si="137"/>
        <v>hr.lai.ba</v>
      </c>
      <c r="M785" s="7" t="str">
        <f t="shared" si="138"/>
        <v>L.Sonali</v>
      </c>
      <c r="N785" s="6">
        <f t="shared" si="133"/>
        <v>0</v>
      </c>
      <c r="O785" s="6">
        <f t="shared" si="132"/>
        <v>0</v>
      </c>
      <c r="P785" s="6" t="str">
        <f t="shared" si="139"/>
        <v>N</v>
      </c>
      <c r="Q785" s="6">
        <f t="shared" si="140"/>
        <v>13</v>
      </c>
      <c r="R785" s="6" t="str">
        <f t="shared" si="141"/>
        <v>2013</v>
      </c>
      <c r="S785" s="6" t="str">
        <f t="shared" si="142"/>
        <v>Nov</v>
      </c>
    </row>
    <row r="786" spans="1:19" x14ac:dyDescent="0.25">
      <c r="A786" s="6">
        <v>1015</v>
      </c>
      <c r="B786" s="6" t="str">
        <f t="shared" si="134"/>
        <v>NIKHRA01015</v>
      </c>
      <c r="C786" s="7" t="s">
        <v>89</v>
      </c>
      <c r="D786" s="7" t="s">
        <v>70</v>
      </c>
      <c r="E786" s="7" t="str">
        <f t="shared" si="135"/>
        <v>VIJAY SINGH</v>
      </c>
      <c r="F786" s="7" t="s">
        <v>13</v>
      </c>
      <c r="G786" s="22">
        <v>40953</v>
      </c>
      <c r="H786" s="8">
        <v>53765</v>
      </c>
      <c r="I786" s="7" t="str">
        <f t="shared" si="136"/>
        <v>vijay.singh@hr.sih.ba</v>
      </c>
      <c r="J786" s="6" t="s">
        <v>1534</v>
      </c>
      <c r="K786" s="6">
        <v>68</v>
      </c>
      <c r="L786" s="7" t="str">
        <f t="shared" si="137"/>
        <v>hr.sih.ba</v>
      </c>
      <c r="M786" s="7" t="str">
        <f t="shared" si="138"/>
        <v>S.Vijay</v>
      </c>
      <c r="N786" s="6">
        <f t="shared" si="133"/>
        <v>0</v>
      </c>
      <c r="O786" s="6">
        <f t="shared" si="132"/>
        <v>0</v>
      </c>
      <c r="P786" s="6" t="str">
        <f t="shared" si="139"/>
        <v>N</v>
      </c>
      <c r="Q786" s="6">
        <f t="shared" si="140"/>
        <v>10</v>
      </c>
      <c r="R786" s="6" t="str">
        <f t="shared" si="141"/>
        <v>2012</v>
      </c>
      <c r="S786" s="6" t="str">
        <f t="shared" si="142"/>
        <v>Feb</v>
      </c>
    </row>
    <row r="787" spans="1:19" x14ac:dyDescent="0.25">
      <c r="A787" s="6">
        <v>1020</v>
      </c>
      <c r="B787" s="6" t="str">
        <f t="shared" si="134"/>
        <v>NIKHRA01020</v>
      </c>
      <c r="C787" s="7" t="s">
        <v>1147</v>
      </c>
      <c r="D787" s="7" t="s">
        <v>868</v>
      </c>
      <c r="E787" s="7" t="str">
        <f t="shared" si="135"/>
        <v>AASHISH MAHAJAN</v>
      </c>
      <c r="F787" s="7" t="s">
        <v>13</v>
      </c>
      <c r="G787" s="22">
        <v>43715</v>
      </c>
      <c r="H787" s="8">
        <v>51915</v>
      </c>
      <c r="I787" s="7" t="str">
        <f t="shared" si="136"/>
        <v>aashish.mahajan@hr.man.ba</v>
      </c>
      <c r="J787" s="6" t="s">
        <v>1534</v>
      </c>
      <c r="K787" s="6">
        <v>82</v>
      </c>
      <c r="L787" s="7" t="str">
        <f t="shared" si="137"/>
        <v>hr.man.ba</v>
      </c>
      <c r="M787" s="7" t="str">
        <f t="shared" si="138"/>
        <v>M.Aashish</v>
      </c>
      <c r="N787" s="6">
        <f t="shared" si="133"/>
        <v>0</v>
      </c>
      <c r="O787" s="6">
        <f t="shared" si="132"/>
        <v>0</v>
      </c>
      <c r="P787" s="6" t="str">
        <f t="shared" si="139"/>
        <v>N</v>
      </c>
      <c r="Q787" s="6">
        <f t="shared" si="140"/>
        <v>14</v>
      </c>
      <c r="R787" s="6" t="str">
        <f t="shared" si="141"/>
        <v>2019</v>
      </c>
      <c r="S787" s="6" t="str">
        <f t="shared" si="142"/>
        <v>Sep</v>
      </c>
    </row>
    <row r="788" spans="1:19" x14ac:dyDescent="0.25">
      <c r="A788" s="6">
        <v>1040</v>
      </c>
      <c r="B788" s="6" t="str">
        <f t="shared" si="134"/>
        <v>NIKHRA01040</v>
      </c>
      <c r="C788" s="7" t="s">
        <v>1159</v>
      </c>
      <c r="D788" s="7" t="s">
        <v>1160</v>
      </c>
      <c r="E788" s="7" t="str">
        <f t="shared" si="135"/>
        <v>BHUPINDER PRASHAR</v>
      </c>
      <c r="F788" s="7" t="s">
        <v>13</v>
      </c>
      <c r="G788" s="22">
        <v>41862</v>
      </c>
      <c r="H788" s="8">
        <v>39741</v>
      </c>
      <c r="I788" s="7" t="str">
        <f t="shared" si="136"/>
        <v>bhupinder.prashar@hr.prr.ba</v>
      </c>
      <c r="J788" s="6" t="s">
        <v>1534</v>
      </c>
      <c r="K788" s="6">
        <v>54</v>
      </c>
      <c r="L788" s="7" t="str">
        <f t="shared" si="137"/>
        <v>hr.prr.ba</v>
      </c>
      <c r="M788" s="7" t="str">
        <f t="shared" si="138"/>
        <v>P.Bhupinder</v>
      </c>
      <c r="N788" s="6">
        <f t="shared" si="133"/>
        <v>8</v>
      </c>
      <c r="O788" s="6">
        <f t="shared" si="132"/>
        <v>0</v>
      </c>
      <c r="P788" s="6" t="str">
        <f t="shared" si="139"/>
        <v>N</v>
      </c>
      <c r="Q788" s="6">
        <f t="shared" si="140"/>
        <v>16</v>
      </c>
      <c r="R788" s="6" t="str">
        <f t="shared" si="141"/>
        <v>2014</v>
      </c>
      <c r="S788" s="6" t="str">
        <f t="shared" si="142"/>
        <v>Aug</v>
      </c>
    </row>
    <row r="789" spans="1:19" x14ac:dyDescent="0.25">
      <c r="A789" s="6">
        <v>1048</v>
      </c>
      <c r="B789" s="6" t="str">
        <f t="shared" si="134"/>
        <v>NIKHRA01048</v>
      </c>
      <c r="C789" s="7" t="s">
        <v>1164</v>
      </c>
      <c r="D789" s="7" t="s">
        <v>140</v>
      </c>
      <c r="E789" s="7" t="str">
        <f t="shared" si="135"/>
        <v>SATYAM MISHRA</v>
      </c>
      <c r="F789" s="7" t="s">
        <v>13</v>
      </c>
      <c r="G789" s="22">
        <v>42475</v>
      </c>
      <c r="H789" s="8">
        <v>32648</v>
      </c>
      <c r="I789" s="7" t="str">
        <f t="shared" si="136"/>
        <v>satyam.mishra@hr.mia.ba</v>
      </c>
      <c r="J789" s="6" t="s">
        <v>1542</v>
      </c>
      <c r="K789" s="6">
        <v>73</v>
      </c>
      <c r="L789" s="7" t="str">
        <f t="shared" si="137"/>
        <v>hr.mia.ba</v>
      </c>
      <c r="M789" s="7" t="str">
        <f t="shared" si="138"/>
        <v>M.Satyam</v>
      </c>
      <c r="N789" s="6">
        <f t="shared" si="133"/>
        <v>0</v>
      </c>
      <c r="O789" s="6">
        <f t="shared" si="132"/>
        <v>0</v>
      </c>
      <c r="P789" s="6" t="str">
        <f t="shared" si="139"/>
        <v>N</v>
      </c>
      <c r="Q789" s="6">
        <f t="shared" si="140"/>
        <v>12</v>
      </c>
      <c r="R789" s="6" t="str">
        <f t="shared" si="141"/>
        <v>2016</v>
      </c>
      <c r="S789" s="6" t="str">
        <f t="shared" si="142"/>
        <v>Apr</v>
      </c>
    </row>
    <row r="790" spans="1:19" x14ac:dyDescent="0.25">
      <c r="A790" s="6">
        <v>1051</v>
      </c>
      <c r="B790" s="6" t="str">
        <f t="shared" si="134"/>
        <v>NIKHRA01051</v>
      </c>
      <c r="C790" s="7" t="s">
        <v>1167</v>
      </c>
      <c r="D790" s="7" t="s">
        <v>191</v>
      </c>
      <c r="E790" s="7" t="str">
        <f t="shared" si="135"/>
        <v>ISHU ANIL</v>
      </c>
      <c r="F790" s="7" t="s">
        <v>13</v>
      </c>
      <c r="G790" s="22">
        <v>43252</v>
      </c>
      <c r="H790" s="8">
        <v>81280</v>
      </c>
      <c r="I790" s="7" t="str">
        <f t="shared" si="136"/>
        <v>ishu.anil@hr.anl.ba</v>
      </c>
      <c r="J790" s="6" t="s">
        <v>1550</v>
      </c>
      <c r="K790" s="6">
        <v>55</v>
      </c>
      <c r="L790" s="7" t="str">
        <f t="shared" si="137"/>
        <v>hr.anl.ba</v>
      </c>
      <c r="M790" s="7" t="str">
        <f t="shared" si="138"/>
        <v>A.Ishu</v>
      </c>
      <c r="N790" s="6">
        <f t="shared" si="133"/>
        <v>0</v>
      </c>
      <c r="O790" s="6">
        <f t="shared" si="132"/>
        <v>0</v>
      </c>
      <c r="P790" s="6" t="str">
        <f t="shared" si="139"/>
        <v>N</v>
      </c>
      <c r="Q790" s="6">
        <f t="shared" si="140"/>
        <v>8</v>
      </c>
      <c r="R790" s="6" t="str">
        <f t="shared" si="141"/>
        <v>2018</v>
      </c>
      <c r="S790" s="6" t="str">
        <f t="shared" si="142"/>
        <v>Jun</v>
      </c>
    </row>
    <row r="791" spans="1:19" x14ac:dyDescent="0.25">
      <c r="A791" s="6">
        <v>1066</v>
      </c>
      <c r="B791" s="6" t="str">
        <f t="shared" si="134"/>
        <v>NIKHRA01066</v>
      </c>
      <c r="C791" s="7" t="s">
        <v>83</v>
      </c>
      <c r="D791" s="7" t="s">
        <v>1179</v>
      </c>
      <c r="E791" s="7" t="str">
        <f t="shared" si="135"/>
        <v>PREM BANIYA</v>
      </c>
      <c r="F791" s="7" t="s">
        <v>13</v>
      </c>
      <c r="G791" s="22">
        <v>42905</v>
      </c>
      <c r="H791" s="8">
        <v>83476</v>
      </c>
      <c r="I791" s="7" t="str">
        <f t="shared" si="136"/>
        <v>prem.baniya@hr.baa.ba</v>
      </c>
      <c r="J791" s="6" t="s">
        <v>1548</v>
      </c>
      <c r="K791" s="6">
        <v>40</v>
      </c>
      <c r="L791" s="7" t="str">
        <f t="shared" si="137"/>
        <v>hr.baa.ba</v>
      </c>
      <c r="M791" s="7" t="str">
        <f t="shared" si="138"/>
        <v>B.Prem</v>
      </c>
      <c r="N791" s="6">
        <f t="shared" si="133"/>
        <v>3</v>
      </c>
      <c r="O791" s="6">
        <f t="shared" si="132"/>
        <v>0</v>
      </c>
      <c r="P791" s="6" t="str">
        <f t="shared" si="139"/>
        <v>N</v>
      </c>
      <c r="Q791" s="6">
        <f t="shared" si="140"/>
        <v>10</v>
      </c>
      <c r="R791" s="6" t="str">
        <f t="shared" si="141"/>
        <v>2017</v>
      </c>
      <c r="S791" s="6" t="str">
        <f t="shared" si="142"/>
        <v>Jun</v>
      </c>
    </row>
    <row r="792" spans="1:19" x14ac:dyDescent="0.25">
      <c r="A792" s="6">
        <v>1080</v>
      </c>
      <c r="B792" s="6" t="str">
        <f t="shared" si="134"/>
        <v>NIKHRA01080</v>
      </c>
      <c r="C792" s="7" t="s">
        <v>1188</v>
      </c>
      <c r="D792" s="7" t="s">
        <v>754</v>
      </c>
      <c r="E792" s="7" t="str">
        <f t="shared" si="135"/>
        <v>NOOPUR ABHAY</v>
      </c>
      <c r="F792" s="7" t="s">
        <v>13</v>
      </c>
      <c r="G792" s="22">
        <v>43115</v>
      </c>
      <c r="H792" s="8">
        <v>99149</v>
      </c>
      <c r="I792" s="7" t="str">
        <f t="shared" si="136"/>
        <v>noopur.abhay@hr.aby.ba</v>
      </c>
      <c r="J792" s="6" t="s">
        <v>1533</v>
      </c>
      <c r="K792" s="6">
        <v>38</v>
      </c>
      <c r="L792" s="7" t="str">
        <f t="shared" si="137"/>
        <v>hr.aby.ba</v>
      </c>
      <c r="M792" s="7" t="str">
        <f t="shared" si="138"/>
        <v>A.Noopur</v>
      </c>
      <c r="N792" s="6">
        <f t="shared" si="133"/>
        <v>0</v>
      </c>
      <c r="O792" s="6">
        <f t="shared" si="132"/>
        <v>0</v>
      </c>
      <c r="P792" s="6" t="str">
        <f t="shared" si="139"/>
        <v>N</v>
      </c>
      <c r="Q792" s="6">
        <f t="shared" si="140"/>
        <v>11</v>
      </c>
      <c r="R792" s="6" t="str">
        <f t="shared" si="141"/>
        <v>2018</v>
      </c>
      <c r="S792" s="6" t="str">
        <f t="shared" si="142"/>
        <v>Jan</v>
      </c>
    </row>
    <row r="793" spans="1:19" x14ac:dyDescent="0.25">
      <c r="A793" s="6">
        <v>1109</v>
      </c>
      <c r="B793" s="6" t="str">
        <f t="shared" si="134"/>
        <v>NIKHRA01109</v>
      </c>
      <c r="C793" s="7" t="s">
        <v>312</v>
      </c>
      <c r="D793" s="7" t="s">
        <v>467</v>
      </c>
      <c r="E793" s="7" t="str">
        <f t="shared" si="135"/>
        <v>PURVA TANEJA</v>
      </c>
      <c r="F793" s="7" t="s">
        <v>13</v>
      </c>
      <c r="G793" s="22">
        <v>43444</v>
      </c>
      <c r="H793" s="8">
        <v>79861</v>
      </c>
      <c r="I793" s="7" t="str">
        <f t="shared" si="136"/>
        <v>purva.taneja@hr.taa.ba</v>
      </c>
      <c r="J793" s="6" t="s">
        <v>1542</v>
      </c>
      <c r="K793" s="6">
        <v>73</v>
      </c>
      <c r="L793" s="7" t="str">
        <f t="shared" si="137"/>
        <v>hr.taa.ba</v>
      </c>
      <c r="M793" s="7" t="str">
        <f t="shared" si="138"/>
        <v>T.Purva</v>
      </c>
      <c r="N793" s="6">
        <f t="shared" si="133"/>
        <v>0</v>
      </c>
      <c r="O793" s="6">
        <f t="shared" si="132"/>
        <v>4</v>
      </c>
      <c r="P793" s="6" t="str">
        <f t="shared" si="139"/>
        <v>N</v>
      </c>
      <c r="Q793" s="6">
        <f t="shared" si="140"/>
        <v>11</v>
      </c>
      <c r="R793" s="6" t="str">
        <f t="shared" si="141"/>
        <v>2018</v>
      </c>
      <c r="S793" s="6" t="str">
        <f t="shared" si="142"/>
        <v>Dec</v>
      </c>
    </row>
    <row r="794" spans="1:19" x14ac:dyDescent="0.25">
      <c r="A794" s="6">
        <v>1118</v>
      </c>
      <c r="B794" s="6" t="str">
        <f t="shared" si="134"/>
        <v>NIKHRA01118</v>
      </c>
      <c r="C794" s="7" t="s">
        <v>234</v>
      </c>
      <c r="D794" s="7" t="s">
        <v>1195</v>
      </c>
      <c r="E794" s="7" t="str">
        <f t="shared" si="135"/>
        <v>SHRADDHA AWASTHI</v>
      </c>
      <c r="F794" s="7" t="s">
        <v>13</v>
      </c>
      <c r="G794" s="22">
        <v>43479</v>
      </c>
      <c r="H794" s="8">
        <v>63684</v>
      </c>
      <c r="I794" s="7" t="str">
        <f t="shared" si="136"/>
        <v>shraddha.awasthi@hr.awi.ba</v>
      </c>
      <c r="J794" s="6" t="s">
        <v>1538</v>
      </c>
      <c r="K794" s="6">
        <v>49</v>
      </c>
      <c r="L794" s="7" t="str">
        <f t="shared" si="137"/>
        <v>hr.awi.ba</v>
      </c>
      <c r="M794" s="7" t="str">
        <f t="shared" si="138"/>
        <v>A.Shraddha</v>
      </c>
      <c r="N794" s="6">
        <f t="shared" si="133"/>
        <v>0</v>
      </c>
      <c r="O794" s="6">
        <f t="shared" si="132"/>
        <v>0</v>
      </c>
      <c r="P794" s="6" t="str">
        <f t="shared" si="139"/>
        <v>N</v>
      </c>
      <c r="Q794" s="6">
        <f t="shared" si="140"/>
        <v>15</v>
      </c>
      <c r="R794" s="6" t="str">
        <f t="shared" si="141"/>
        <v>2019</v>
      </c>
      <c r="S794" s="6" t="str">
        <f t="shared" si="142"/>
        <v>Jan</v>
      </c>
    </row>
    <row r="795" spans="1:19" x14ac:dyDescent="0.25">
      <c r="A795" s="6">
        <v>1123</v>
      </c>
      <c r="B795" s="6" t="str">
        <f t="shared" si="134"/>
        <v>NIKHRA01123</v>
      </c>
      <c r="C795" s="7" t="s">
        <v>219</v>
      </c>
      <c r="D795" s="7" t="s">
        <v>55</v>
      </c>
      <c r="E795" s="7" t="str">
        <f t="shared" si="135"/>
        <v>SACHIN SHARMA</v>
      </c>
      <c r="F795" s="7" t="s">
        <v>13</v>
      </c>
      <c r="G795" s="22">
        <v>41334</v>
      </c>
      <c r="H795" s="8">
        <v>34735</v>
      </c>
      <c r="I795" s="7" t="str">
        <f t="shared" si="136"/>
        <v>sachin.sharma@hr.sha.ba</v>
      </c>
      <c r="J795" s="6" t="s">
        <v>1541</v>
      </c>
      <c r="K795" s="6">
        <v>48</v>
      </c>
      <c r="L795" s="7" t="str">
        <f t="shared" si="137"/>
        <v>hr.sha.ba</v>
      </c>
      <c r="M795" s="7" t="str">
        <f t="shared" si="138"/>
        <v>S.Sachin</v>
      </c>
      <c r="N795" s="6">
        <f t="shared" si="133"/>
        <v>0</v>
      </c>
      <c r="O795" s="6">
        <f t="shared" si="132"/>
        <v>0</v>
      </c>
      <c r="P795" s="6" t="str">
        <f t="shared" si="139"/>
        <v>N</v>
      </c>
      <c r="Q795" s="6">
        <f t="shared" si="140"/>
        <v>12</v>
      </c>
      <c r="R795" s="6" t="str">
        <f t="shared" si="141"/>
        <v>2013</v>
      </c>
      <c r="S795" s="6" t="str">
        <f t="shared" si="142"/>
        <v>Mar</v>
      </c>
    </row>
    <row r="796" spans="1:19" x14ac:dyDescent="0.25">
      <c r="A796" s="6">
        <v>1130</v>
      </c>
      <c r="B796" s="6" t="str">
        <f t="shared" si="134"/>
        <v>NIKHRA01130</v>
      </c>
      <c r="C796" s="7" t="s">
        <v>250</v>
      </c>
      <c r="D796" s="7" t="s">
        <v>388</v>
      </c>
      <c r="E796" s="7" t="str">
        <f t="shared" si="135"/>
        <v>TUSHAR CHOUHAN</v>
      </c>
      <c r="F796" s="7" t="s">
        <v>13</v>
      </c>
      <c r="G796" s="22">
        <v>44440</v>
      </c>
      <c r="H796" s="8">
        <v>86889</v>
      </c>
      <c r="I796" s="7" t="str">
        <f t="shared" si="136"/>
        <v>tushar.chouhan@hr.chn.ba</v>
      </c>
      <c r="J796" s="6" t="s">
        <v>1550</v>
      </c>
      <c r="K796" s="6">
        <v>74</v>
      </c>
      <c r="L796" s="7" t="str">
        <f t="shared" si="137"/>
        <v>hr.chn.ba</v>
      </c>
      <c r="M796" s="7" t="str">
        <f t="shared" si="138"/>
        <v>C.Tushar</v>
      </c>
      <c r="N796" s="6">
        <f t="shared" si="133"/>
        <v>0</v>
      </c>
      <c r="O796" s="6">
        <f t="shared" si="132"/>
        <v>0</v>
      </c>
      <c r="P796" s="6" t="str">
        <f t="shared" si="139"/>
        <v>N</v>
      </c>
      <c r="Q796" s="6">
        <f t="shared" si="140"/>
        <v>13</v>
      </c>
      <c r="R796" s="6" t="str">
        <f t="shared" si="141"/>
        <v>2021</v>
      </c>
      <c r="S796" s="6" t="str">
        <f t="shared" si="142"/>
        <v>Sep</v>
      </c>
    </row>
    <row r="797" spans="1:19" x14ac:dyDescent="0.25">
      <c r="A797" s="6">
        <v>1142</v>
      </c>
      <c r="B797" s="6" t="str">
        <f t="shared" si="134"/>
        <v>NIKHRA01142</v>
      </c>
      <c r="C797" s="7" t="s">
        <v>1239</v>
      </c>
      <c r="D797" s="7" t="s">
        <v>1240</v>
      </c>
      <c r="E797" s="7" t="str">
        <f t="shared" si="135"/>
        <v>Gaurav Sharma</v>
      </c>
      <c r="F797" s="7" t="s">
        <v>13</v>
      </c>
      <c r="G797" s="22">
        <v>44635</v>
      </c>
      <c r="H797" s="8">
        <v>38813</v>
      </c>
      <c r="I797" s="7" t="str">
        <f t="shared" si="136"/>
        <v>gaurav.sharma@hr.sha.ba</v>
      </c>
      <c r="J797" s="6" t="s">
        <v>1543</v>
      </c>
      <c r="K797" s="6">
        <v>90</v>
      </c>
      <c r="L797" s="7" t="str">
        <f t="shared" si="137"/>
        <v>hr.sha.ba</v>
      </c>
      <c r="M797" s="7" t="str">
        <f t="shared" si="138"/>
        <v>S.Gaurav</v>
      </c>
      <c r="N797" s="6">
        <f t="shared" si="133"/>
        <v>0</v>
      </c>
      <c r="O797" s="6">
        <f t="shared" si="132"/>
        <v>0</v>
      </c>
      <c r="P797" s="6" t="str">
        <f t="shared" si="139"/>
        <v>N</v>
      </c>
      <c r="Q797" s="6">
        <f t="shared" si="140"/>
        <v>12</v>
      </c>
      <c r="R797" s="6" t="str">
        <f t="shared" si="141"/>
        <v>2022</v>
      </c>
      <c r="S797" s="6" t="str">
        <f t="shared" si="142"/>
        <v>Mar</v>
      </c>
    </row>
    <row r="798" spans="1:19" x14ac:dyDescent="0.25">
      <c r="A798" s="6">
        <v>1150</v>
      </c>
      <c r="B798" s="6" t="str">
        <f t="shared" si="134"/>
        <v>NIKHRA01150</v>
      </c>
      <c r="C798" s="7" t="s">
        <v>23</v>
      </c>
      <c r="D798" s="7" t="s">
        <v>507</v>
      </c>
      <c r="E798" s="7" t="str">
        <f t="shared" si="135"/>
        <v>ROHIT PADIA</v>
      </c>
      <c r="F798" s="7" t="s">
        <v>13</v>
      </c>
      <c r="G798" s="22">
        <v>43529</v>
      </c>
      <c r="H798" s="8">
        <v>89857</v>
      </c>
      <c r="I798" s="7" t="str">
        <f t="shared" si="136"/>
        <v>rohit.padia@hr.paa.ba</v>
      </c>
      <c r="J798" s="6" t="s">
        <v>1543</v>
      </c>
      <c r="K798" s="6">
        <v>89</v>
      </c>
      <c r="L798" s="7" t="str">
        <f t="shared" si="137"/>
        <v>hr.paa.ba</v>
      </c>
      <c r="M798" s="7" t="str">
        <f t="shared" si="138"/>
        <v>P.Rohit</v>
      </c>
      <c r="N798" s="6">
        <f t="shared" si="133"/>
        <v>0</v>
      </c>
      <c r="O798" s="6">
        <f t="shared" si="132"/>
        <v>0</v>
      </c>
      <c r="P798" s="6" t="str">
        <f t="shared" si="139"/>
        <v>N</v>
      </c>
      <c r="Q798" s="6">
        <f t="shared" si="140"/>
        <v>10</v>
      </c>
      <c r="R798" s="6" t="str">
        <f t="shared" si="141"/>
        <v>2019</v>
      </c>
      <c r="S798" s="6" t="str">
        <f t="shared" si="142"/>
        <v>Mar</v>
      </c>
    </row>
    <row r="799" spans="1:19" x14ac:dyDescent="0.25">
      <c r="A799" s="6">
        <v>1157</v>
      </c>
      <c r="B799" s="6" t="str">
        <f t="shared" si="134"/>
        <v>NIKHRA01157</v>
      </c>
      <c r="C799" s="7" t="s">
        <v>1250</v>
      </c>
      <c r="D799" s="7" t="s">
        <v>1251</v>
      </c>
      <c r="E799" s="7" t="str">
        <f t="shared" si="135"/>
        <v>AVISHA GULATI</v>
      </c>
      <c r="F799" s="7" t="s">
        <v>13</v>
      </c>
      <c r="G799" s="22">
        <v>44662</v>
      </c>
      <c r="H799" s="8">
        <v>99470</v>
      </c>
      <c r="I799" s="7" t="str">
        <f t="shared" si="136"/>
        <v>avisha.gulati@hr.gui.ba</v>
      </c>
      <c r="J799" s="6" t="s">
        <v>1550</v>
      </c>
      <c r="K799" s="6">
        <v>43</v>
      </c>
      <c r="L799" s="7" t="str">
        <f t="shared" si="137"/>
        <v>hr.gui.ba</v>
      </c>
      <c r="M799" s="7" t="str">
        <f t="shared" si="138"/>
        <v>G.Avisha</v>
      </c>
      <c r="N799" s="6">
        <f t="shared" si="133"/>
        <v>0</v>
      </c>
      <c r="O799" s="6">
        <f t="shared" si="132"/>
        <v>0</v>
      </c>
      <c r="P799" s="6" t="str">
        <f t="shared" si="139"/>
        <v>N</v>
      </c>
      <c r="Q799" s="6">
        <f t="shared" si="140"/>
        <v>12</v>
      </c>
      <c r="R799" s="6" t="str">
        <f t="shared" si="141"/>
        <v>2022</v>
      </c>
      <c r="S799" s="6" t="str">
        <f t="shared" si="142"/>
        <v>Apr</v>
      </c>
    </row>
    <row r="800" spans="1:19" x14ac:dyDescent="0.25">
      <c r="A800" s="6">
        <v>1161</v>
      </c>
      <c r="B800" s="6" t="str">
        <f t="shared" si="134"/>
        <v>NIKHRA01161</v>
      </c>
      <c r="C800" s="7" t="s">
        <v>42</v>
      </c>
      <c r="D800" s="7"/>
      <c r="E800" s="7" t="str">
        <f t="shared" si="135"/>
        <v>AKSHITA</v>
      </c>
      <c r="F800" s="7" t="s">
        <v>13</v>
      </c>
      <c r="G800" s="22">
        <v>44413</v>
      </c>
      <c r="H800" s="8">
        <v>41136</v>
      </c>
      <c r="I800" s="7" t="str">
        <f t="shared" si="136"/>
        <v>akshita.@hr..ba</v>
      </c>
      <c r="J800" s="6" t="s">
        <v>1542</v>
      </c>
      <c r="K800" s="6">
        <v>73</v>
      </c>
      <c r="L800" s="7" t="str">
        <f t="shared" si="137"/>
        <v>hr..ba</v>
      </c>
      <c r="M800" s="7" t="str">
        <f t="shared" si="138"/>
        <v>.Akshita</v>
      </c>
      <c r="N800" s="6">
        <f t="shared" si="133"/>
        <v>0</v>
      </c>
      <c r="O800" s="6">
        <f t="shared" si="132"/>
        <v>0</v>
      </c>
      <c r="P800" s="6" t="str">
        <f t="shared" si="139"/>
        <v>N</v>
      </c>
      <c r="Q800" s="6">
        <f t="shared" si="140"/>
        <v>7</v>
      </c>
      <c r="R800" s="6" t="str">
        <f t="shared" si="141"/>
        <v>2021</v>
      </c>
      <c r="S800" s="6" t="str">
        <f t="shared" si="142"/>
        <v>Aug</v>
      </c>
    </row>
    <row r="801" spans="1:19" x14ac:dyDescent="0.25">
      <c r="A801" s="6">
        <v>1170</v>
      </c>
      <c r="B801" s="6" t="str">
        <f t="shared" si="134"/>
        <v>NIKHRA01170</v>
      </c>
      <c r="C801" s="7" t="s">
        <v>1257</v>
      </c>
      <c r="D801" s="7" t="s">
        <v>878</v>
      </c>
      <c r="E801" s="7" t="str">
        <f t="shared" si="135"/>
        <v>SHUBHRA UMESH</v>
      </c>
      <c r="F801" s="7" t="s">
        <v>13</v>
      </c>
      <c r="G801" s="22">
        <v>43017</v>
      </c>
      <c r="H801" s="8">
        <v>82913</v>
      </c>
      <c r="I801" s="7" t="str">
        <f t="shared" si="136"/>
        <v>shubhra.umesh@hr.umh.ba</v>
      </c>
      <c r="J801" s="6" t="s">
        <v>1549</v>
      </c>
      <c r="K801" s="6">
        <v>86</v>
      </c>
      <c r="L801" s="7" t="str">
        <f t="shared" si="137"/>
        <v>hr.umh.ba</v>
      </c>
      <c r="M801" s="7" t="str">
        <f t="shared" si="138"/>
        <v>U.Shubhra</v>
      </c>
      <c r="N801" s="6">
        <f t="shared" si="133"/>
        <v>0</v>
      </c>
      <c r="O801" s="6">
        <f t="shared" si="132"/>
        <v>3</v>
      </c>
      <c r="P801" s="6" t="str">
        <f t="shared" si="139"/>
        <v>N</v>
      </c>
      <c r="Q801" s="6">
        <f t="shared" si="140"/>
        <v>12</v>
      </c>
      <c r="R801" s="6" t="str">
        <f t="shared" si="141"/>
        <v>2017</v>
      </c>
      <c r="S801" s="6" t="str">
        <f t="shared" si="142"/>
        <v>Oct</v>
      </c>
    </row>
    <row r="802" spans="1:19" x14ac:dyDescent="0.25">
      <c r="A802" s="6">
        <v>1178</v>
      </c>
      <c r="B802" s="6" t="str">
        <f t="shared" si="134"/>
        <v>NIKHRA01178</v>
      </c>
      <c r="C802" s="7" t="s">
        <v>415</v>
      </c>
      <c r="D802" s="7" t="s">
        <v>68</v>
      </c>
      <c r="E802" s="7" t="str">
        <f t="shared" si="135"/>
        <v>ABHILASH KUMAR</v>
      </c>
      <c r="F802" s="7" t="s">
        <v>13</v>
      </c>
      <c r="G802" s="22">
        <v>43283</v>
      </c>
      <c r="H802" s="8">
        <v>84953</v>
      </c>
      <c r="I802" s="7" t="str">
        <f t="shared" si="136"/>
        <v>abhilash.kumar@hr.kur.ba</v>
      </c>
      <c r="J802" s="6" t="s">
        <v>1534</v>
      </c>
      <c r="K802" s="6">
        <v>38</v>
      </c>
      <c r="L802" s="7" t="str">
        <f t="shared" si="137"/>
        <v>hr.kur.ba</v>
      </c>
      <c r="M802" s="7" t="str">
        <f t="shared" si="138"/>
        <v>K.Abhilash</v>
      </c>
      <c r="N802" s="6">
        <f t="shared" si="133"/>
        <v>0</v>
      </c>
      <c r="O802" s="6">
        <f t="shared" si="132"/>
        <v>0</v>
      </c>
      <c r="P802" s="6" t="str">
        <f t="shared" si="139"/>
        <v>N</v>
      </c>
      <c r="Q802" s="6">
        <f t="shared" si="140"/>
        <v>13</v>
      </c>
      <c r="R802" s="6" t="str">
        <f t="shared" si="141"/>
        <v>2018</v>
      </c>
      <c r="S802" s="6" t="str">
        <f t="shared" si="142"/>
        <v>Jul</v>
      </c>
    </row>
    <row r="803" spans="1:19" x14ac:dyDescent="0.25">
      <c r="A803" s="6">
        <v>1185</v>
      </c>
      <c r="B803" s="6" t="str">
        <f t="shared" si="134"/>
        <v>NIKHRA01185</v>
      </c>
      <c r="C803" s="7" t="s">
        <v>89</v>
      </c>
      <c r="D803" s="7" t="s">
        <v>68</v>
      </c>
      <c r="E803" s="7" t="str">
        <f t="shared" si="135"/>
        <v>VIJAY KUMAR</v>
      </c>
      <c r="F803" s="7" t="s">
        <v>13</v>
      </c>
      <c r="G803" s="22">
        <v>44699</v>
      </c>
      <c r="H803" s="8">
        <v>38880</v>
      </c>
      <c r="I803" s="7" t="str">
        <f t="shared" si="136"/>
        <v>vijay.kumar@hr.kur.ba</v>
      </c>
      <c r="J803" s="6" t="s">
        <v>1551</v>
      </c>
      <c r="K803" s="6">
        <v>87</v>
      </c>
      <c r="L803" s="7" t="str">
        <f t="shared" si="137"/>
        <v>hr.kur.ba</v>
      </c>
      <c r="M803" s="7" t="str">
        <f t="shared" si="138"/>
        <v>K.Vijay</v>
      </c>
      <c r="N803" s="6">
        <f t="shared" si="133"/>
        <v>0</v>
      </c>
      <c r="O803" s="6">
        <f t="shared" si="132"/>
        <v>0</v>
      </c>
      <c r="P803" s="6" t="str">
        <f t="shared" si="139"/>
        <v>N</v>
      </c>
      <c r="Q803" s="6">
        <f t="shared" si="140"/>
        <v>10</v>
      </c>
      <c r="R803" s="6" t="str">
        <f t="shared" si="141"/>
        <v>2022</v>
      </c>
      <c r="S803" s="6" t="str">
        <f t="shared" si="142"/>
        <v>May</v>
      </c>
    </row>
    <row r="804" spans="1:19" x14ac:dyDescent="0.25">
      <c r="A804" s="6">
        <v>1187</v>
      </c>
      <c r="B804" s="6" t="str">
        <f t="shared" si="134"/>
        <v>NIKHRA01187</v>
      </c>
      <c r="C804" s="7" t="s">
        <v>50</v>
      </c>
      <c r="D804" s="7" t="s">
        <v>1265</v>
      </c>
      <c r="E804" s="7" t="str">
        <f t="shared" si="135"/>
        <v>SANDEEP REDDY</v>
      </c>
      <c r="F804" s="7" t="s">
        <v>13</v>
      </c>
      <c r="G804" s="22">
        <v>43871</v>
      </c>
      <c r="H804" s="8">
        <v>101080</v>
      </c>
      <c r="I804" s="7" t="str">
        <f t="shared" si="136"/>
        <v>sandeep.reddy@hr.rey.ba</v>
      </c>
      <c r="J804" s="6" t="s">
        <v>1536</v>
      </c>
      <c r="K804" s="6">
        <v>39</v>
      </c>
      <c r="L804" s="7" t="str">
        <f t="shared" si="137"/>
        <v>hr.rey.ba</v>
      </c>
      <c r="M804" s="7" t="str">
        <f t="shared" si="138"/>
        <v>R.Sandeep</v>
      </c>
      <c r="N804" s="6">
        <f t="shared" si="133"/>
        <v>5</v>
      </c>
      <c r="O804" s="6">
        <f t="shared" si="132"/>
        <v>2</v>
      </c>
      <c r="P804" s="6" t="str">
        <f t="shared" si="139"/>
        <v>Y</v>
      </c>
      <c r="Q804" s="6">
        <f t="shared" si="140"/>
        <v>12</v>
      </c>
      <c r="R804" s="6" t="str">
        <f t="shared" si="141"/>
        <v>2020</v>
      </c>
      <c r="S804" s="6" t="str">
        <f t="shared" si="142"/>
        <v>Feb</v>
      </c>
    </row>
    <row r="805" spans="1:19" x14ac:dyDescent="0.25">
      <c r="A805" s="6">
        <v>1229</v>
      </c>
      <c r="B805" s="6" t="str">
        <f t="shared" si="134"/>
        <v>NIKHRA01229</v>
      </c>
      <c r="C805" s="7" t="s">
        <v>1300</v>
      </c>
      <c r="D805" s="7" t="s">
        <v>1301</v>
      </c>
      <c r="E805" s="7" t="str">
        <f t="shared" si="135"/>
        <v>DHAVALSINH JALAMSINH</v>
      </c>
      <c r="F805" s="7" t="s">
        <v>13</v>
      </c>
      <c r="G805" s="22">
        <v>42646</v>
      </c>
      <c r="H805" s="8">
        <v>79943</v>
      </c>
      <c r="I805" s="7" t="str">
        <f t="shared" si="136"/>
        <v>dhavalsinh.jalamsinh@hr.jah.ba</v>
      </c>
      <c r="J805" s="6" t="s">
        <v>1544</v>
      </c>
      <c r="K805" s="6">
        <v>35</v>
      </c>
      <c r="L805" s="7" t="str">
        <f t="shared" si="137"/>
        <v>hr.jah.ba</v>
      </c>
      <c r="M805" s="7" t="str">
        <f t="shared" si="138"/>
        <v>J.Dhavalsinh</v>
      </c>
      <c r="N805" s="6">
        <f t="shared" si="133"/>
        <v>0</v>
      </c>
      <c r="O805" s="6">
        <f t="shared" si="132"/>
        <v>0</v>
      </c>
      <c r="P805" s="6" t="str">
        <f t="shared" si="139"/>
        <v>N</v>
      </c>
      <c r="Q805" s="6">
        <f t="shared" si="140"/>
        <v>19</v>
      </c>
      <c r="R805" s="6" t="str">
        <f t="shared" si="141"/>
        <v>2016</v>
      </c>
      <c r="S805" s="6" t="str">
        <f t="shared" si="142"/>
        <v>Oct</v>
      </c>
    </row>
    <row r="806" spans="1:19" x14ac:dyDescent="0.25">
      <c r="A806" s="6">
        <v>1237</v>
      </c>
      <c r="B806" s="6" t="str">
        <f t="shared" si="134"/>
        <v>NIKHRA01237</v>
      </c>
      <c r="C806" s="7" t="s">
        <v>1306</v>
      </c>
      <c r="D806" s="7" t="s">
        <v>1307</v>
      </c>
      <c r="E806" s="7" t="str">
        <f t="shared" si="135"/>
        <v>RAGHAV BIRLA</v>
      </c>
      <c r="F806" s="7" t="s">
        <v>13</v>
      </c>
      <c r="G806" s="22">
        <v>44748</v>
      </c>
      <c r="H806" s="8">
        <v>51718</v>
      </c>
      <c r="I806" s="7" t="str">
        <f t="shared" si="136"/>
        <v>raghav.birla@hr.bia.ba</v>
      </c>
      <c r="J806" s="6" t="s">
        <v>1536</v>
      </c>
      <c r="K806" s="6">
        <v>52</v>
      </c>
      <c r="L806" s="7" t="str">
        <f t="shared" si="137"/>
        <v>hr.bia.ba</v>
      </c>
      <c r="M806" s="7" t="str">
        <f t="shared" si="138"/>
        <v>B.Raghav</v>
      </c>
      <c r="N806" s="6">
        <f t="shared" si="133"/>
        <v>0</v>
      </c>
      <c r="O806" s="6">
        <f t="shared" si="132"/>
        <v>0</v>
      </c>
      <c r="P806" s="6" t="str">
        <f t="shared" si="139"/>
        <v>N</v>
      </c>
      <c r="Q806" s="6">
        <f t="shared" si="140"/>
        <v>11</v>
      </c>
      <c r="R806" s="6" t="str">
        <f t="shared" si="141"/>
        <v>2022</v>
      </c>
      <c r="S806" s="6" t="str">
        <f t="shared" si="142"/>
        <v>Jul</v>
      </c>
    </row>
    <row r="807" spans="1:19" x14ac:dyDescent="0.25">
      <c r="A807" s="6">
        <v>1239</v>
      </c>
      <c r="B807" s="6" t="str">
        <f t="shared" si="134"/>
        <v>NIKHRA01239</v>
      </c>
      <c r="C807" s="7" t="s">
        <v>306</v>
      </c>
      <c r="D807" s="7" t="s">
        <v>1309</v>
      </c>
      <c r="E807" s="7" t="str">
        <f t="shared" si="135"/>
        <v>SIDDHARTH CHANDRESHKUMAR</v>
      </c>
      <c r="F807" s="7" t="s">
        <v>13</v>
      </c>
      <c r="G807" s="22">
        <v>44683</v>
      </c>
      <c r="H807" s="8">
        <v>76796</v>
      </c>
      <c r="I807" s="7" t="str">
        <f t="shared" si="136"/>
        <v>siddharth.chandreshkumar@hr.chr.ba</v>
      </c>
      <c r="J807" s="6" t="s">
        <v>1541</v>
      </c>
      <c r="K807" s="6">
        <v>65</v>
      </c>
      <c r="L807" s="7" t="str">
        <f t="shared" si="137"/>
        <v>hr.chr.ba</v>
      </c>
      <c r="M807" s="7" t="str">
        <f t="shared" si="138"/>
        <v>C.Siddharth</v>
      </c>
      <c r="N807" s="6">
        <f t="shared" si="133"/>
        <v>0</v>
      </c>
      <c r="O807" s="6">
        <f t="shared" si="132"/>
        <v>7</v>
      </c>
      <c r="P807" s="6" t="str">
        <f t="shared" si="139"/>
        <v>N</v>
      </c>
      <c r="Q807" s="6">
        <f t="shared" si="140"/>
        <v>23</v>
      </c>
      <c r="R807" s="6" t="str">
        <f t="shared" si="141"/>
        <v>2022</v>
      </c>
      <c r="S807" s="6" t="str">
        <f t="shared" si="142"/>
        <v>May</v>
      </c>
    </row>
    <row r="808" spans="1:19" x14ac:dyDescent="0.25">
      <c r="A808" s="6">
        <v>1249</v>
      </c>
      <c r="B808" s="6" t="str">
        <f t="shared" si="134"/>
        <v>NIKHRA01249</v>
      </c>
      <c r="C808" s="7" t="s">
        <v>33</v>
      </c>
      <c r="D808" s="7" t="s">
        <v>1318</v>
      </c>
      <c r="E808" s="7" t="str">
        <f t="shared" si="135"/>
        <v>KIRAN MADHAVSING</v>
      </c>
      <c r="F808" s="7" t="s">
        <v>13</v>
      </c>
      <c r="G808" s="22">
        <v>44092</v>
      </c>
      <c r="H808" s="8">
        <v>100075</v>
      </c>
      <c r="I808" s="7" t="str">
        <f t="shared" si="136"/>
        <v>kiran.madhavsing@hr.mag.ba</v>
      </c>
      <c r="J808" s="6" t="s">
        <v>1542</v>
      </c>
      <c r="K808" s="6">
        <v>48</v>
      </c>
      <c r="L808" s="7" t="str">
        <f t="shared" si="137"/>
        <v>hr.mag.ba</v>
      </c>
      <c r="M808" s="7" t="str">
        <f t="shared" si="138"/>
        <v>M.Kiran</v>
      </c>
      <c r="N808" s="6">
        <f t="shared" si="133"/>
        <v>0</v>
      </c>
      <c r="O808" s="6">
        <f t="shared" si="132"/>
        <v>0</v>
      </c>
      <c r="P808" s="6" t="str">
        <f t="shared" si="139"/>
        <v>N</v>
      </c>
      <c r="Q808" s="6">
        <f t="shared" si="140"/>
        <v>15</v>
      </c>
      <c r="R808" s="6" t="str">
        <f t="shared" si="141"/>
        <v>2020</v>
      </c>
      <c r="S808" s="6" t="str">
        <f t="shared" si="142"/>
        <v>Sep</v>
      </c>
    </row>
    <row r="809" spans="1:19" x14ac:dyDescent="0.25">
      <c r="A809" s="6">
        <v>1262</v>
      </c>
      <c r="B809" s="6" t="str">
        <f t="shared" si="134"/>
        <v>NIKHRA01262</v>
      </c>
      <c r="C809" s="7" t="s">
        <v>1327</v>
      </c>
      <c r="D809" s="7" t="s">
        <v>1328</v>
      </c>
      <c r="E809" s="7" t="str">
        <f t="shared" si="135"/>
        <v>ATIVEER BOHRA</v>
      </c>
      <c r="F809" s="7" t="s">
        <v>13</v>
      </c>
      <c r="G809" s="22">
        <v>42983</v>
      </c>
      <c r="H809" s="8">
        <v>33315</v>
      </c>
      <c r="I809" s="7" t="str">
        <f t="shared" si="136"/>
        <v>ativeer.bohra@hr.boa.ba</v>
      </c>
      <c r="J809" s="6" t="s">
        <v>1532</v>
      </c>
      <c r="K809" s="6">
        <v>37</v>
      </c>
      <c r="L809" s="7" t="str">
        <f t="shared" si="137"/>
        <v>hr.boa.ba</v>
      </c>
      <c r="M809" s="7" t="str">
        <f t="shared" si="138"/>
        <v>B.Ativeer</v>
      </c>
      <c r="N809" s="6">
        <f t="shared" si="133"/>
        <v>5</v>
      </c>
      <c r="O809" s="6">
        <f t="shared" si="132"/>
        <v>0</v>
      </c>
      <c r="P809" s="6" t="str">
        <f t="shared" si="139"/>
        <v>N</v>
      </c>
      <c r="Q809" s="6">
        <f t="shared" si="140"/>
        <v>12</v>
      </c>
      <c r="R809" s="6" t="str">
        <f t="shared" si="141"/>
        <v>2017</v>
      </c>
      <c r="S809" s="6" t="str">
        <f t="shared" si="142"/>
        <v>Sep</v>
      </c>
    </row>
    <row r="810" spans="1:19" x14ac:dyDescent="0.25">
      <c r="A810" s="6">
        <v>1280</v>
      </c>
      <c r="B810" s="6" t="str">
        <f t="shared" si="134"/>
        <v>NIKHRA01280</v>
      </c>
      <c r="C810" s="7" t="s">
        <v>997</v>
      </c>
      <c r="D810" s="7" t="s">
        <v>1343</v>
      </c>
      <c r="E810" s="7" t="str">
        <f t="shared" si="135"/>
        <v>SADANAND KANKURTHI</v>
      </c>
      <c r="F810" s="7" t="s">
        <v>13</v>
      </c>
      <c r="G810" s="22">
        <v>44455</v>
      </c>
      <c r="H810" s="8">
        <v>64833</v>
      </c>
      <c r="I810" s="7" t="str">
        <f t="shared" si="136"/>
        <v>sadanand.kankurthi@hr.kai.ba</v>
      </c>
      <c r="J810" s="6" t="s">
        <v>1548</v>
      </c>
      <c r="K810" s="6">
        <v>75</v>
      </c>
      <c r="L810" s="7" t="str">
        <f t="shared" si="137"/>
        <v>hr.kai.ba</v>
      </c>
      <c r="M810" s="7" t="str">
        <f t="shared" si="138"/>
        <v>K.Sadanand</v>
      </c>
      <c r="N810" s="6">
        <f t="shared" si="133"/>
        <v>0</v>
      </c>
      <c r="O810" s="6">
        <f t="shared" si="132"/>
        <v>0</v>
      </c>
      <c r="P810" s="6" t="str">
        <f t="shared" si="139"/>
        <v>N</v>
      </c>
      <c r="Q810" s="6">
        <f t="shared" si="140"/>
        <v>17</v>
      </c>
      <c r="R810" s="6" t="str">
        <f t="shared" si="141"/>
        <v>2021</v>
      </c>
      <c r="S810" s="6" t="str">
        <f t="shared" si="142"/>
        <v>Sep</v>
      </c>
    </row>
    <row r="811" spans="1:19" x14ac:dyDescent="0.25">
      <c r="A811" s="6">
        <v>1284</v>
      </c>
      <c r="B811" s="6" t="str">
        <f t="shared" si="134"/>
        <v>NIKHRA01284</v>
      </c>
      <c r="C811" s="7" t="s">
        <v>391</v>
      </c>
      <c r="D811" s="7" t="s">
        <v>1346</v>
      </c>
      <c r="E811" s="7" t="str">
        <f t="shared" si="135"/>
        <v>AJEET DASHRATH</v>
      </c>
      <c r="F811" s="7" t="s">
        <v>13</v>
      </c>
      <c r="G811" s="22">
        <v>42866</v>
      </c>
      <c r="H811" s="8">
        <v>63360</v>
      </c>
      <c r="I811" s="7" t="str">
        <f t="shared" si="136"/>
        <v>ajeet.dashrath@hr.dah.ba</v>
      </c>
      <c r="J811" s="6" t="s">
        <v>1549</v>
      </c>
      <c r="K811" s="6">
        <v>71</v>
      </c>
      <c r="L811" s="7" t="str">
        <f t="shared" si="137"/>
        <v>hr.dah.ba</v>
      </c>
      <c r="M811" s="7" t="str">
        <f t="shared" si="138"/>
        <v>D.Ajeet</v>
      </c>
      <c r="N811" s="6">
        <f t="shared" si="133"/>
        <v>3</v>
      </c>
      <c r="O811" s="6">
        <f t="shared" si="132"/>
        <v>0</v>
      </c>
      <c r="P811" s="6" t="str">
        <f t="shared" si="139"/>
        <v>N</v>
      </c>
      <c r="Q811" s="6">
        <f t="shared" si="140"/>
        <v>13</v>
      </c>
      <c r="R811" s="6" t="str">
        <f t="shared" si="141"/>
        <v>2017</v>
      </c>
      <c r="S811" s="6" t="str">
        <f t="shared" si="142"/>
        <v>May</v>
      </c>
    </row>
    <row r="812" spans="1:19" x14ac:dyDescent="0.25">
      <c r="A812" s="6">
        <v>1304</v>
      </c>
      <c r="B812" s="6" t="str">
        <f t="shared" si="134"/>
        <v>NIKHRA01304</v>
      </c>
      <c r="C812" s="7" t="s">
        <v>538</v>
      </c>
      <c r="D812" s="7" t="s">
        <v>539</v>
      </c>
      <c r="E812" s="7" t="str">
        <f t="shared" si="135"/>
        <v>SHIVANGI TOMAR</v>
      </c>
      <c r="F812" s="7" t="s">
        <v>13</v>
      </c>
      <c r="G812" s="22">
        <v>44666</v>
      </c>
      <c r="H812" s="8">
        <v>108454</v>
      </c>
      <c r="I812" s="7" t="str">
        <f t="shared" si="136"/>
        <v>shivangi.tomar@hr.tor.ba</v>
      </c>
      <c r="J812" s="6" t="s">
        <v>1541</v>
      </c>
      <c r="K812" s="6">
        <v>47</v>
      </c>
      <c r="L812" s="7" t="str">
        <f t="shared" si="137"/>
        <v>hr.tor.ba</v>
      </c>
      <c r="M812" s="7" t="str">
        <f t="shared" si="138"/>
        <v>T.Shivangi</v>
      </c>
      <c r="N812" s="6">
        <f t="shared" si="133"/>
        <v>0</v>
      </c>
      <c r="O812" s="6">
        <f t="shared" ref="O812:O875" si="143">IFERROR(SEARCH("e",D812),0)</f>
        <v>0</v>
      </c>
      <c r="P812" s="6" t="str">
        <f t="shared" si="139"/>
        <v>N</v>
      </c>
      <c r="Q812" s="6">
        <f t="shared" si="140"/>
        <v>13</v>
      </c>
      <c r="R812" s="6" t="str">
        <f t="shared" si="141"/>
        <v>2022</v>
      </c>
      <c r="S812" s="6" t="str">
        <f t="shared" si="142"/>
        <v>Apr</v>
      </c>
    </row>
    <row r="813" spans="1:19" x14ac:dyDescent="0.25">
      <c r="A813" s="6">
        <v>1305</v>
      </c>
      <c r="B813" s="6" t="str">
        <f t="shared" si="134"/>
        <v>NIKHRA01305</v>
      </c>
      <c r="C813" s="7" t="s">
        <v>141</v>
      </c>
      <c r="D813" s="7" t="s">
        <v>70</v>
      </c>
      <c r="E813" s="7" t="str">
        <f t="shared" si="135"/>
        <v>SAURABH SINGH</v>
      </c>
      <c r="F813" s="7" t="s">
        <v>13</v>
      </c>
      <c r="G813" s="22">
        <v>43192</v>
      </c>
      <c r="H813" s="8">
        <v>39415</v>
      </c>
      <c r="I813" s="7" t="str">
        <f t="shared" si="136"/>
        <v>saurabh.singh@hr.sih.ba</v>
      </c>
      <c r="J813" s="6" t="s">
        <v>1542</v>
      </c>
      <c r="K813" s="6">
        <v>50</v>
      </c>
      <c r="L813" s="7" t="str">
        <f t="shared" si="137"/>
        <v>hr.sih.ba</v>
      </c>
      <c r="M813" s="7" t="str">
        <f t="shared" si="138"/>
        <v>S.Saurabh</v>
      </c>
      <c r="N813" s="6">
        <f t="shared" si="133"/>
        <v>0</v>
      </c>
      <c r="O813" s="6">
        <f t="shared" si="143"/>
        <v>0</v>
      </c>
      <c r="P813" s="6" t="str">
        <f t="shared" si="139"/>
        <v>N</v>
      </c>
      <c r="Q813" s="6">
        <f t="shared" si="140"/>
        <v>12</v>
      </c>
      <c r="R813" s="6" t="str">
        <f t="shared" si="141"/>
        <v>2018</v>
      </c>
      <c r="S813" s="6" t="str">
        <f t="shared" si="142"/>
        <v>Apr</v>
      </c>
    </row>
    <row r="814" spans="1:19" x14ac:dyDescent="0.25">
      <c r="A814" s="6">
        <v>1318</v>
      </c>
      <c r="B814" s="6" t="str">
        <f t="shared" si="134"/>
        <v>NIKHRA01318</v>
      </c>
      <c r="C814" s="7" t="s">
        <v>616</v>
      </c>
      <c r="D814" s="7" t="s">
        <v>1365</v>
      </c>
      <c r="E814" s="7" t="str">
        <f t="shared" si="135"/>
        <v>ANURAG NAMDEO</v>
      </c>
      <c r="F814" s="7" t="s">
        <v>13</v>
      </c>
      <c r="G814" s="22">
        <v>43344</v>
      </c>
      <c r="H814" s="8">
        <v>31235</v>
      </c>
      <c r="I814" s="7" t="str">
        <f t="shared" si="136"/>
        <v>anurag.namdeo@hr.nao.ba</v>
      </c>
      <c r="J814" s="6" t="s">
        <v>1538</v>
      </c>
      <c r="K814" s="6">
        <v>88</v>
      </c>
      <c r="L814" s="7" t="str">
        <f t="shared" si="137"/>
        <v>hr.nao.ba</v>
      </c>
      <c r="M814" s="7" t="str">
        <f t="shared" si="138"/>
        <v>N.Anurag</v>
      </c>
      <c r="N814" s="6">
        <f t="shared" ref="N814:N877" si="144">IFERROR(SEARCH("e",C814),0)</f>
        <v>0</v>
      </c>
      <c r="O814" s="6">
        <f t="shared" si="143"/>
        <v>5</v>
      </c>
      <c r="P814" s="6" t="str">
        <f t="shared" si="139"/>
        <v>N</v>
      </c>
      <c r="Q814" s="6">
        <f t="shared" si="140"/>
        <v>12</v>
      </c>
      <c r="R814" s="6" t="str">
        <f t="shared" si="141"/>
        <v>2018</v>
      </c>
      <c r="S814" s="6" t="str">
        <f t="shared" si="142"/>
        <v>Sep</v>
      </c>
    </row>
    <row r="815" spans="1:19" x14ac:dyDescent="0.25">
      <c r="A815" s="6">
        <v>1322</v>
      </c>
      <c r="B815" s="6" t="str">
        <f t="shared" si="134"/>
        <v>NIKHRA01322</v>
      </c>
      <c r="C815" s="7" t="s">
        <v>35</v>
      </c>
      <c r="D815" s="7" t="s">
        <v>1368</v>
      </c>
      <c r="E815" s="7" t="str">
        <f t="shared" si="135"/>
        <v>SAHIL GABA</v>
      </c>
      <c r="F815" s="7" t="s">
        <v>13</v>
      </c>
      <c r="G815" s="22">
        <v>41075</v>
      </c>
      <c r="H815" s="8">
        <v>100004</v>
      </c>
      <c r="I815" s="7" t="str">
        <f t="shared" si="136"/>
        <v>sahil.gaba@hr.gaa.ba</v>
      </c>
      <c r="J815" s="6" t="s">
        <v>1545</v>
      </c>
      <c r="K815" s="6">
        <v>47</v>
      </c>
      <c r="L815" s="7" t="str">
        <f t="shared" si="137"/>
        <v>hr.gaa.ba</v>
      </c>
      <c r="M815" s="7" t="str">
        <f t="shared" si="138"/>
        <v>G.Sahil</v>
      </c>
      <c r="N815" s="6">
        <f t="shared" si="144"/>
        <v>0</v>
      </c>
      <c r="O815" s="6">
        <f t="shared" si="143"/>
        <v>0</v>
      </c>
      <c r="P815" s="6" t="str">
        <f t="shared" si="139"/>
        <v>N</v>
      </c>
      <c r="Q815" s="6">
        <f t="shared" si="140"/>
        <v>9</v>
      </c>
      <c r="R815" s="6" t="str">
        <f t="shared" si="141"/>
        <v>2012</v>
      </c>
      <c r="S815" s="6" t="str">
        <f t="shared" si="142"/>
        <v>Jun</v>
      </c>
    </row>
    <row r="816" spans="1:19" x14ac:dyDescent="0.25">
      <c r="A816" s="6">
        <v>1324</v>
      </c>
      <c r="B816" s="6" t="str">
        <f t="shared" si="134"/>
        <v>NIKHRA01324</v>
      </c>
      <c r="C816" s="7" t="s">
        <v>1370</v>
      </c>
      <c r="D816" s="7" t="s">
        <v>1371</v>
      </c>
      <c r="E816" s="7" t="str">
        <f t="shared" si="135"/>
        <v>RAZINA SAYEED</v>
      </c>
      <c r="F816" s="7" t="s">
        <v>13</v>
      </c>
      <c r="G816" s="22">
        <v>44942</v>
      </c>
      <c r="H816" s="8">
        <v>39885</v>
      </c>
      <c r="I816" s="7" t="str">
        <f t="shared" si="136"/>
        <v>razina.sayeed@hr.sad.ba</v>
      </c>
      <c r="J816" s="6" t="s">
        <v>1540</v>
      </c>
      <c r="K816" s="6">
        <v>64</v>
      </c>
      <c r="L816" s="7" t="str">
        <f t="shared" si="137"/>
        <v>hr.sad.ba</v>
      </c>
      <c r="M816" s="7" t="str">
        <f t="shared" si="138"/>
        <v>S.Razina</v>
      </c>
      <c r="N816" s="6">
        <f t="shared" si="144"/>
        <v>0</v>
      </c>
      <c r="O816" s="6">
        <f t="shared" si="143"/>
        <v>4</v>
      </c>
      <c r="P816" s="6" t="str">
        <f t="shared" si="139"/>
        <v>N</v>
      </c>
      <c r="Q816" s="6">
        <f t="shared" si="140"/>
        <v>12</v>
      </c>
      <c r="R816" s="6" t="str">
        <f t="shared" si="141"/>
        <v>2023</v>
      </c>
      <c r="S816" s="6" t="str">
        <f t="shared" si="142"/>
        <v>Jan</v>
      </c>
    </row>
    <row r="817" spans="1:19" x14ac:dyDescent="0.25">
      <c r="A817" s="6">
        <v>1325</v>
      </c>
      <c r="B817" s="6" t="str">
        <f t="shared" si="134"/>
        <v>NIKHRA01325</v>
      </c>
      <c r="C817" s="7" t="s">
        <v>488</v>
      </c>
      <c r="D817" s="7" t="s">
        <v>572</v>
      </c>
      <c r="E817" s="7" t="str">
        <f t="shared" si="135"/>
        <v>KAMLESH DAS</v>
      </c>
      <c r="F817" s="7" t="s">
        <v>13</v>
      </c>
      <c r="G817" s="22">
        <v>45033</v>
      </c>
      <c r="H817" s="8">
        <v>71132</v>
      </c>
      <c r="I817" s="7" t="str">
        <f t="shared" si="136"/>
        <v>kamlesh.das@hr.das.ba</v>
      </c>
      <c r="J817" s="6" t="s">
        <v>1550</v>
      </c>
      <c r="K817" s="6">
        <v>49</v>
      </c>
      <c r="L817" s="7" t="str">
        <f t="shared" si="137"/>
        <v>hr.das.ba</v>
      </c>
      <c r="M817" s="7" t="str">
        <f t="shared" si="138"/>
        <v>D.Kamlesh</v>
      </c>
      <c r="N817" s="6">
        <f t="shared" si="144"/>
        <v>5</v>
      </c>
      <c r="O817" s="6">
        <f t="shared" si="143"/>
        <v>0</v>
      </c>
      <c r="P817" s="6" t="str">
        <f t="shared" si="139"/>
        <v>N</v>
      </c>
      <c r="Q817" s="6">
        <f t="shared" si="140"/>
        <v>10</v>
      </c>
      <c r="R817" s="6" t="str">
        <f t="shared" si="141"/>
        <v>2023</v>
      </c>
      <c r="S817" s="6" t="str">
        <f t="shared" si="142"/>
        <v>Apr</v>
      </c>
    </row>
    <row r="818" spans="1:19" x14ac:dyDescent="0.25">
      <c r="A818" s="6">
        <v>1331</v>
      </c>
      <c r="B818" s="6" t="str">
        <f t="shared" si="134"/>
        <v>NIKHRA01331</v>
      </c>
      <c r="C818" s="7" t="s">
        <v>1374</v>
      </c>
      <c r="D818" s="7" t="s">
        <v>182</v>
      </c>
      <c r="E818" s="7" t="str">
        <f t="shared" si="135"/>
        <v>DEVANSHI MANOJ</v>
      </c>
      <c r="F818" s="7" t="s">
        <v>13</v>
      </c>
      <c r="G818" s="22">
        <v>44900</v>
      </c>
      <c r="H818" s="8">
        <v>33151</v>
      </c>
      <c r="I818" s="7" t="str">
        <f t="shared" si="136"/>
        <v>devanshi.manoj@hr.maj.ba</v>
      </c>
      <c r="J818" s="6" t="s">
        <v>1533</v>
      </c>
      <c r="K818" s="6">
        <v>73</v>
      </c>
      <c r="L818" s="7" t="str">
        <f t="shared" si="137"/>
        <v>hr.maj.ba</v>
      </c>
      <c r="M818" s="7" t="str">
        <f t="shared" si="138"/>
        <v>M.Devanshi</v>
      </c>
      <c r="N818" s="6">
        <f t="shared" si="144"/>
        <v>2</v>
      </c>
      <c r="O818" s="6">
        <f t="shared" si="143"/>
        <v>0</v>
      </c>
      <c r="P818" s="6" t="str">
        <f t="shared" si="139"/>
        <v>N</v>
      </c>
      <c r="Q818" s="6">
        <f t="shared" si="140"/>
        <v>13</v>
      </c>
      <c r="R818" s="6" t="str">
        <f t="shared" si="141"/>
        <v>2022</v>
      </c>
      <c r="S818" s="6" t="str">
        <f t="shared" si="142"/>
        <v>Dec</v>
      </c>
    </row>
    <row r="819" spans="1:19" x14ac:dyDescent="0.25">
      <c r="A819" s="6">
        <v>1333</v>
      </c>
      <c r="B819" s="6" t="str">
        <f t="shared" si="134"/>
        <v>NIKHRA01333</v>
      </c>
      <c r="C819" s="7" t="s">
        <v>407</v>
      </c>
      <c r="D819" s="7" t="s">
        <v>55</v>
      </c>
      <c r="E819" s="7" t="str">
        <f t="shared" si="135"/>
        <v>AVINASH SHARMA</v>
      </c>
      <c r="F819" s="7" t="s">
        <v>13</v>
      </c>
      <c r="G819" s="22">
        <v>44410</v>
      </c>
      <c r="H819" s="8">
        <v>28992</v>
      </c>
      <c r="I819" s="7" t="str">
        <f t="shared" si="136"/>
        <v>avinash.sharma@hr.sha.ba</v>
      </c>
      <c r="J819" s="6" t="s">
        <v>1544</v>
      </c>
      <c r="K819" s="6">
        <v>40</v>
      </c>
      <c r="L819" s="7" t="str">
        <f t="shared" si="137"/>
        <v>hr.sha.ba</v>
      </c>
      <c r="M819" s="7" t="str">
        <f t="shared" si="138"/>
        <v>S.Avinash</v>
      </c>
      <c r="N819" s="6">
        <f t="shared" si="144"/>
        <v>0</v>
      </c>
      <c r="O819" s="6">
        <f t="shared" si="143"/>
        <v>0</v>
      </c>
      <c r="P819" s="6" t="str">
        <f t="shared" si="139"/>
        <v>N</v>
      </c>
      <c r="Q819" s="6">
        <f t="shared" si="140"/>
        <v>13</v>
      </c>
      <c r="R819" s="6" t="str">
        <f t="shared" si="141"/>
        <v>2021</v>
      </c>
      <c r="S819" s="6" t="str">
        <f t="shared" si="142"/>
        <v>Aug</v>
      </c>
    </row>
    <row r="820" spans="1:19" x14ac:dyDescent="0.25">
      <c r="A820" s="6">
        <v>1365</v>
      </c>
      <c r="B820" s="6" t="str">
        <f t="shared" si="134"/>
        <v>NIKHRA01365</v>
      </c>
      <c r="C820" s="7" t="s">
        <v>40</v>
      </c>
      <c r="D820" s="7" t="s">
        <v>1408</v>
      </c>
      <c r="E820" s="7" t="str">
        <f t="shared" si="135"/>
        <v>SHUBHAM BHAVSAR</v>
      </c>
      <c r="F820" s="7" t="s">
        <v>13</v>
      </c>
      <c r="G820" s="22">
        <v>44942</v>
      </c>
      <c r="H820" s="8">
        <v>97050</v>
      </c>
      <c r="I820" s="7" t="str">
        <f t="shared" si="136"/>
        <v>shubham.bhavsar@hr.bhr.ba</v>
      </c>
      <c r="J820" s="6" t="s">
        <v>1546</v>
      </c>
      <c r="K820" s="6">
        <v>83</v>
      </c>
      <c r="L820" s="7" t="str">
        <f t="shared" si="137"/>
        <v>hr.bhr.ba</v>
      </c>
      <c r="M820" s="7" t="str">
        <f t="shared" si="138"/>
        <v>B.Shubham</v>
      </c>
      <c r="N820" s="6">
        <f t="shared" si="144"/>
        <v>0</v>
      </c>
      <c r="O820" s="6">
        <f t="shared" si="143"/>
        <v>0</v>
      </c>
      <c r="P820" s="6" t="str">
        <f t="shared" si="139"/>
        <v>N</v>
      </c>
      <c r="Q820" s="6">
        <f t="shared" si="140"/>
        <v>14</v>
      </c>
      <c r="R820" s="6" t="str">
        <f t="shared" si="141"/>
        <v>2023</v>
      </c>
      <c r="S820" s="6" t="str">
        <f t="shared" si="142"/>
        <v>Jan</v>
      </c>
    </row>
    <row r="821" spans="1:19" x14ac:dyDescent="0.25">
      <c r="A821" s="6">
        <v>1375</v>
      </c>
      <c r="B821" s="6" t="str">
        <f t="shared" si="134"/>
        <v>NIKHRA01375</v>
      </c>
      <c r="C821" s="7" t="s">
        <v>1415</v>
      </c>
      <c r="D821" s="7" t="s">
        <v>300</v>
      </c>
      <c r="E821" s="7" t="str">
        <f t="shared" si="135"/>
        <v>SONIKA CHATURVEDI</v>
      </c>
      <c r="F821" s="7" t="s">
        <v>13</v>
      </c>
      <c r="G821" s="22">
        <v>45061</v>
      </c>
      <c r="H821" s="8">
        <v>33398</v>
      </c>
      <c r="I821" s="7" t="str">
        <f t="shared" si="136"/>
        <v>sonika.chaturvedi@hr.chi.ba</v>
      </c>
      <c r="J821" s="6" t="s">
        <v>1544</v>
      </c>
      <c r="K821" s="6">
        <v>81</v>
      </c>
      <c r="L821" s="7" t="str">
        <f t="shared" si="137"/>
        <v>hr.chi.ba</v>
      </c>
      <c r="M821" s="7" t="str">
        <f t="shared" si="138"/>
        <v>C.Sonika</v>
      </c>
      <c r="N821" s="6">
        <f t="shared" si="144"/>
        <v>0</v>
      </c>
      <c r="O821" s="6">
        <f t="shared" si="143"/>
        <v>8</v>
      </c>
      <c r="P821" s="6" t="str">
        <f t="shared" si="139"/>
        <v>N</v>
      </c>
      <c r="Q821" s="6">
        <f t="shared" si="140"/>
        <v>16</v>
      </c>
      <c r="R821" s="6" t="str">
        <f t="shared" si="141"/>
        <v>2023</v>
      </c>
      <c r="S821" s="6" t="str">
        <f t="shared" si="142"/>
        <v>May</v>
      </c>
    </row>
    <row r="822" spans="1:19" x14ac:dyDescent="0.25">
      <c r="A822" s="6">
        <v>1378</v>
      </c>
      <c r="B822" s="6" t="str">
        <f t="shared" si="134"/>
        <v>NIKHRA01378</v>
      </c>
      <c r="C822" s="7" t="s">
        <v>45</v>
      </c>
      <c r="D822" s="7"/>
      <c r="E822" s="7" t="str">
        <f t="shared" si="135"/>
        <v>GARIMA</v>
      </c>
      <c r="F822" s="7" t="s">
        <v>13</v>
      </c>
      <c r="G822" s="22">
        <v>44718</v>
      </c>
      <c r="H822" s="8">
        <v>65869</v>
      </c>
      <c r="I822" s="7" t="str">
        <f t="shared" si="136"/>
        <v>garima.@hr..ba</v>
      </c>
      <c r="J822" s="6" t="s">
        <v>1543</v>
      </c>
      <c r="K822" s="6">
        <v>43</v>
      </c>
      <c r="L822" s="7" t="str">
        <f t="shared" si="137"/>
        <v>hr..ba</v>
      </c>
      <c r="M822" s="7" t="str">
        <f t="shared" si="138"/>
        <v>.Garima</v>
      </c>
      <c r="N822" s="6">
        <f t="shared" si="144"/>
        <v>0</v>
      </c>
      <c r="O822" s="6">
        <f t="shared" si="143"/>
        <v>0</v>
      </c>
      <c r="P822" s="6" t="str">
        <f t="shared" si="139"/>
        <v>N</v>
      </c>
      <c r="Q822" s="6">
        <f t="shared" si="140"/>
        <v>6</v>
      </c>
      <c r="R822" s="6" t="str">
        <f t="shared" si="141"/>
        <v>2022</v>
      </c>
      <c r="S822" s="6" t="str">
        <f t="shared" si="142"/>
        <v>Jun</v>
      </c>
    </row>
    <row r="823" spans="1:19" x14ac:dyDescent="0.25">
      <c r="A823" s="6">
        <v>1379</v>
      </c>
      <c r="B823" s="6" t="str">
        <f t="shared" si="134"/>
        <v>NIKHRA01379</v>
      </c>
      <c r="C823" s="7" t="s">
        <v>1419</v>
      </c>
      <c r="D823" s="7" t="s">
        <v>1420</v>
      </c>
      <c r="E823" s="7" t="str">
        <f t="shared" si="135"/>
        <v>VISHALKUMAR VIRJIBHAI</v>
      </c>
      <c r="F823" s="7" t="s">
        <v>13</v>
      </c>
      <c r="G823" s="22">
        <v>44578</v>
      </c>
      <c r="H823" s="8">
        <v>76313</v>
      </c>
      <c r="I823" s="7" t="str">
        <f t="shared" si="136"/>
        <v>vishalkumar.virjibhai@hr.vii.ba</v>
      </c>
      <c r="J823" s="6" t="s">
        <v>1545</v>
      </c>
      <c r="K823" s="6">
        <v>36</v>
      </c>
      <c r="L823" s="7" t="str">
        <f t="shared" si="137"/>
        <v>hr.vii.ba</v>
      </c>
      <c r="M823" s="7" t="str">
        <f t="shared" si="138"/>
        <v>V.Vishalkumar</v>
      </c>
      <c r="N823" s="6">
        <f t="shared" si="144"/>
        <v>0</v>
      </c>
      <c r="O823" s="6">
        <f t="shared" si="143"/>
        <v>0</v>
      </c>
      <c r="P823" s="6" t="str">
        <f t="shared" si="139"/>
        <v>N</v>
      </c>
      <c r="Q823" s="6">
        <f t="shared" si="140"/>
        <v>20</v>
      </c>
      <c r="R823" s="6" t="str">
        <f t="shared" si="141"/>
        <v>2022</v>
      </c>
      <c r="S823" s="6" t="str">
        <f t="shared" si="142"/>
        <v>Jan</v>
      </c>
    </row>
    <row r="824" spans="1:19" x14ac:dyDescent="0.25">
      <c r="A824" s="6">
        <v>1384</v>
      </c>
      <c r="B824" s="6" t="str">
        <f t="shared" si="134"/>
        <v>NIKHRA01384</v>
      </c>
      <c r="C824" s="7" t="s">
        <v>954</v>
      </c>
      <c r="D824" s="7" t="s">
        <v>1422</v>
      </c>
      <c r="E824" s="7" t="str">
        <f t="shared" si="135"/>
        <v>LAXMIKANT VEDPATHAK</v>
      </c>
      <c r="F824" s="7" t="s">
        <v>13</v>
      </c>
      <c r="G824" s="22">
        <v>43132</v>
      </c>
      <c r="H824" s="8">
        <v>101770</v>
      </c>
      <c r="I824" s="7" t="str">
        <f t="shared" si="136"/>
        <v>laxmikant.vedpathak@hr.vek.ba</v>
      </c>
      <c r="J824" s="6" t="s">
        <v>1547</v>
      </c>
      <c r="K824" s="6">
        <v>83</v>
      </c>
      <c r="L824" s="7" t="str">
        <f t="shared" si="137"/>
        <v>hr.vek.ba</v>
      </c>
      <c r="M824" s="7" t="str">
        <f t="shared" si="138"/>
        <v>V.Laxmikant</v>
      </c>
      <c r="N824" s="6">
        <f t="shared" si="144"/>
        <v>0</v>
      </c>
      <c r="O824" s="6">
        <f t="shared" si="143"/>
        <v>2</v>
      </c>
      <c r="P824" s="6" t="str">
        <f t="shared" si="139"/>
        <v>N</v>
      </c>
      <c r="Q824" s="6">
        <f t="shared" si="140"/>
        <v>18</v>
      </c>
      <c r="R824" s="6" t="str">
        <f t="shared" si="141"/>
        <v>2018</v>
      </c>
      <c r="S824" s="6" t="str">
        <f t="shared" si="142"/>
        <v>Feb</v>
      </c>
    </row>
    <row r="825" spans="1:19" x14ac:dyDescent="0.25">
      <c r="A825" s="6">
        <v>1392</v>
      </c>
      <c r="B825" s="6" t="str">
        <f t="shared" si="134"/>
        <v>NIKHRA01392</v>
      </c>
      <c r="C825" s="7" t="s">
        <v>248</v>
      </c>
      <c r="D825" s="7" t="s">
        <v>1433</v>
      </c>
      <c r="E825" s="7" t="str">
        <f t="shared" si="135"/>
        <v>PRIYANKA KARAM</v>
      </c>
      <c r="F825" s="7" t="s">
        <v>13</v>
      </c>
      <c r="G825" s="22">
        <v>45096</v>
      </c>
      <c r="H825" s="8">
        <v>42580</v>
      </c>
      <c r="I825" s="7" t="str">
        <f t="shared" si="136"/>
        <v>priyanka.karam@hr.kam.ba</v>
      </c>
      <c r="J825" s="6" t="s">
        <v>1533</v>
      </c>
      <c r="K825" s="6">
        <v>57</v>
      </c>
      <c r="L825" s="7" t="str">
        <f t="shared" si="137"/>
        <v>hr.kam.ba</v>
      </c>
      <c r="M825" s="7" t="str">
        <f t="shared" si="138"/>
        <v>K.Priyanka</v>
      </c>
      <c r="N825" s="6">
        <f t="shared" si="144"/>
        <v>0</v>
      </c>
      <c r="O825" s="6">
        <f t="shared" si="143"/>
        <v>0</v>
      </c>
      <c r="P825" s="6" t="str">
        <f t="shared" si="139"/>
        <v>N</v>
      </c>
      <c r="Q825" s="6">
        <f t="shared" si="140"/>
        <v>13</v>
      </c>
      <c r="R825" s="6" t="str">
        <f t="shared" si="141"/>
        <v>2023</v>
      </c>
      <c r="S825" s="6" t="str">
        <f t="shared" si="142"/>
        <v>Jun</v>
      </c>
    </row>
    <row r="826" spans="1:19" x14ac:dyDescent="0.25">
      <c r="A826" s="6">
        <v>1407</v>
      </c>
      <c r="B826" s="6" t="str">
        <f t="shared" si="134"/>
        <v>NIKHRA01407</v>
      </c>
      <c r="C826" s="7" t="s">
        <v>678</v>
      </c>
      <c r="D826" s="7" t="s">
        <v>1443</v>
      </c>
      <c r="E826" s="7" t="str">
        <f t="shared" si="135"/>
        <v>SAGAR VASANT</v>
      </c>
      <c r="F826" s="7" t="s">
        <v>13</v>
      </c>
      <c r="G826" s="22">
        <v>45117</v>
      </c>
      <c r="H826" s="8">
        <v>98350</v>
      </c>
      <c r="I826" s="7" t="str">
        <f t="shared" si="136"/>
        <v>sagar.vasant@hr.vat.ba</v>
      </c>
      <c r="J826" s="6" t="s">
        <v>1550</v>
      </c>
      <c r="K826" s="6">
        <v>38</v>
      </c>
      <c r="L826" s="7" t="str">
        <f t="shared" si="137"/>
        <v>hr.vat.ba</v>
      </c>
      <c r="M826" s="7" t="str">
        <f t="shared" si="138"/>
        <v>V.Sagar</v>
      </c>
      <c r="N826" s="6">
        <f t="shared" si="144"/>
        <v>0</v>
      </c>
      <c r="O826" s="6">
        <f t="shared" si="143"/>
        <v>0</v>
      </c>
      <c r="P826" s="6" t="str">
        <f t="shared" si="139"/>
        <v>N</v>
      </c>
      <c r="Q826" s="6">
        <f t="shared" si="140"/>
        <v>11</v>
      </c>
      <c r="R826" s="6" t="str">
        <f t="shared" si="141"/>
        <v>2023</v>
      </c>
      <c r="S826" s="6" t="str">
        <f t="shared" si="142"/>
        <v>Jul</v>
      </c>
    </row>
    <row r="827" spans="1:19" x14ac:dyDescent="0.25">
      <c r="A827" s="6">
        <v>1410</v>
      </c>
      <c r="B827" s="6" t="str">
        <f t="shared" si="134"/>
        <v>NIKHRA01410</v>
      </c>
      <c r="C827" s="7" t="s">
        <v>640</v>
      </c>
      <c r="D827" s="7" t="s">
        <v>501</v>
      </c>
      <c r="E827" s="7" t="str">
        <f t="shared" si="135"/>
        <v>ANSHUL PATEL</v>
      </c>
      <c r="F827" s="7" t="s">
        <v>13</v>
      </c>
      <c r="G827" s="22">
        <v>43603</v>
      </c>
      <c r="H827" s="8">
        <v>42362</v>
      </c>
      <c r="I827" s="7" t="str">
        <f t="shared" si="136"/>
        <v>anshul.patel@hr.pal.ba</v>
      </c>
      <c r="J827" s="6" t="s">
        <v>1548</v>
      </c>
      <c r="K827" s="6">
        <v>38</v>
      </c>
      <c r="L827" s="7" t="str">
        <f t="shared" si="137"/>
        <v>hr.pal.ba</v>
      </c>
      <c r="M827" s="7" t="str">
        <f t="shared" si="138"/>
        <v>P.Anshul</v>
      </c>
      <c r="N827" s="6">
        <f t="shared" si="144"/>
        <v>0</v>
      </c>
      <c r="O827" s="6">
        <f t="shared" si="143"/>
        <v>4</v>
      </c>
      <c r="P827" s="6" t="str">
        <f t="shared" si="139"/>
        <v>N</v>
      </c>
      <c r="Q827" s="6">
        <f t="shared" si="140"/>
        <v>11</v>
      </c>
      <c r="R827" s="6" t="str">
        <f t="shared" si="141"/>
        <v>2019</v>
      </c>
      <c r="S827" s="6" t="str">
        <f t="shared" si="142"/>
        <v>May</v>
      </c>
    </row>
    <row r="828" spans="1:19" x14ac:dyDescent="0.25">
      <c r="A828" s="6">
        <v>1428</v>
      </c>
      <c r="B828" s="6" t="str">
        <f t="shared" si="134"/>
        <v>NIKHRA01428</v>
      </c>
      <c r="C828" s="7" t="s">
        <v>1459</v>
      </c>
      <c r="D828" s="7" t="s">
        <v>1460</v>
      </c>
      <c r="E828" s="7" t="str">
        <f t="shared" si="135"/>
        <v>SHINAM KARKRA</v>
      </c>
      <c r="F828" s="7" t="s">
        <v>13</v>
      </c>
      <c r="G828" s="22">
        <v>44298</v>
      </c>
      <c r="H828" s="8">
        <v>88954</v>
      </c>
      <c r="I828" s="7" t="str">
        <f t="shared" si="136"/>
        <v>shinam.karkra@hr.kaa.ba</v>
      </c>
      <c r="J828" s="6" t="s">
        <v>1540</v>
      </c>
      <c r="K828" s="6">
        <v>68</v>
      </c>
      <c r="L828" s="7" t="str">
        <f t="shared" si="137"/>
        <v>hr.kaa.ba</v>
      </c>
      <c r="M828" s="7" t="str">
        <f t="shared" si="138"/>
        <v>K.Shinam</v>
      </c>
      <c r="N828" s="6">
        <f t="shared" si="144"/>
        <v>0</v>
      </c>
      <c r="O828" s="6">
        <f t="shared" si="143"/>
        <v>0</v>
      </c>
      <c r="P828" s="6" t="str">
        <f t="shared" si="139"/>
        <v>N</v>
      </c>
      <c r="Q828" s="6">
        <f t="shared" si="140"/>
        <v>12</v>
      </c>
      <c r="R828" s="6" t="str">
        <f t="shared" si="141"/>
        <v>2021</v>
      </c>
      <c r="S828" s="6" t="str">
        <f t="shared" si="142"/>
        <v>Apr</v>
      </c>
    </row>
    <row r="829" spans="1:19" x14ac:dyDescent="0.25">
      <c r="A829" s="6">
        <v>1435</v>
      </c>
      <c r="B829" s="6" t="str">
        <f t="shared" si="134"/>
        <v>NIKHRA01435</v>
      </c>
      <c r="C829" s="7" t="s">
        <v>1467</v>
      </c>
      <c r="D829" s="7" t="s">
        <v>1468</v>
      </c>
      <c r="E829" s="7" t="str">
        <f t="shared" si="135"/>
        <v>Viny Bharti</v>
      </c>
      <c r="F829" s="7" t="s">
        <v>13</v>
      </c>
      <c r="G829" s="22">
        <v>42214</v>
      </c>
      <c r="H829" s="8">
        <v>47991</v>
      </c>
      <c r="I829" s="7" t="str">
        <f t="shared" si="136"/>
        <v>viny.bharti@hr.bhi.ba</v>
      </c>
      <c r="J829" s="6" t="s">
        <v>1532</v>
      </c>
      <c r="K829" s="6">
        <v>66</v>
      </c>
      <c r="L829" s="7" t="str">
        <f t="shared" si="137"/>
        <v>hr.bhi.ba</v>
      </c>
      <c r="M829" s="7" t="str">
        <f t="shared" si="138"/>
        <v>B.Viny</v>
      </c>
      <c r="N829" s="6">
        <f t="shared" si="144"/>
        <v>0</v>
      </c>
      <c r="O829" s="6">
        <f t="shared" si="143"/>
        <v>0</v>
      </c>
      <c r="P829" s="6" t="str">
        <f t="shared" si="139"/>
        <v>N</v>
      </c>
      <c r="Q829" s="6">
        <f t="shared" si="140"/>
        <v>10</v>
      </c>
      <c r="R829" s="6" t="str">
        <f t="shared" si="141"/>
        <v>2015</v>
      </c>
      <c r="S829" s="6" t="str">
        <f t="shared" si="142"/>
        <v>Jul</v>
      </c>
    </row>
    <row r="830" spans="1:19" x14ac:dyDescent="0.25">
      <c r="A830" s="6">
        <v>1436</v>
      </c>
      <c r="B830" s="6" t="str">
        <f t="shared" si="134"/>
        <v>NIKHRA01436</v>
      </c>
      <c r="C830" s="7" t="s">
        <v>1469</v>
      </c>
      <c r="D830" s="7" t="s">
        <v>1470</v>
      </c>
      <c r="E830" s="7" t="str">
        <f t="shared" si="135"/>
        <v>Umesh Dandgaval</v>
      </c>
      <c r="F830" s="7" t="s">
        <v>13</v>
      </c>
      <c r="G830" s="22">
        <v>45356</v>
      </c>
      <c r="H830" s="8">
        <v>51316</v>
      </c>
      <c r="I830" s="7" t="str">
        <f t="shared" si="136"/>
        <v>umesh.dandgaval@hr.dal.ba</v>
      </c>
      <c r="J830" s="6" t="s">
        <v>1550</v>
      </c>
      <c r="K830" s="6">
        <v>41</v>
      </c>
      <c r="L830" s="7" t="str">
        <f t="shared" si="137"/>
        <v>hr.dal.ba</v>
      </c>
      <c r="M830" s="7" t="str">
        <f t="shared" si="138"/>
        <v>D.Umesh</v>
      </c>
      <c r="N830" s="6">
        <f t="shared" si="144"/>
        <v>3</v>
      </c>
      <c r="O830" s="6">
        <f t="shared" si="143"/>
        <v>0</v>
      </c>
      <c r="P830" s="6" t="str">
        <f t="shared" si="139"/>
        <v>N</v>
      </c>
      <c r="Q830" s="6">
        <f t="shared" si="140"/>
        <v>14</v>
      </c>
      <c r="R830" s="6" t="str">
        <f t="shared" si="141"/>
        <v>2024</v>
      </c>
      <c r="S830" s="6" t="str">
        <f t="shared" si="142"/>
        <v>Mar</v>
      </c>
    </row>
    <row r="831" spans="1:19" x14ac:dyDescent="0.25">
      <c r="A831" s="6">
        <v>1440</v>
      </c>
      <c r="B831" s="6" t="str">
        <f t="shared" si="134"/>
        <v>NIKHRA01440</v>
      </c>
      <c r="C831" s="7" t="s">
        <v>1474</v>
      </c>
      <c r="D831" s="7" t="s">
        <v>1475</v>
      </c>
      <c r="E831" s="7" t="str">
        <f t="shared" si="135"/>
        <v>Nehal Naidu</v>
      </c>
      <c r="F831" s="7" t="s">
        <v>13</v>
      </c>
      <c r="G831" s="22">
        <v>39830</v>
      </c>
      <c r="H831" s="8">
        <v>63515</v>
      </c>
      <c r="I831" s="7" t="str">
        <f t="shared" si="136"/>
        <v>nehal.naidu@hr.nau.ba</v>
      </c>
      <c r="J831" s="6" t="s">
        <v>1539</v>
      </c>
      <c r="K831" s="6">
        <v>85</v>
      </c>
      <c r="L831" s="7" t="str">
        <f t="shared" si="137"/>
        <v>hr.nau.ba</v>
      </c>
      <c r="M831" s="7" t="str">
        <f t="shared" si="138"/>
        <v>N.Nehal</v>
      </c>
      <c r="N831" s="6">
        <f t="shared" si="144"/>
        <v>2</v>
      </c>
      <c r="O831" s="6">
        <f t="shared" si="143"/>
        <v>0</v>
      </c>
      <c r="P831" s="6" t="str">
        <f t="shared" si="139"/>
        <v>N</v>
      </c>
      <c r="Q831" s="6">
        <f t="shared" si="140"/>
        <v>10</v>
      </c>
      <c r="R831" s="6" t="str">
        <f t="shared" si="141"/>
        <v>2009</v>
      </c>
      <c r="S831" s="6" t="str">
        <f t="shared" si="142"/>
        <v>Jan</v>
      </c>
    </row>
    <row r="832" spans="1:19" x14ac:dyDescent="0.25">
      <c r="A832" s="6">
        <v>1443</v>
      </c>
      <c r="B832" s="6" t="str">
        <f t="shared" si="134"/>
        <v>NIKHRA01443</v>
      </c>
      <c r="C832" s="7" t="s">
        <v>1480</v>
      </c>
      <c r="D832" s="7" t="s">
        <v>1473</v>
      </c>
      <c r="E832" s="7" t="str">
        <f t="shared" si="135"/>
        <v>Vikram Singh</v>
      </c>
      <c r="F832" s="7" t="s">
        <v>13</v>
      </c>
      <c r="G832" s="22">
        <v>45248</v>
      </c>
      <c r="H832" s="8">
        <v>93659</v>
      </c>
      <c r="I832" s="7" t="str">
        <f t="shared" si="136"/>
        <v>vikram.singh@hr.sih.ba</v>
      </c>
      <c r="J832" s="6" t="s">
        <v>1542</v>
      </c>
      <c r="K832" s="6">
        <v>83</v>
      </c>
      <c r="L832" s="7" t="str">
        <f t="shared" si="137"/>
        <v>hr.sih.ba</v>
      </c>
      <c r="M832" s="7" t="str">
        <f t="shared" si="138"/>
        <v>S.Vikram</v>
      </c>
      <c r="N832" s="6">
        <f t="shared" si="144"/>
        <v>0</v>
      </c>
      <c r="O832" s="6">
        <f t="shared" si="143"/>
        <v>0</v>
      </c>
      <c r="P832" s="6" t="str">
        <f t="shared" si="139"/>
        <v>N</v>
      </c>
      <c r="Q832" s="6">
        <f t="shared" si="140"/>
        <v>11</v>
      </c>
      <c r="R832" s="6" t="str">
        <f t="shared" si="141"/>
        <v>2023</v>
      </c>
      <c r="S832" s="6" t="str">
        <f t="shared" si="142"/>
        <v>Nov</v>
      </c>
    </row>
    <row r="833" spans="1:19" x14ac:dyDescent="0.25">
      <c r="A833" s="6">
        <v>1446</v>
      </c>
      <c r="B833" s="6" t="str">
        <f t="shared" si="134"/>
        <v>NIKHRA01446</v>
      </c>
      <c r="C833" s="7" t="s">
        <v>1485</v>
      </c>
      <c r="D833" s="7" t="s">
        <v>1486</v>
      </c>
      <c r="E833" s="7" t="str">
        <f t="shared" si="135"/>
        <v>Kishor Chaterjee</v>
      </c>
      <c r="F833" s="7" t="s">
        <v>13</v>
      </c>
      <c r="G833" s="22">
        <v>42828</v>
      </c>
      <c r="H833" s="8">
        <v>39683</v>
      </c>
      <c r="I833" s="7" t="str">
        <f t="shared" si="136"/>
        <v>kishor.chaterjee@hr.che.ba</v>
      </c>
      <c r="J833" s="6" t="s">
        <v>1544</v>
      </c>
      <c r="K833" s="6">
        <v>46</v>
      </c>
      <c r="L833" s="7" t="str">
        <f t="shared" si="137"/>
        <v>hr.che.ba</v>
      </c>
      <c r="M833" s="7" t="str">
        <f t="shared" si="138"/>
        <v>C.Kishor</v>
      </c>
      <c r="N833" s="6">
        <f t="shared" si="144"/>
        <v>0</v>
      </c>
      <c r="O833" s="6">
        <f t="shared" si="143"/>
        <v>5</v>
      </c>
      <c r="P833" s="6" t="str">
        <f t="shared" si="139"/>
        <v>N</v>
      </c>
      <c r="Q833" s="6">
        <f t="shared" si="140"/>
        <v>15</v>
      </c>
      <c r="R833" s="6" t="str">
        <f t="shared" si="141"/>
        <v>2017</v>
      </c>
      <c r="S833" s="6" t="str">
        <f t="shared" si="142"/>
        <v>Apr</v>
      </c>
    </row>
    <row r="834" spans="1:19" x14ac:dyDescent="0.25">
      <c r="A834" s="6">
        <v>1451</v>
      </c>
      <c r="B834" s="6" t="str">
        <f t="shared" ref="B834:B897" si="145">_xlfn.TEXTJOIN("",TRUE,"NIK",UPPER(LEFT(SUBSTITUTE(SUBSTITUTE(F834," ",""),"&amp;",""),3)),TEXT(A834,"00000"))</f>
        <v>NIKHRA01451</v>
      </c>
      <c r="C834" s="7" t="s">
        <v>35</v>
      </c>
      <c r="D834" s="7" t="s">
        <v>55</v>
      </c>
      <c r="E834" s="7" t="str">
        <f t="shared" ref="E834:E897" si="146">_xlfn.TEXTJOIN(" ",TRUE,C834,D834)</f>
        <v>SAHIL SHARMA</v>
      </c>
      <c r="F834" s="7" t="s">
        <v>13</v>
      </c>
      <c r="G834" s="22">
        <v>45366</v>
      </c>
      <c r="H834" s="8">
        <v>100653</v>
      </c>
      <c r="I834" s="7" t="str">
        <f t="shared" ref="I834:I897" si="147">LOWER(C834&amp;"."&amp;D834&amp;"@"&amp;LEFT(SUBSTITUTE(F834," ",""),2))&amp;LOWER("."&amp;LEFT(D834,2))&amp;LOWER(RIGHT(D834,1))&amp;".ba"</f>
        <v>sahil.sharma@hr.sha.ba</v>
      </c>
      <c r="J834" s="6" t="s">
        <v>1543</v>
      </c>
      <c r="K834" s="6">
        <v>78</v>
      </c>
      <c r="L834" s="7" t="str">
        <f t="shared" ref="L834:L897" si="148">RIGHT(I834,LEN(I834)-FIND("@",I834))</f>
        <v>hr.sha.ba</v>
      </c>
      <c r="M834" s="7" t="str">
        <f t="shared" ref="M834:M897" si="149">UPPER(LEFT(D834,1))&amp;"."&amp;PROPER(C834)</f>
        <v>S.Sahil</v>
      </c>
      <c r="N834" s="6">
        <f t="shared" si="144"/>
        <v>0</v>
      </c>
      <c r="O834" s="6">
        <f t="shared" si="143"/>
        <v>0</v>
      </c>
      <c r="P834" s="6" t="str">
        <f t="shared" ref="P834:P897" si="150">IF(AND(N834&gt;=1,O834&gt;=1),"Y","N")</f>
        <v>N</v>
      </c>
      <c r="Q834" s="6">
        <f t="shared" ref="Q834:Q897" si="151">LEN(SUBSTITUTE(E834, " ", ""))</f>
        <v>11</v>
      </c>
      <c r="R834" s="6" t="str">
        <f t="shared" ref="R834:R897" si="152">TEXT(G834,"YYYY")</f>
        <v>2024</v>
      </c>
      <c r="S834" s="6" t="str">
        <f t="shared" ref="S834:S897" si="153">TEXT(G834,"MMM")</f>
        <v>Mar</v>
      </c>
    </row>
    <row r="835" spans="1:19" x14ac:dyDescent="0.25">
      <c r="A835" s="6">
        <v>1460</v>
      </c>
      <c r="B835" s="6" t="str">
        <f t="shared" si="145"/>
        <v>NIKHRA01460</v>
      </c>
      <c r="C835" s="7" t="s">
        <v>986</v>
      </c>
      <c r="D835" s="7" t="s">
        <v>435</v>
      </c>
      <c r="E835" s="7" t="str">
        <f t="shared" si="146"/>
        <v>TEJAS DAMODAR</v>
      </c>
      <c r="F835" s="7" t="s">
        <v>13</v>
      </c>
      <c r="G835" s="22">
        <v>44621</v>
      </c>
      <c r="H835" s="8">
        <v>80272</v>
      </c>
      <c r="I835" s="7" t="str">
        <f t="shared" si="147"/>
        <v>tejas.damodar@hr.dar.ba</v>
      </c>
      <c r="J835" s="6" t="s">
        <v>1540</v>
      </c>
      <c r="K835" s="6">
        <v>42</v>
      </c>
      <c r="L835" s="7" t="str">
        <f t="shared" si="148"/>
        <v>hr.dar.ba</v>
      </c>
      <c r="M835" s="7" t="str">
        <f t="shared" si="149"/>
        <v>D.Tejas</v>
      </c>
      <c r="N835" s="6">
        <f t="shared" si="144"/>
        <v>2</v>
      </c>
      <c r="O835" s="6">
        <f t="shared" si="143"/>
        <v>0</v>
      </c>
      <c r="P835" s="6" t="str">
        <f t="shared" si="150"/>
        <v>N</v>
      </c>
      <c r="Q835" s="6">
        <f t="shared" si="151"/>
        <v>12</v>
      </c>
      <c r="R835" s="6" t="str">
        <f t="shared" si="152"/>
        <v>2022</v>
      </c>
      <c r="S835" s="6" t="str">
        <f t="shared" si="153"/>
        <v>Mar</v>
      </c>
    </row>
    <row r="836" spans="1:19" x14ac:dyDescent="0.25">
      <c r="A836" s="6">
        <v>1461</v>
      </c>
      <c r="B836" s="6" t="str">
        <f t="shared" si="145"/>
        <v>NIKHRA01461</v>
      </c>
      <c r="C836" s="7" t="s">
        <v>1503</v>
      </c>
      <c r="D836" s="7" t="s">
        <v>1504</v>
      </c>
      <c r="E836" s="7" t="str">
        <f t="shared" si="146"/>
        <v>Prabhat Dubey</v>
      </c>
      <c r="F836" s="7" t="s">
        <v>13</v>
      </c>
      <c r="G836" s="22">
        <v>45264</v>
      </c>
      <c r="H836" s="8">
        <v>58221</v>
      </c>
      <c r="I836" s="7" t="str">
        <f t="shared" si="147"/>
        <v>prabhat.dubey@hr.duy.ba</v>
      </c>
      <c r="J836" s="6" t="s">
        <v>1545</v>
      </c>
      <c r="K836" s="6">
        <v>65</v>
      </c>
      <c r="L836" s="7" t="str">
        <f t="shared" si="148"/>
        <v>hr.duy.ba</v>
      </c>
      <c r="M836" s="7" t="str">
        <f t="shared" si="149"/>
        <v>D.Prabhat</v>
      </c>
      <c r="N836" s="6">
        <f t="shared" si="144"/>
        <v>0</v>
      </c>
      <c r="O836" s="6">
        <f t="shared" si="143"/>
        <v>4</v>
      </c>
      <c r="P836" s="6" t="str">
        <f t="shared" si="150"/>
        <v>N</v>
      </c>
      <c r="Q836" s="6">
        <f t="shared" si="151"/>
        <v>12</v>
      </c>
      <c r="R836" s="6" t="str">
        <f t="shared" si="152"/>
        <v>2023</v>
      </c>
      <c r="S836" s="6" t="str">
        <f t="shared" si="153"/>
        <v>Dec</v>
      </c>
    </row>
    <row r="837" spans="1:19" x14ac:dyDescent="0.25">
      <c r="A837" s="6">
        <v>1465</v>
      </c>
      <c r="B837" s="6" t="str">
        <f t="shared" si="145"/>
        <v>NIKHRA01465</v>
      </c>
      <c r="C837" s="7" t="s">
        <v>1509</v>
      </c>
      <c r="D837" s="7" t="s">
        <v>1510</v>
      </c>
      <c r="E837" s="7" t="str">
        <f t="shared" si="146"/>
        <v>Aparna Bundela</v>
      </c>
      <c r="F837" s="7" t="s">
        <v>13</v>
      </c>
      <c r="G837" s="22">
        <v>44904</v>
      </c>
      <c r="H837" s="8">
        <v>102811</v>
      </c>
      <c r="I837" s="7" t="str">
        <f t="shared" si="147"/>
        <v>aparna.bundela@hr.bua.ba</v>
      </c>
      <c r="J837" s="6" t="s">
        <v>1551</v>
      </c>
      <c r="K837" s="6">
        <v>38</v>
      </c>
      <c r="L837" s="7" t="str">
        <f t="shared" si="148"/>
        <v>hr.bua.ba</v>
      </c>
      <c r="M837" s="7" t="str">
        <f t="shared" si="149"/>
        <v>B.Aparna</v>
      </c>
      <c r="N837" s="6">
        <f t="shared" si="144"/>
        <v>0</v>
      </c>
      <c r="O837" s="6">
        <f t="shared" si="143"/>
        <v>5</v>
      </c>
      <c r="P837" s="6" t="str">
        <f t="shared" si="150"/>
        <v>N</v>
      </c>
      <c r="Q837" s="6">
        <f t="shared" si="151"/>
        <v>13</v>
      </c>
      <c r="R837" s="6" t="str">
        <f t="shared" si="152"/>
        <v>2022</v>
      </c>
      <c r="S837" s="6" t="str">
        <f t="shared" si="153"/>
        <v>Dec</v>
      </c>
    </row>
    <row r="838" spans="1:19" x14ac:dyDescent="0.25">
      <c r="A838" s="6">
        <v>1470</v>
      </c>
      <c r="B838" s="6" t="str">
        <f t="shared" si="145"/>
        <v>NIKHRA01470</v>
      </c>
      <c r="C838" s="7" t="s">
        <v>1517</v>
      </c>
      <c r="D838" s="7" t="s">
        <v>1518</v>
      </c>
      <c r="E838" s="7" t="str">
        <f t="shared" si="146"/>
        <v>Parul Suri</v>
      </c>
      <c r="F838" s="7" t="s">
        <v>13</v>
      </c>
      <c r="G838" s="22">
        <v>45017</v>
      </c>
      <c r="H838" s="8">
        <v>63830</v>
      </c>
      <c r="I838" s="7" t="str">
        <f t="shared" si="147"/>
        <v>parul.suri@hr.sui.ba</v>
      </c>
      <c r="J838" s="6" t="s">
        <v>1537</v>
      </c>
      <c r="K838" s="6">
        <v>36</v>
      </c>
      <c r="L838" s="7" t="str">
        <f t="shared" si="148"/>
        <v>hr.sui.ba</v>
      </c>
      <c r="M838" s="7" t="str">
        <f t="shared" si="149"/>
        <v>S.Parul</v>
      </c>
      <c r="N838" s="6">
        <f t="shared" si="144"/>
        <v>0</v>
      </c>
      <c r="O838" s="6">
        <f t="shared" si="143"/>
        <v>0</v>
      </c>
      <c r="P838" s="6" t="str">
        <f t="shared" si="150"/>
        <v>N</v>
      </c>
      <c r="Q838" s="6">
        <f t="shared" si="151"/>
        <v>9</v>
      </c>
      <c r="R838" s="6" t="str">
        <f t="shared" si="152"/>
        <v>2023</v>
      </c>
      <c r="S838" s="6" t="str">
        <f t="shared" si="153"/>
        <v>Apr</v>
      </c>
    </row>
    <row r="839" spans="1:19" x14ac:dyDescent="0.25">
      <c r="A839" s="6">
        <v>1483</v>
      </c>
      <c r="B839" s="6" t="str">
        <f t="shared" si="145"/>
        <v>NIKHRA01483</v>
      </c>
      <c r="C839" s="7" t="s">
        <v>795</v>
      </c>
      <c r="D839" s="7" t="s">
        <v>781</v>
      </c>
      <c r="E839" s="7" t="str">
        <f t="shared" si="146"/>
        <v>KRISHAN PAL</v>
      </c>
      <c r="F839" s="7" t="s">
        <v>13</v>
      </c>
      <c r="G839" s="22">
        <v>40360</v>
      </c>
      <c r="H839" s="8">
        <v>102063</v>
      </c>
      <c r="I839" s="7" t="str">
        <f t="shared" si="147"/>
        <v>krishan.pal@hr.pal.ba</v>
      </c>
      <c r="J839" s="6" t="s">
        <v>1547</v>
      </c>
      <c r="K839" s="6">
        <v>46</v>
      </c>
      <c r="L839" s="7" t="str">
        <f t="shared" si="148"/>
        <v>hr.pal.ba</v>
      </c>
      <c r="M839" s="7" t="str">
        <f t="shared" si="149"/>
        <v>P.Krishan</v>
      </c>
      <c r="N839" s="6">
        <f t="shared" si="144"/>
        <v>0</v>
      </c>
      <c r="O839" s="6">
        <f t="shared" si="143"/>
        <v>0</v>
      </c>
      <c r="P839" s="6" t="str">
        <f t="shared" si="150"/>
        <v>N</v>
      </c>
      <c r="Q839" s="6">
        <f t="shared" si="151"/>
        <v>10</v>
      </c>
      <c r="R839" s="6" t="str">
        <f t="shared" si="152"/>
        <v>2010</v>
      </c>
      <c r="S839" s="6" t="str">
        <f t="shared" si="153"/>
        <v>Jul</v>
      </c>
    </row>
    <row r="840" spans="1:19" x14ac:dyDescent="0.25">
      <c r="A840" s="6">
        <v>2</v>
      </c>
      <c r="B840" s="6" t="str">
        <f t="shared" si="145"/>
        <v>NIKMAN00002</v>
      </c>
      <c r="C840" s="7" t="s">
        <v>50</v>
      </c>
      <c r="D840" s="7" t="s">
        <v>51</v>
      </c>
      <c r="E840" s="7" t="str">
        <f t="shared" si="146"/>
        <v>SANDEEP PUSHKERNA</v>
      </c>
      <c r="F840" s="7" t="s">
        <v>14</v>
      </c>
      <c r="G840" s="22">
        <v>35704</v>
      </c>
      <c r="H840" s="8">
        <v>89922</v>
      </c>
      <c r="I840" s="7" t="str">
        <f t="shared" si="147"/>
        <v>sandeep.pushkerna@ma.pua.ba</v>
      </c>
      <c r="J840" s="6" t="s">
        <v>1535</v>
      </c>
      <c r="K840" s="6">
        <v>43</v>
      </c>
      <c r="L840" s="7" t="str">
        <f t="shared" si="148"/>
        <v>ma.pua.ba</v>
      </c>
      <c r="M840" s="7" t="str">
        <f t="shared" si="149"/>
        <v>P.Sandeep</v>
      </c>
      <c r="N840" s="6">
        <f t="shared" si="144"/>
        <v>5</v>
      </c>
      <c r="O840" s="6">
        <f t="shared" si="143"/>
        <v>6</v>
      </c>
      <c r="P840" s="6" t="str">
        <f t="shared" si="150"/>
        <v>Y</v>
      </c>
      <c r="Q840" s="6">
        <f t="shared" si="151"/>
        <v>16</v>
      </c>
      <c r="R840" s="6" t="str">
        <f t="shared" si="152"/>
        <v>1997</v>
      </c>
      <c r="S840" s="6" t="str">
        <f t="shared" si="153"/>
        <v>Oct</v>
      </c>
    </row>
    <row r="841" spans="1:19" x14ac:dyDescent="0.25">
      <c r="A841" s="6">
        <v>12</v>
      </c>
      <c r="B841" s="6" t="str">
        <f t="shared" si="145"/>
        <v>NIKMAN00012</v>
      </c>
      <c r="C841" s="7" t="s">
        <v>67</v>
      </c>
      <c r="D841" s="7" t="s">
        <v>68</v>
      </c>
      <c r="E841" s="7" t="str">
        <f t="shared" si="146"/>
        <v>BHUPENDRA KUMAR</v>
      </c>
      <c r="F841" s="7" t="s">
        <v>14</v>
      </c>
      <c r="G841" s="22">
        <v>39186</v>
      </c>
      <c r="H841" s="8">
        <v>57487</v>
      </c>
      <c r="I841" s="7" t="str">
        <f t="shared" si="147"/>
        <v>bhupendra.kumar@ma.kur.ba</v>
      </c>
      <c r="J841" s="6" t="s">
        <v>1542</v>
      </c>
      <c r="K841" s="6">
        <v>58</v>
      </c>
      <c r="L841" s="7" t="str">
        <f t="shared" si="148"/>
        <v>ma.kur.ba</v>
      </c>
      <c r="M841" s="7" t="str">
        <f t="shared" si="149"/>
        <v>K.Bhupendra</v>
      </c>
      <c r="N841" s="6">
        <f t="shared" si="144"/>
        <v>5</v>
      </c>
      <c r="O841" s="6">
        <f t="shared" si="143"/>
        <v>0</v>
      </c>
      <c r="P841" s="6" t="str">
        <f t="shared" si="150"/>
        <v>N</v>
      </c>
      <c r="Q841" s="6">
        <f t="shared" si="151"/>
        <v>14</v>
      </c>
      <c r="R841" s="6" t="str">
        <f t="shared" si="152"/>
        <v>2007</v>
      </c>
      <c r="S841" s="6" t="str">
        <f t="shared" si="153"/>
        <v>Apr</v>
      </c>
    </row>
    <row r="842" spans="1:19" x14ac:dyDescent="0.25">
      <c r="A842" s="6">
        <v>15</v>
      </c>
      <c r="B842" s="6" t="str">
        <f t="shared" si="145"/>
        <v>NIKMAN00015</v>
      </c>
      <c r="C842" s="7" t="s">
        <v>73</v>
      </c>
      <c r="D842" s="7" t="s">
        <v>74</v>
      </c>
      <c r="E842" s="7" t="str">
        <f t="shared" si="146"/>
        <v>SHAJI LUKOSE</v>
      </c>
      <c r="F842" s="7" t="s">
        <v>14</v>
      </c>
      <c r="G842" s="22">
        <v>39209</v>
      </c>
      <c r="H842" s="8">
        <v>99824</v>
      </c>
      <c r="I842" s="7" t="str">
        <f t="shared" si="147"/>
        <v>shaji.lukose@ma.lue.ba</v>
      </c>
      <c r="J842" s="6" t="s">
        <v>1540</v>
      </c>
      <c r="K842" s="6">
        <v>84</v>
      </c>
      <c r="L842" s="7" t="str">
        <f t="shared" si="148"/>
        <v>ma.lue.ba</v>
      </c>
      <c r="M842" s="7" t="str">
        <f t="shared" si="149"/>
        <v>L.Shaji</v>
      </c>
      <c r="N842" s="6">
        <f t="shared" si="144"/>
        <v>0</v>
      </c>
      <c r="O842" s="6">
        <f t="shared" si="143"/>
        <v>6</v>
      </c>
      <c r="P842" s="6" t="str">
        <f t="shared" si="150"/>
        <v>N</v>
      </c>
      <c r="Q842" s="6">
        <f t="shared" si="151"/>
        <v>11</v>
      </c>
      <c r="R842" s="6" t="str">
        <f t="shared" si="152"/>
        <v>2007</v>
      </c>
      <c r="S842" s="6" t="str">
        <f t="shared" si="153"/>
        <v>May</v>
      </c>
    </row>
    <row r="843" spans="1:19" x14ac:dyDescent="0.25">
      <c r="A843" s="6">
        <v>26</v>
      </c>
      <c r="B843" s="6" t="str">
        <f t="shared" si="145"/>
        <v>NIKMAN00026</v>
      </c>
      <c r="C843" s="7" t="s">
        <v>89</v>
      </c>
      <c r="D843" s="7" t="s">
        <v>90</v>
      </c>
      <c r="E843" s="7" t="str">
        <f t="shared" si="146"/>
        <v>VIJAY GARG</v>
      </c>
      <c r="F843" s="7" t="s">
        <v>14</v>
      </c>
      <c r="G843" s="22">
        <v>39348</v>
      </c>
      <c r="H843" s="8">
        <v>72515</v>
      </c>
      <c r="I843" s="7" t="str">
        <f t="shared" si="147"/>
        <v>vijay.garg@ma.gag.ba</v>
      </c>
      <c r="J843" s="6" t="s">
        <v>1548</v>
      </c>
      <c r="K843" s="6">
        <v>35</v>
      </c>
      <c r="L843" s="7" t="str">
        <f t="shared" si="148"/>
        <v>ma.gag.ba</v>
      </c>
      <c r="M843" s="7" t="str">
        <f t="shared" si="149"/>
        <v>G.Vijay</v>
      </c>
      <c r="N843" s="6">
        <f t="shared" si="144"/>
        <v>0</v>
      </c>
      <c r="O843" s="6">
        <f t="shared" si="143"/>
        <v>0</v>
      </c>
      <c r="P843" s="6" t="str">
        <f t="shared" si="150"/>
        <v>N</v>
      </c>
      <c r="Q843" s="6">
        <f t="shared" si="151"/>
        <v>9</v>
      </c>
      <c r="R843" s="6" t="str">
        <f t="shared" si="152"/>
        <v>2007</v>
      </c>
      <c r="S843" s="6" t="str">
        <f t="shared" si="153"/>
        <v>Sep</v>
      </c>
    </row>
    <row r="844" spans="1:19" x14ac:dyDescent="0.25">
      <c r="A844" s="6">
        <v>37</v>
      </c>
      <c r="B844" s="6" t="str">
        <f t="shared" si="145"/>
        <v>NIKMAN00037</v>
      </c>
      <c r="C844" s="7" t="s">
        <v>48</v>
      </c>
      <c r="D844" s="7" t="s">
        <v>107</v>
      </c>
      <c r="E844" s="7" t="str">
        <f t="shared" si="146"/>
        <v>SANJAY PRATAP</v>
      </c>
      <c r="F844" s="7" t="s">
        <v>14</v>
      </c>
      <c r="G844" s="22">
        <v>40002</v>
      </c>
      <c r="H844" s="8">
        <v>38117</v>
      </c>
      <c r="I844" s="7" t="str">
        <f t="shared" si="147"/>
        <v>sanjay.pratap@ma.prp.ba</v>
      </c>
      <c r="J844" s="6" t="s">
        <v>1545</v>
      </c>
      <c r="K844" s="6">
        <v>45</v>
      </c>
      <c r="L844" s="7" t="str">
        <f t="shared" si="148"/>
        <v>ma.prp.ba</v>
      </c>
      <c r="M844" s="7" t="str">
        <f t="shared" si="149"/>
        <v>P.Sanjay</v>
      </c>
      <c r="N844" s="6">
        <f t="shared" si="144"/>
        <v>0</v>
      </c>
      <c r="O844" s="6">
        <f t="shared" si="143"/>
        <v>0</v>
      </c>
      <c r="P844" s="6" t="str">
        <f t="shared" si="150"/>
        <v>N</v>
      </c>
      <c r="Q844" s="6">
        <f t="shared" si="151"/>
        <v>12</v>
      </c>
      <c r="R844" s="6" t="str">
        <f t="shared" si="152"/>
        <v>2009</v>
      </c>
      <c r="S844" s="6" t="str">
        <f t="shared" si="153"/>
        <v>Jul</v>
      </c>
    </row>
    <row r="845" spans="1:19" x14ac:dyDescent="0.25">
      <c r="A845" s="6">
        <v>41</v>
      </c>
      <c r="B845" s="6" t="str">
        <f t="shared" si="145"/>
        <v>NIKMAN00041</v>
      </c>
      <c r="C845" s="7" t="s">
        <v>112</v>
      </c>
      <c r="D845" s="7" t="s">
        <v>113</v>
      </c>
      <c r="E845" s="7" t="str">
        <f t="shared" si="146"/>
        <v>NISHANT VIJAIVARGIA</v>
      </c>
      <c r="F845" s="7" t="s">
        <v>14</v>
      </c>
      <c r="G845" s="22">
        <v>40350</v>
      </c>
      <c r="H845" s="8">
        <v>56248</v>
      </c>
      <c r="I845" s="7" t="str">
        <f t="shared" si="147"/>
        <v>nishant.vijaivargia@ma.via.ba</v>
      </c>
      <c r="J845" s="6" t="s">
        <v>1544</v>
      </c>
      <c r="K845" s="6">
        <v>45</v>
      </c>
      <c r="L845" s="7" t="str">
        <f t="shared" si="148"/>
        <v>ma.via.ba</v>
      </c>
      <c r="M845" s="7" t="str">
        <f t="shared" si="149"/>
        <v>V.Nishant</v>
      </c>
      <c r="N845" s="6">
        <f t="shared" si="144"/>
        <v>0</v>
      </c>
      <c r="O845" s="6">
        <f t="shared" si="143"/>
        <v>0</v>
      </c>
      <c r="P845" s="6" t="str">
        <f t="shared" si="150"/>
        <v>N</v>
      </c>
      <c r="Q845" s="6">
        <f t="shared" si="151"/>
        <v>18</v>
      </c>
      <c r="R845" s="6" t="str">
        <f t="shared" si="152"/>
        <v>2010</v>
      </c>
      <c r="S845" s="6" t="str">
        <f t="shared" si="153"/>
        <v>Jun</v>
      </c>
    </row>
    <row r="846" spans="1:19" x14ac:dyDescent="0.25">
      <c r="A846" s="6">
        <v>59</v>
      </c>
      <c r="B846" s="6" t="str">
        <f t="shared" si="145"/>
        <v>NIKMAN00059</v>
      </c>
      <c r="C846" s="7" t="s">
        <v>71</v>
      </c>
      <c r="D846" s="7" t="s">
        <v>137</v>
      </c>
      <c r="E846" s="7" t="str">
        <f t="shared" si="146"/>
        <v>ARUN KR.</v>
      </c>
      <c r="F846" s="7" t="s">
        <v>14</v>
      </c>
      <c r="G846" s="22">
        <v>41188</v>
      </c>
      <c r="H846" s="8">
        <v>89738</v>
      </c>
      <c r="I846" s="7" t="str">
        <f t="shared" si="147"/>
        <v>arun.kr.@ma.kr..ba</v>
      </c>
      <c r="J846" s="6" t="s">
        <v>1550</v>
      </c>
      <c r="K846" s="6">
        <v>85</v>
      </c>
      <c r="L846" s="7" t="str">
        <f t="shared" si="148"/>
        <v>ma.kr..ba</v>
      </c>
      <c r="M846" s="7" t="str">
        <f t="shared" si="149"/>
        <v>K.Arun</v>
      </c>
      <c r="N846" s="6">
        <f t="shared" si="144"/>
        <v>0</v>
      </c>
      <c r="O846" s="6">
        <f t="shared" si="143"/>
        <v>0</v>
      </c>
      <c r="P846" s="6" t="str">
        <f t="shared" si="150"/>
        <v>N</v>
      </c>
      <c r="Q846" s="6">
        <f t="shared" si="151"/>
        <v>7</v>
      </c>
      <c r="R846" s="6" t="str">
        <f t="shared" si="152"/>
        <v>2012</v>
      </c>
      <c r="S846" s="6" t="str">
        <f t="shared" si="153"/>
        <v>Oct</v>
      </c>
    </row>
    <row r="847" spans="1:19" x14ac:dyDescent="0.25">
      <c r="A847" s="6">
        <v>68</v>
      </c>
      <c r="B847" s="6" t="str">
        <f t="shared" si="145"/>
        <v>NIKMAN00068</v>
      </c>
      <c r="C847" s="7" t="s">
        <v>19</v>
      </c>
      <c r="D847" s="7" t="s">
        <v>151</v>
      </c>
      <c r="E847" s="7" t="str">
        <f t="shared" si="146"/>
        <v>AMIT DUDHA</v>
      </c>
      <c r="F847" s="7" t="s">
        <v>14</v>
      </c>
      <c r="G847" s="22">
        <v>41479</v>
      </c>
      <c r="H847" s="8">
        <v>96589</v>
      </c>
      <c r="I847" s="7" t="str">
        <f t="shared" si="147"/>
        <v>amit.dudha@ma.dua.ba</v>
      </c>
      <c r="J847" s="6" t="s">
        <v>1539</v>
      </c>
      <c r="K847" s="6">
        <v>48</v>
      </c>
      <c r="L847" s="7" t="str">
        <f t="shared" si="148"/>
        <v>ma.dua.ba</v>
      </c>
      <c r="M847" s="7" t="str">
        <f t="shared" si="149"/>
        <v>D.Amit</v>
      </c>
      <c r="N847" s="6">
        <f t="shared" si="144"/>
        <v>0</v>
      </c>
      <c r="O847" s="6">
        <f t="shared" si="143"/>
        <v>0</v>
      </c>
      <c r="P847" s="6" t="str">
        <f t="shared" si="150"/>
        <v>N</v>
      </c>
      <c r="Q847" s="6">
        <f t="shared" si="151"/>
        <v>9</v>
      </c>
      <c r="R847" s="6" t="str">
        <f t="shared" si="152"/>
        <v>2013</v>
      </c>
      <c r="S847" s="6" t="str">
        <f t="shared" si="153"/>
        <v>Jul</v>
      </c>
    </row>
    <row r="848" spans="1:19" x14ac:dyDescent="0.25">
      <c r="A848" s="6">
        <v>85</v>
      </c>
      <c r="B848" s="6" t="str">
        <f t="shared" si="145"/>
        <v>NIKMAN00085</v>
      </c>
      <c r="C848" s="7" t="s">
        <v>171</v>
      </c>
      <c r="D848" s="7" t="s">
        <v>172</v>
      </c>
      <c r="E848" s="7" t="str">
        <f t="shared" si="146"/>
        <v>RITESH PURI</v>
      </c>
      <c r="F848" s="7" t="s">
        <v>14</v>
      </c>
      <c r="G848" s="22">
        <v>42079</v>
      </c>
      <c r="H848" s="8">
        <v>102606</v>
      </c>
      <c r="I848" s="7" t="str">
        <f t="shared" si="147"/>
        <v>ritesh.puri@ma.pui.ba</v>
      </c>
      <c r="J848" s="6" t="s">
        <v>1532</v>
      </c>
      <c r="K848" s="6">
        <v>38</v>
      </c>
      <c r="L848" s="7" t="str">
        <f t="shared" si="148"/>
        <v>ma.pui.ba</v>
      </c>
      <c r="M848" s="7" t="str">
        <f t="shared" si="149"/>
        <v>P.Ritesh</v>
      </c>
      <c r="N848" s="6">
        <f t="shared" si="144"/>
        <v>4</v>
      </c>
      <c r="O848" s="6">
        <f t="shared" si="143"/>
        <v>0</v>
      </c>
      <c r="P848" s="6" t="str">
        <f t="shared" si="150"/>
        <v>N</v>
      </c>
      <c r="Q848" s="6">
        <f t="shared" si="151"/>
        <v>10</v>
      </c>
      <c r="R848" s="6" t="str">
        <f t="shared" si="152"/>
        <v>2015</v>
      </c>
      <c r="S848" s="6" t="str">
        <f t="shared" si="153"/>
        <v>Mar</v>
      </c>
    </row>
    <row r="849" spans="1:19" x14ac:dyDescent="0.25">
      <c r="A849" s="6">
        <v>94</v>
      </c>
      <c r="B849" s="6" t="str">
        <f t="shared" si="145"/>
        <v>NIKMAN00094</v>
      </c>
      <c r="C849" s="7" t="s">
        <v>182</v>
      </c>
      <c r="D849" s="7" t="s">
        <v>183</v>
      </c>
      <c r="E849" s="7" t="str">
        <f t="shared" si="146"/>
        <v>MANOJ RAMAKANT</v>
      </c>
      <c r="F849" s="7" t="s">
        <v>14</v>
      </c>
      <c r="G849" s="22">
        <v>42296</v>
      </c>
      <c r="H849" s="8">
        <v>29946</v>
      </c>
      <c r="I849" s="7" t="str">
        <f t="shared" si="147"/>
        <v>manoj.ramakant@ma.rat.ba</v>
      </c>
      <c r="J849" s="6" t="s">
        <v>1551</v>
      </c>
      <c r="K849" s="6">
        <v>36</v>
      </c>
      <c r="L849" s="7" t="str">
        <f t="shared" si="148"/>
        <v>ma.rat.ba</v>
      </c>
      <c r="M849" s="7" t="str">
        <f t="shared" si="149"/>
        <v>R.Manoj</v>
      </c>
      <c r="N849" s="6">
        <f t="shared" si="144"/>
        <v>0</v>
      </c>
      <c r="O849" s="6">
        <f t="shared" si="143"/>
        <v>0</v>
      </c>
      <c r="P849" s="6" t="str">
        <f t="shared" si="150"/>
        <v>N</v>
      </c>
      <c r="Q849" s="6">
        <f t="shared" si="151"/>
        <v>13</v>
      </c>
      <c r="R849" s="6" t="str">
        <f t="shared" si="152"/>
        <v>2015</v>
      </c>
      <c r="S849" s="6" t="str">
        <f t="shared" si="153"/>
        <v>Oct</v>
      </c>
    </row>
    <row r="850" spans="1:19" x14ac:dyDescent="0.25">
      <c r="A850" s="6">
        <v>108</v>
      </c>
      <c r="B850" s="6" t="str">
        <f t="shared" si="145"/>
        <v>NIKMAN00108</v>
      </c>
      <c r="C850" s="7" t="s">
        <v>202</v>
      </c>
      <c r="D850" s="7" t="s">
        <v>203</v>
      </c>
      <c r="E850" s="7" t="str">
        <f t="shared" si="146"/>
        <v>MONA KALE</v>
      </c>
      <c r="F850" s="7" t="s">
        <v>14</v>
      </c>
      <c r="G850" s="22">
        <v>42471</v>
      </c>
      <c r="H850" s="8">
        <v>39184</v>
      </c>
      <c r="I850" s="7" t="str">
        <f t="shared" si="147"/>
        <v>mona.kale@ma.kae.ba</v>
      </c>
      <c r="J850" s="6" t="s">
        <v>1544</v>
      </c>
      <c r="K850" s="6">
        <v>37</v>
      </c>
      <c r="L850" s="7" t="str">
        <f t="shared" si="148"/>
        <v>ma.kae.ba</v>
      </c>
      <c r="M850" s="7" t="str">
        <f t="shared" si="149"/>
        <v>K.Mona</v>
      </c>
      <c r="N850" s="6">
        <f t="shared" si="144"/>
        <v>0</v>
      </c>
      <c r="O850" s="6">
        <f t="shared" si="143"/>
        <v>4</v>
      </c>
      <c r="P850" s="6" t="str">
        <f t="shared" si="150"/>
        <v>N</v>
      </c>
      <c r="Q850" s="6">
        <f t="shared" si="151"/>
        <v>8</v>
      </c>
      <c r="R850" s="6" t="str">
        <f t="shared" si="152"/>
        <v>2016</v>
      </c>
      <c r="S850" s="6" t="str">
        <f t="shared" si="153"/>
        <v>Apr</v>
      </c>
    </row>
    <row r="851" spans="1:19" x14ac:dyDescent="0.25">
      <c r="A851" s="6">
        <v>118</v>
      </c>
      <c r="B851" s="6" t="str">
        <f t="shared" si="145"/>
        <v>NIKMAN00118</v>
      </c>
      <c r="C851" s="7" t="s">
        <v>141</v>
      </c>
      <c r="D851" s="7" t="s">
        <v>212</v>
      </c>
      <c r="E851" s="7" t="str">
        <f t="shared" si="146"/>
        <v>SAURABH NITINKUMAR</v>
      </c>
      <c r="F851" s="7" t="s">
        <v>14</v>
      </c>
      <c r="G851" s="22">
        <v>42566</v>
      </c>
      <c r="H851" s="8">
        <v>64935</v>
      </c>
      <c r="I851" s="7" t="str">
        <f t="shared" si="147"/>
        <v>saurabh.nitinkumar@ma.nir.ba</v>
      </c>
      <c r="J851" s="6" t="s">
        <v>1550</v>
      </c>
      <c r="K851" s="6">
        <v>41</v>
      </c>
      <c r="L851" s="7" t="str">
        <f t="shared" si="148"/>
        <v>ma.nir.ba</v>
      </c>
      <c r="M851" s="7" t="str">
        <f t="shared" si="149"/>
        <v>N.Saurabh</v>
      </c>
      <c r="N851" s="6">
        <f t="shared" si="144"/>
        <v>0</v>
      </c>
      <c r="O851" s="6">
        <f t="shared" si="143"/>
        <v>0</v>
      </c>
      <c r="P851" s="6" t="str">
        <f t="shared" si="150"/>
        <v>N</v>
      </c>
      <c r="Q851" s="6">
        <f t="shared" si="151"/>
        <v>17</v>
      </c>
      <c r="R851" s="6" t="str">
        <f t="shared" si="152"/>
        <v>2016</v>
      </c>
      <c r="S851" s="6" t="str">
        <f t="shared" si="153"/>
        <v>Jul</v>
      </c>
    </row>
    <row r="852" spans="1:19" x14ac:dyDescent="0.25">
      <c r="A852" s="6">
        <v>119</v>
      </c>
      <c r="B852" s="6" t="str">
        <f t="shared" si="145"/>
        <v>NIKMAN00119</v>
      </c>
      <c r="C852" s="7" t="s">
        <v>213</v>
      </c>
      <c r="D852" s="7" t="s">
        <v>214</v>
      </c>
      <c r="E852" s="7" t="str">
        <f t="shared" si="146"/>
        <v>AMOL SAKHARAM</v>
      </c>
      <c r="F852" s="7" t="s">
        <v>14</v>
      </c>
      <c r="G852" s="22">
        <v>42583</v>
      </c>
      <c r="H852" s="8">
        <v>78153</v>
      </c>
      <c r="I852" s="7" t="str">
        <f t="shared" si="147"/>
        <v>amol.sakharam@ma.sam.ba</v>
      </c>
      <c r="J852" s="6" t="s">
        <v>1539</v>
      </c>
      <c r="K852" s="6">
        <v>37</v>
      </c>
      <c r="L852" s="7" t="str">
        <f t="shared" si="148"/>
        <v>ma.sam.ba</v>
      </c>
      <c r="M852" s="7" t="str">
        <f t="shared" si="149"/>
        <v>S.Amol</v>
      </c>
      <c r="N852" s="6">
        <f t="shared" si="144"/>
        <v>0</v>
      </c>
      <c r="O852" s="6">
        <f t="shared" si="143"/>
        <v>0</v>
      </c>
      <c r="P852" s="6" t="str">
        <f t="shared" si="150"/>
        <v>N</v>
      </c>
      <c r="Q852" s="6">
        <f t="shared" si="151"/>
        <v>12</v>
      </c>
      <c r="R852" s="6" t="str">
        <f t="shared" si="152"/>
        <v>2016</v>
      </c>
      <c r="S852" s="6" t="str">
        <f t="shared" si="153"/>
        <v>Aug</v>
      </c>
    </row>
    <row r="853" spans="1:19" x14ac:dyDescent="0.25">
      <c r="A853" s="6">
        <v>123</v>
      </c>
      <c r="B853" s="6" t="str">
        <f t="shared" si="145"/>
        <v>NIKMAN00123</v>
      </c>
      <c r="C853" s="7" t="s">
        <v>220</v>
      </c>
      <c r="D853" s="7" t="s">
        <v>221</v>
      </c>
      <c r="E853" s="7" t="str">
        <f t="shared" si="146"/>
        <v>SANGRAM DILIP</v>
      </c>
      <c r="F853" s="7" t="s">
        <v>14</v>
      </c>
      <c r="G853" s="22">
        <v>42583</v>
      </c>
      <c r="H853" s="8">
        <v>57565</v>
      </c>
      <c r="I853" s="7" t="str">
        <f t="shared" si="147"/>
        <v>sangram.dilip@ma.dip.ba</v>
      </c>
      <c r="J853" s="6" t="s">
        <v>1542</v>
      </c>
      <c r="K853" s="6">
        <v>67</v>
      </c>
      <c r="L853" s="7" t="str">
        <f t="shared" si="148"/>
        <v>ma.dip.ba</v>
      </c>
      <c r="M853" s="7" t="str">
        <f t="shared" si="149"/>
        <v>D.Sangram</v>
      </c>
      <c r="N853" s="6">
        <f t="shared" si="144"/>
        <v>0</v>
      </c>
      <c r="O853" s="6">
        <f t="shared" si="143"/>
        <v>0</v>
      </c>
      <c r="P853" s="6" t="str">
        <f t="shared" si="150"/>
        <v>N</v>
      </c>
      <c r="Q853" s="6">
        <f t="shared" si="151"/>
        <v>12</v>
      </c>
      <c r="R853" s="6" t="str">
        <f t="shared" si="152"/>
        <v>2016</v>
      </c>
      <c r="S853" s="6" t="str">
        <f t="shared" si="153"/>
        <v>Aug</v>
      </c>
    </row>
    <row r="854" spans="1:19" x14ac:dyDescent="0.25">
      <c r="A854" s="6">
        <v>124</v>
      </c>
      <c r="B854" s="6" t="str">
        <f t="shared" si="145"/>
        <v>NIKMAN00124</v>
      </c>
      <c r="C854" s="7" t="s">
        <v>222</v>
      </c>
      <c r="D854" s="7" t="s">
        <v>223</v>
      </c>
      <c r="E854" s="7" t="str">
        <f t="shared" si="146"/>
        <v>SHWETA PATIL</v>
      </c>
      <c r="F854" s="7" t="s">
        <v>14</v>
      </c>
      <c r="G854" s="22">
        <v>42604</v>
      </c>
      <c r="H854" s="8">
        <v>34811</v>
      </c>
      <c r="I854" s="7" t="str">
        <f t="shared" si="147"/>
        <v>shweta.patil@ma.pal.ba</v>
      </c>
      <c r="J854" s="6" t="s">
        <v>1537</v>
      </c>
      <c r="K854" s="6">
        <v>37</v>
      </c>
      <c r="L854" s="7" t="str">
        <f t="shared" si="148"/>
        <v>ma.pal.ba</v>
      </c>
      <c r="M854" s="7" t="str">
        <f t="shared" si="149"/>
        <v>P.Shweta</v>
      </c>
      <c r="N854" s="6">
        <f t="shared" si="144"/>
        <v>4</v>
      </c>
      <c r="O854" s="6">
        <f t="shared" si="143"/>
        <v>0</v>
      </c>
      <c r="P854" s="6" t="str">
        <f t="shared" si="150"/>
        <v>N</v>
      </c>
      <c r="Q854" s="6">
        <f t="shared" si="151"/>
        <v>11</v>
      </c>
      <c r="R854" s="6" t="str">
        <f t="shared" si="152"/>
        <v>2016</v>
      </c>
      <c r="S854" s="6" t="str">
        <f t="shared" si="153"/>
        <v>Aug</v>
      </c>
    </row>
    <row r="855" spans="1:19" x14ac:dyDescent="0.25">
      <c r="A855" s="6">
        <v>135</v>
      </c>
      <c r="B855" s="6" t="str">
        <f t="shared" si="145"/>
        <v>NIKMAN00135</v>
      </c>
      <c r="C855" s="7" t="s">
        <v>241</v>
      </c>
      <c r="D855" s="7" t="s">
        <v>242</v>
      </c>
      <c r="E855" s="7" t="str">
        <f t="shared" si="146"/>
        <v>KISHOR GAIKWAD</v>
      </c>
      <c r="F855" s="7" t="s">
        <v>14</v>
      </c>
      <c r="G855" s="22">
        <v>42690</v>
      </c>
      <c r="H855" s="8">
        <v>82286</v>
      </c>
      <c r="I855" s="7" t="str">
        <f t="shared" si="147"/>
        <v>kishor.gaikwad@ma.gad.ba</v>
      </c>
      <c r="J855" s="6" t="s">
        <v>1542</v>
      </c>
      <c r="K855" s="6">
        <v>51</v>
      </c>
      <c r="L855" s="7" t="str">
        <f t="shared" si="148"/>
        <v>ma.gad.ba</v>
      </c>
      <c r="M855" s="7" t="str">
        <f t="shared" si="149"/>
        <v>G.Kishor</v>
      </c>
      <c r="N855" s="6">
        <f t="shared" si="144"/>
        <v>0</v>
      </c>
      <c r="O855" s="6">
        <f t="shared" si="143"/>
        <v>0</v>
      </c>
      <c r="P855" s="6" t="str">
        <f t="shared" si="150"/>
        <v>N</v>
      </c>
      <c r="Q855" s="6">
        <f t="shared" si="151"/>
        <v>13</v>
      </c>
      <c r="R855" s="6" t="str">
        <f t="shared" si="152"/>
        <v>2016</v>
      </c>
      <c r="S855" s="6" t="str">
        <f t="shared" si="153"/>
        <v>Nov</v>
      </c>
    </row>
    <row r="856" spans="1:19" x14ac:dyDescent="0.25">
      <c r="A856" s="6">
        <v>142</v>
      </c>
      <c r="B856" s="6" t="str">
        <f t="shared" si="145"/>
        <v>NIKMAN00142</v>
      </c>
      <c r="C856" s="7" t="s">
        <v>251</v>
      </c>
      <c r="D856" s="7" t="s">
        <v>252</v>
      </c>
      <c r="E856" s="7" t="str">
        <f t="shared" si="146"/>
        <v>HIMANSHU KHATRI</v>
      </c>
      <c r="F856" s="7" t="s">
        <v>14</v>
      </c>
      <c r="G856" s="22">
        <v>42767</v>
      </c>
      <c r="H856" s="8">
        <v>107999</v>
      </c>
      <c r="I856" s="7" t="str">
        <f t="shared" si="147"/>
        <v>himanshu.khatri@ma.khi.ba</v>
      </c>
      <c r="J856" s="6" t="s">
        <v>1550</v>
      </c>
      <c r="K856" s="6">
        <v>66</v>
      </c>
      <c r="L856" s="7" t="str">
        <f t="shared" si="148"/>
        <v>ma.khi.ba</v>
      </c>
      <c r="M856" s="7" t="str">
        <f t="shared" si="149"/>
        <v>K.Himanshu</v>
      </c>
      <c r="N856" s="6">
        <f t="shared" si="144"/>
        <v>0</v>
      </c>
      <c r="O856" s="6">
        <f t="shared" si="143"/>
        <v>0</v>
      </c>
      <c r="P856" s="6" t="str">
        <f t="shared" si="150"/>
        <v>N</v>
      </c>
      <c r="Q856" s="6">
        <f t="shared" si="151"/>
        <v>14</v>
      </c>
      <c r="R856" s="6" t="str">
        <f t="shared" si="152"/>
        <v>2017</v>
      </c>
      <c r="S856" s="6" t="str">
        <f t="shared" si="153"/>
        <v>Feb</v>
      </c>
    </row>
    <row r="857" spans="1:19" x14ac:dyDescent="0.25">
      <c r="A857" s="6">
        <v>143</v>
      </c>
      <c r="B857" s="6" t="str">
        <f t="shared" si="145"/>
        <v>NIKMAN00143</v>
      </c>
      <c r="C857" s="7" t="s">
        <v>188</v>
      </c>
      <c r="D857" s="7" t="s">
        <v>253</v>
      </c>
      <c r="E857" s="7" t="str">
        <f t="shared" si="146"/>
        <v>JAY TAK</v>
      </c>
      <c r="F857" s="7" t="s">
        <v>14</v>
      </c>
      <c r="G857" s="22">
        <v>42767</v>
      </c>
      <c r="H857" s="8">
        <v>106272</v>
      </c>
      <c r="I857" s="7" t="str">
        <f t="shared" si="147"/>
        <v>jay.tak@ma.tak.ba</v>
      </c>
      <c r="J857" s="6" t="s">
        <v>1544</v>
      </c>
      <c r="K857" s="6">
        <v>74</v>
      </c>
      <c r="L857" s="7" t="str">
        <f t="shared" si="148"/>
        <v>ma.tak.ba</v>
      </c>
      <c r="M857" s="7" t="str">
        <f t="shared" si="149"/>
        <v>T.Jay</v>
      </c>
      <c r="N857" s="6">
        <f t="shared" si="144"/>
        <v>0</v>
      </c>
      <c r="O857" s="6">
        <f t="shared" si="143"/>
        <v>0</v>
      </c>
      <c r="P857" s="6" t="str">
        <f t="shared" si="150"/>
        <v>N</v>
      </c>
      <c r="Q857" s="6">
        <f t="shared" si="151"/>
        <v>6</v>
      </c>
      <c r="R857" s="6" t="str">
        <f t="shared" si="152"/>
        <v>2017</v>
      </c>
      <c r="S857" s="6" t="str">
        <f t="shared" si="153"/>
        <v>Feb</v>
      </c>
    </row>
    <row r="858" spans="1:19" x14ac:dyDescent="0.25">
      <c r="A858" s="6">
        <v>152</v>
      </c>
      <c r="B858" s="6" t="str">
        <f t="shared" si="145"/>
        <v>NIKMAN00152</v>
      </c>
      <c r="C858" s="7" t="s">
        <v>262</v>
      </c>
      <c r="D858" s="7" t="s">
        <v>70</v>
      </c>
      <c r="E858" s="7" t="str">
        <f t="shared" si="146"/>
        <v>SIMRANJEET SINGH</v>
      </c>
      <c r="F858" s="7" t="s">
        <v>14</v>
      </c>
      <c r="G858" s="22">
        <v>42979</v>
      </c>
      <c r="H858" s="8">
        <v>35399</v>
      </c>
      <c r="I858" s="7" t="str">
        <f t="shared" si="147"/>
        <v>simranjeet.singh@ma.sih.ba</v>
      </c>
      <c r="J858" s="6" t="s">
        <v>1546</v>
      </c>
      <c r="K858" s="6">
        <v>51</v>
      </c>
      <c r="L858" s="7" t="str">
        <f t="shared" si="148"/>
        <v>ma.sih.ba</v>
      </c>
      <c r="M858" s="7" t="str">
        <f t="shared" si="149"/>
        <v>S.Simranjeet</v>
      </c>
      <c r="N858" s="6">
        <f t="shared" si="144"/>
        <v>8</v>
      </c>
      <c r="O858" s="6">
        <f t="shared" si="143"/>
        <v>0</v>
      </c>
      <c r="P858" s="6" t="str">
        <f t="shared" si="150"/>
        <v>N</v>
      </c>
      <c r="Q858" s="6">
        <f t="shared" si="151"/>
        <v>15</v>
      </c>
      <c r="R858" s="6" t="str">
        <f t="shared" si="152"/>
        <v>2017</v>
      </c>
      <c r="S858" s="6" t="str">
        <f t="shared" si="153"/>
        <v>Sep</v>
      </c>
    </row>
    <row r="859" spans="1:19" x14ac:dyDescent="0.25">
      <c r="A859" s="6">
        <v>156</v>
      </c>
      <c r="B859" s="6" t="str">
        <f t="shared" si="145"/>
        <v>NIKMAN00156</v>
      </c>
      <c r="C859" s="7" t="s">
        <v>20</v>
      </c>
      <c r="D859" s="7"/>
      <c r="E859" s="7" t="str">
        <f t="shared" si="146"/>
        <v>VINAY</v>
      </c>
      <c r="F859" s="7" t="s">
        <v>14</v>
      </c>
      <c r="G859" s="22">
        <v>43045</v>
      </c>
      <c r="H859" s="8">
        <v>48723</v>
      </c>
      <c r="I859" s="7" t="str">
        <f t="shared" si="147"/>
        <v>vinay.@ma..ba</v>
      </c>
      <c r="J859" s="6" t="s">
        <v>1543</v>
      </c>
      <c r="K859" s="6">
        <v>43</v>
      </c>
      <c r="L859" s="7" t="str">
        <f t="shared" si="148"/>
        <v>ma..ba</v>
      </c>
      <c r="M859" s="7" t="str">
        <f t="shared" si="149"/>
        <v>.Vinay</v>
      </c>
      <c r="N859" s="6">
        <f t="shared" si="144"/>
        <v>0</v>
      </c>
      <c r="O859" s="6">
        <f t="shared" si="143"/>
        <v>0</v>
      </c>
      <c r="P859" s="6" t="str">
        <f t="shared" si="150"/>
        <v>N</v>
      </c>
      <c r="Q859" s="6">
        <f t="shared" si="151"/>
        <v>5</v>
      </c>
      <c r="R859" s="6" t="str">
        <f t="shared" si="152"/>
        <v>2017</v>
      </c>
      <c r="S859" s="6" t="str">
        <f t="shared" si="153"/>
        <v>Nov</v>
      </c>
    </row>
    <row r="860" spans="1:19" x14ac:dyDescent="0.25">
      <c r="A860" s="6">
        <v>162</v>
      </c>
      <c r="B860" s="6" t="str">
        <f t="shared" si="145"/>
        <v>NIKMAN00162</v>
      </c>
      <c r="C860" s="7" t="s">
        <v>272</v>
      </c>
      <c r="D860" s="7" t="s">
        <v>86</v>
      </c>
      <c r="E860" s="7" t="str">
        <f t="shared" si="146"/>
        <v>SUNIT MANISH</v>
      </c>
      <c r="F860" s="7" t="s">
        <v>14</v>
      </c>
      <c r="G860" s="22">
        <v>43140</v>
      </c>
      <c r="H860" s="8">
        <v>75547</v>
      </c>
      <c r="I860" s="7" t="str">
        <f t="shared" si="147"/>
        <v>sunit.manish@ma.mah.ba</v>
      </c>
      <c r="J860" s="6" t="s">
        <v>1537</v>
      </c>
      <c r="K860" s="6">
        <v>58</v>
      </c>
      <c r="L860" s="7" t="str">
        <f t="shared" si="148"/>
        <v>ma.mah.ba</v>
      </c>
      <c r="M860" s="7" t="str">
        <f t="shared" si="149"/>
        <v>M.Sunit</v>
      </c>
      <c r="N860" s="6">
        <f t="shared" si="144"/>
        <v>0</v>
      </c>
      <c r="O860" s="6">
        <f t="shared" si="143"/>
        <v>0</v>
      </c>
      <c r="P860" s="6" t="str">
        <f t="shared" si="150"/>
        <v>N</v>
      </c>
      <c r="Q860" s="6">
        <f t="shared" si="151"/>
        <v>11</v>
      </c>
      <c r="R860" s="6" t="str">
        <f t="shared" si="152"/>
        <v>2018</v>
      </c>
      <c r="S860" s="6" t="str">
        <f t="shared" si="153"/>
        <v>Feb</v>
      </c>
    </row>
    <row r="861" spans="1:19" x14ac:dyDescent="0.25">
      <c r="A861" s="6">
        <v>170</v>
      </c>
      <c r="B861" s="6" t="str">
        <f t="shared" si="145"/>
        <v>NIKMAN00170</v>
      </c>
      <c r="C861" s="7" t="s">
        <v>54</v>
      </c>
      <c r="D861" s="7" t="s">
        <v>282</v>
      </c>
      <c r="E861" s="7" t="str">
        <f t="shared" si="146"/>
        <v>GANESH MANIKRAO</v>
      </c>
      <c r="F861" s="7" t="s">
        <v>14</v>
      </c>
      <c r="G861" s="22">
        <v>43297</v>
      </c>
      <c r="H861" s="8">
        <v>53580</v>
      </c>
      <c r="I861" s="7" t="str">
        <f t="shared" si="147"/>
        <v>ganesh.manikrao@ma.mao.ba</v>
      </c>
      <c r="J861" s="6" t="s">
        <v>1547</v>
      </c>
      <c r="K861" s="6">
        <v>81</v>
      </c>
      <c r="L861" s="7" t="str">
        <f t="shared" si="148"/>
        <v>ma.mao.ba</v>
      </c>
      <c r="M861" s="7" t="str">
        <f t="shared" si="149"/>
        <v>M.Ganesh</v>
      </c>
      <c r="N861" s="6">
        <f t="shared" si="144"/>
        <v>4</v>
      </c>
      <c r="O861" s="6">
        <f t="shared" si="143"/>
        <v>0</v>
      </c>
      <c r="P861" s="6" t="str">
        <f t="shared" si="150"/>
        <v>N</v>
      </c>
      <c r="Q861" s="6">
        <f t="shared" si="151"/>
        <v>14</v>
      </c>
      <c r="R861" s="6" t="str">
        <f t="shared" si="152"/>
        <v>2018</v>
      </c>
      <c r="S861" s="6" t="str">
        <f t="shared" si="153"/>
        <v>Jul</v>
      </c>
    </row>
    <row r="862" spans="1:19" x14ac:dyDescent="0.25">
      <c r="A862" s="6">
        <v>189</v>
      </c>
      <c r="B862" s="6" t="str">
        <f t="shared" si="145"/>
        <v>NIKMAN00189</v>
      </c>
      <c r="C862" s="7" t="s">
        <v>21</v>
      </c>
      <c r="D862" s="7"/>
      <c r="E862" s="7" t="str">
        <f t="shared" si="146"/>
        <v>MEENAKSHI </v>
      </c>
      <c r="F862" s="7" t="s">
        <v>14</v>
      </c>
      <c r="G862" s="22">
        <v>43727</v>
      </c>
      <c r="H862" s="8">
        <v>90776</v>
      </c>
      <c r="I862" s="7" t="str">
        <f t="shared" si="147"/>
        <v>meenakshi .@ma..ba</v>
      </c>
      <c r="J862" s="6" t="s">
        <v>1535</v>
      </c>
      <c r="K862" s="6">
        <v>62</v>
      </c>
      <c r="L862" s="7" t="str">
        <f t="shared" si="148"/>
        <v>ma..ba</v>
      </c>
      <c r="M862" s="7" t="str">
        <f t="shared" si="149"/>
        <v>.Meenakshi </v>
      </c>
      <c r="N862" s="6">
        <f t="shared" si="144"/>
        <v>2</v>
      </c>
      <c r="O862" s="6">
        <f t="shared" si="143"/>
        <v>0</v>
      </c>
      <c r="P862" s="6" t="str">
        <f t="shared" si="150"/>
        <v>N</v>
      </c>
      <c r="Q862" s="6">
        <f t="shared" si="151"/>
        <v>10</v>
      </c>
      <c r="R862" s="6" t="str">
        <f t="shared" si="152"/>
        <v>2019</v>
      </c>
      <c r="S862" s="6" t="str">
        <f t="shared" si="153"/>
        <v>Sep</v>
      </c>
    </row>
    <row r="863" spans="1:19" x14ac:dyDescent="0.25">
      <c r="A863" s="6">
        <v>194</v>
      </c>
      <c r="B863" s="6" t="str">
        <f t="shared" si="145"/>
        <v>NIKMAN00194</v>
      </c>
      <c r="C863" s="7" t="s">
        <v>309</v>
      </c>
      <c r="D863" s="7" t="s">
        <v>310</v>
      </c>
      <c r="E863" s="7" t="str">
        <f t="shared" si="146"/>
        <v>SUMIT KHANDELWAL</v>
      </c>
      <c r="F863" s="7" t="s">
        <v>14</v>
      </c>
      <c r="G863" s="22">
        <v>43862</v>
      </c>
      <c r="H863" s="8">
        <v>75458</v>
      </c>
      <c r="I863" s="7" t="str">
        <f t="shared" si="147"/>
        <v>sumit.khandelwal@ma.khl.ba</v>
      </c>
      <c r="J863" s="6" t="s">
        <v>1551</v>
      </c>
      <c r="K863" s="6">
        <v>48</v>
      </c>
      <c r="L863" s="7" t="str">
        <f t="shared" si="148"/>
        <v>ma.khl.ba</v>
      </c>
      <c r="M863" s="7" t="str">
        <f t="shared" si="149"/>
        <v>K.Sumit</v>
      </c>
      <c r="N863" s="6">
        <f t="shared" si="144"/>
        <v>0</v>
      </c>
      <c r="O863" s="6">
        <f t="shared" si="143"/>
        <v>6</v>
      </c>
      <c r="P863" s="6" t="str">
        <f t="shared" si="150"/>
        <v>N</v>
      </c>
      <c r="Q863" s="6">
        <f t="shared" si="151"/>
        <v>15</v>
      </c>
      <c r="R863" s="6" t="str">
        <f t="shared" si="152"/>
        <v>2020</v>
      </c>
      <c r="S863" s="6" t="str">
        <f t="shared" si="153"/>
        <v>Feb</v>
      </c>
    </row>
    <row r="864" spans="1:19" x14ac:dyDescent="0.25">
      <c r="A864" s="6">
        <v>214</v>
      </c>
      <c r="B864" s="6" t="str">
        <f t="shared" si="145"/>
        <v>NIKMAN00214</v>
      </c>
      <c r="C864" s="7" t="s">
        <v>336</v>
      </c>
      <c r="D864" s="7" t="s">
        <v>337</v>
      </c>
      <c r="E864" s="7" t="str">
        <f t="shared" si="146"/>
        <v>SHAILESH BHURANI</v>
      </c>
      <c r="F864" s="7" t="s">
        <v>14</v>
      </c>
      <c r="G864" s="22">
        <v>44382</v>
      </c>
      <c r="H864" s="8">
        <v>57328</v>
      </c>
      <c r="I864" s="7" t="str">
        <f t="shared" si="147"/>
        <v>shailesh.bhurani@ma.bhi.ba</v>
      </c>
      <c r="J864" s="6" t="s">
        <v>1533</v>
      </c>
      <c r="K864" s="6">
        <v>72</v>
      </c>
      <c r="L864" s="7" t="str">
        <f t="shared" si="148"/>
        <v>ma.bhi.ba</v>
      </c>
      <c r="M864" s="7" t="str">
        <f t="shared" si="149"/>
        <v>B.Shailesh</v>
      </c>
      <c r="N864" s="6">
        <f t="shared" si="144"/>
        <v>6</v>
      </c>
      <c r="O864" s="6">
        <f t="shared" si="143"/>
        <v>0</v>
      </c>
      <c r="P864" s="6" t="str">
        <f t="shared" si="150"/>
        <v>N</v>
      </c>
      <c r="Q864" s="6">
        <f t="shared" si="151"/>
        <v>15</v>
      </c>
      <c r="R864" s="6" t="str">
        <f t="shared" si="152"/>
        <v>2021</v>
      </c>
      <c r="S864" s="6" t="str">
        <f t="shared" si="153"/>
        <v>Jul</v>
      </c>
    </row>
    <row r="865" spans="1:19" x14ac:dyDescent="0.25">
      <c r="A865" s="6">
        <v>230</v>
      </c>
      <c r="B865" s="6" t="str">
        <f t="shared" si="145"/>
        <v>NIKMAN00230</v>
      </c>
      <c r="C865" s="7" t="s">
        <v>353</v>
      </c>
      <c r="D865" s="7" t="s">
        <v>354</v>
      </c>
      <c r="E865" s="7" t="str">
        <f t="shared" si="146"/>
        <v>DIPAK JAGANNATH</v>
      </c>
      <c r="F865" s="7" t="s">
        <v>14</v>
      </c>
      <c r="G865" s="22">
        <v>44531</v>
      </c>
      <c r="H865" s="8">
        <v>58498</v>
      </c>
      <c r="I865" s="7" t="str">
        <f t="shared" si="147"/>
        <v>dipak.jagannath@ma.jah.ba</v>
      </c>
      <c r="J865" s="6" t="s">
        <v>1548</v>
      </c>
      <c r="K865" s="6">
        <v>66</v>
      </c>
      <c r="L865" s="7" t="str">
        <f t="shared" si="148"/>
        <v>ma.jah.ba</v>
      </c>
      <c r="M865" s="7" t="str">
        <f t="shared" si="149"/>
        <v>J.Dipak</v>
      </c>
      <c r="N865" s="6">
        <f t="shared" si="144"/>
        <v>0</v>
      </c>
      <c r="O865" s="6">
        <f t="shared" si="143"/>
        <v>0</v>
      </c>
      <c r="P865" s="6" t="str">
        <f t="shared" si="150"/>
        <v>N</v>
      </c>
      <c r="Q865" s="6">
        <f t="shared" si="151"/>
        <v>14</v>
      </c>
      <c r="R865" s="6" t="str">
        <f t="shared" si="152"/>
        <v>2021</v>
      </c>
      <c r="S865" s="6" t="str">
        <f t="shared" si="153"/>
        <v>Dec</v>
      </c>
    </row>
    <row r="866" spans="1:19" x14ac:dyDescent="0.25">
      <c r="A866" s="6">
        <v>234</v>
      </c>
      <c r="B866" s="6" t="str">
        <f t="shared" si="145"/>
        <v>NIKMAN00234</v>
      </c>
      <c r="C866" s="7" t="s">
        <v>144</v>
      </c>
      <c r="D866" s="7" t="s">
        <v>359</v>
      </c>
      <c r="E866" s="7" t="str">
        <f t="shared" si="146"/>
        <v>DEVESH DUTT</v>
      </c>
      <c r="F866" s="7" t="s">
        <v>14</v>
      </c>
      <c r="G866" s="22">
        <v>44543</v>
      </c>
      <c r="H866" s="8">
        <v>47528</v>
      </c>
      <c r="I866" s="7" t="str">
        <f t="shared" si="147"/>
        <v>devesh.dutt@ma.dut.ba</v>
      </c>
      <c r="J866" s="6" t="s">
        <v>1546</v>
      </c>
      <c r="K866" s="6">
        <v>35</v>
      </c>
      <c r="L866" s="7" t="str">
        <f t="shared" si="148"/>
        <v>ma.dut.ba</v>
      </c>
      <c r="M866" s="7" t="str">
        <f t="shared" si="149"/>
        <v>D.Devesh</v>
      </c>
      <c r="N866" s="6">
        <f t="shared" si="144"/>
        <v>2</v>
      </c>
      <c r="O866" s="6">
        <f t="shared" si="143"/>
        <v>0</v>
      </c>
      <c r="P866" s="6" t="str">
        <f t="shared" si="150"/>
        <v>N</v>
      </c>
      <c r="Q866" s="6">
        <f t="shared" si="151"/>
        <v>10</v>
      </c>
      <c r="R866" s="6" t="str">
        <f t="shared" si="152"/>
        <v>2021</v>
      </c>
      <c r="S866" s="6" t="str">
        <f t="shared" si="153"/>
        <v>Dec</v>
      </c>
    </row>
    <row r="867" spans="1:19" x14ac:dyDescent="0.25">
      <c r="A867" s="6">
        <v>256</v>
      </c>
      <c r="B867" s="6" t="str">
        <f t="shared" si="145"/>
        <v>NIKMAN00256</v>
      </c>
      <c r="C867" s="7" t="s">
        <v>389</v>
      </c>
      <c r="D867" s="7" t="s">
        <v>390</v>
      </c>
      <c r="E867" s="7" t="str">
        <f t="shared" si="146"/>
        <v>MADHURI KALA</v>
      </c>
      <c r="F867" s="7" t="s">
        <v>14</v>
      </c>
      <c r="G867" s="22">
        <v>44713</v>
      </c>
      <c r="H867" s="8">
        <v>30384</v>
      </c>
      <c r="I867" s="7" t="str">
        <f t="shared" si="147"/>
        <v>madhuri.kala@ma.kaa.ba</v>
      </c>
      <c r="J867" s="6" t="s">
        <v>1533</v>
      </c>
      <c r="K867" s="6">
        <v>89</v>
      </c>
      <c r="L867" s="7" t="str">
        <f t="shared" si="148"/>
        <v>ma.kaa.ba</v>
      </c>
      <c r="M867" s="7" t="str">
        <f t="shared" si="149"/>
        <v>K.Madhuri</v>
      </c>
      <c r="N867" s="6">
        <f t="shared" si="144"/>
        <v>0</v>
      </c>
      <c r="O867" s="6">
        <f t="shared" si="143"/>
        <v>0</v>
      </c>
      <c r="P867" s="6" t="str">
        <f t="shared" si="150"/>
        <v>N</v>
      </c>
      <c r="Q867" s="6">
        <f t="shared" si="151"/>
        <v>11</v>
      </c>
      <c r="R867" s="6" t="str">
        <f t="shared" si="152"/>
        <v>2022</v>
      </c>
      <c r="S867" s="6" t="str">
        <f t="shared" si="153"/>
        <v>Jun</v>
      </c>
    </row>
    <row r="868" spans="1:19" x14ac:dyDescent="0.25">
      <c r="A868" s="6">
        <v>257</v>
      </c>
      <c r="B868" s="6" t="str">
        <f t="shared" si="145"/>
        <v>NIKMAN00257</v>
      </c>
      <c r="C868" s="7" t="s">
        <v>391</v>
      </c>
      <c r="D868" s="7" t="s">
        <v>68</v>
      </c>
      <c r="E868" s="7" t="str">
        <f t="shared" si="146"/>
        <v>AJEET KUMAR</v>
      </c>
      <c r="F868" s="7" t="s">
        <v>14</v>
      </c>
      <c r="G868" s="22">
        <v>44730</v>
      </c>
      <c r="H868" s="8">
        <v>108526</v>
      </c>
      <c r="I868" s="7" t="str">
        <f t="shared" si="147"/>
        <v>ajeet.kumar@ma.kur.ba</v>
      </c>
      <c r="J868" s="6" t="s">
        <v>1547</v>
      </c>
      <c r="K868" s="6">
        <v>46</v>
      </c>
      <c r="L868" s="7" t="str">
        <f t="shared" si="148"/>
        <v>ma.kur.ba</v>
      </c>
      <c r="M868" s="7" t="str">
        <f t="shared" si="149"/>
        <v>K.Ajeet</v>
      </c>
      <c r="N868" s="6">
        <f t="shared" si="144"/>
        <v>3</v>
      </c>
      <c r="O868" s="6">
        <f t="shared" si="143"/>
        <v>0</v>
      </c>
      <c r="P868" s="6" t="str">
        <f t="shared" si="150"/>
        <v>N</v>
      </c>
      <c r="Q868" s="6">
        <f t="shared" si="151"/>
        <v>10</v>
      </c>
      <c r="R868" s="6" t="str">
        <f t="shared" si="152"/>
        <v>2022</v>
      </c>
      <c r="S868" s="6" t="str">
        <f t="shared" si="153"/>
        <v>Jun</v>
      </c>
    </row>
    <row r="869" spans="1:19" x14ac:dyDescent="0.25">
      <c r="A869" s="6">
        <v>260</v>
      </c>
      <c r="B869" s="6" t="str">
        <f t="shared" si="145"/>
        <v>NIKMAN00260</v>
      </c>
      <c r="C869" s="7" t="s">
        <v>394</v>
      </c>
      <c r="D869" s="7" t="s">
        <v>370</v>
      </c>
      <c r="E869" s="7" t="str">
        <f t="shared" si="146"/>
        <v>CHIRAG PARMAR</v>
      </c>
      <c r="F869" s="7" t="s">
        <v>14</v>
      </c>
      <c r="G869" s="22">
        <v>44743</v>
      </c>
      <c r="H869" s="8">
        <v>52708</v>
      </c>
      <c r="I869" s="7" t="str">
        <f t="shared" si="147"/>
        <v>chirag.parmar@ma.par.ba</v>
      </c>
      <c r="J869" s="6" t="s">
        <v>1540</v>
      </c>
      <c r="K869" s="6">
        <v>77</v>
      </c>
      <c r="L869" s="7" t="str">
        <f t="shared" si="148"/>
        <v>ma.par.ba</v>
      </c>
      <c r="M869" s="7" t="str">
        <f t="shared" si="149"/>
        <v>P.Chirag</v>
      </c>
      <c r="N869" s="6">
        <f t="shared" si="144"/>
        <v>0</v>
      </c>
      <c r="O869" s="6">
        <f t="shared" si="143"/>
        <v>0</v>
      </c>
      <c r="P869" s="6" t="str">
        <f t="shared" si="150"/>
        <v>N</v>
      </c>
      <c r="Q869" s="6">
        <f t="shared" si="151"/>
        <v>12</v>
      </c>
      <c r="R869" s="6" t="str">
        <f t="shared" si="152"/>
        <v>2022</v>
      </c>
      <c r="S869" s="6" t="str">
        <f t="shared" si="153"/>
        <v>Jul</v>
      </c>
    </row>
    <row r="870" spans="1:19" x14ac:dyDescent="0.25">
      <c r="A870" s="6">
        <v>263</v>
      </c>
      <c r="B870" s="6" t="str">
        <f t="shared" si="145"/>
        <v>NIKMAN00263</v>
      </c>
      <c r="C870" s="7" t="s">
        <v>121</v>
      </c>
      <c r="D870" s="7" t="s">
        <v>397</v>
      </c>
      <c r="E870" s="7" t="str">
        <f t="shared" si="146"/>
        <v>RICHA TRIPATHI</v>
      </c>
      <c r="F870" s="7" t="s">
        <v>14</v>
      </c>
      <c r="G870" s="22">
        <v>44747</v>
      </c>
      <c r="H870" s="8">
        <v>94828</v>
      </c>
      <c r="I870" s="7" t="str">
        <f t="shared" si="147"/>
        <v>richa.tripathi@ma.tri.ba</v>
      </c>
      <c r="J870" s="6" t="s">
        <v>1533</v>
      </c>
      <c r="K870" s="6">
        <v>58</v>
      </c>
      <c r="L870" s="7" t="str">
        <f t="shared" si="148"/>
        <v>ma.tri.ba</v>
      </c>
      <c r="M870" s="7" t="str">
        <f t="shared" si="149"/>
        <v>T.Richa</v>
      </c>
      <c r="N870" s="6">
        <f t="shared" si="144"/>
        <v>0</v>
      </c>
      <c r="O870" s="6">
        <f t="shared" si="143"/>
        <v>0</v>
      </c>
      <c r="P870" s="6" t="str">
        <f t="shared" si="150"/>
        <v>N</v>
      </c>
      <c r="Q870" s="6">
        <f t="shared" si="151"/>
        <v>13</v>
      </c>
      <c r="R870" s="6" t="str">
        <f t="shared" si="152"/>
        <v>2022</v>
      </c>
      <c r="S870" s="6" t="str">
        <f t="shared" si="153"/>
        <v>Jul</v>
      </c>
    </row>
    <row r="871" spans="1:19" x14ac:dyDescent="0.25">
      <c r="A871" s="6">
        <v>270</v>
      </c>
      <c r="B871" s="6" t="str">
        <f t="shared" si="145"/>
        <v>NIKMAN00270</v>
      </c>
      <c r="C871" s="7" t="s">
        <v>407</v>
      </c>
      <c r="D871" s="7" t="s">
        <v>408</v>
      </c>
      <c r="E871" s="7" t="str">
        <f t="shared" si="146"/>
        <v>AVINASH CHIMANLAL</v>
      </c>
      <c r="F871" s="7" t="s">
        <v>14</v>
      </c>
      <c r="G871" s="22">
        <v>44805</v>
      </c>
      <c r="H871" s="8">
        <v>34534</v>
      </c>
      <c r="I871" s="7" t="str">
        <f t="shared" si="147"/>
        <v>avinash.chimanlal@ma.chl.ba</v>
      </c>
      <c r="J871" s="6" t="s">
        <v>1549</v>
      </c>
      <c r="K871" s="6">
        <v>85</v>
      </c>
      <c r="L871" s="7" t="str">
        <f t="shared" si="148"/>
        <v>ma.chl.ba</v>
      </c>
      <c r="M871" s="7" t="str">
        <f t="shared" si="149"/>
        <v>C.Avinash</v>
      </c>
      <c r="N871" s="6">
        <f t="shared" si="144"/>
        <v>0</v>
      </c>
      <c r="O871" s="6">
        <f t="shared" si="143"/>
        <v>0</v>
      </c>
      <c r="P871" s="6" t="str">
        <f t="shared" si="150"/>
        <v>N</v>
      </c>
      <c r="Q871" s="6">
        <f t="shared" si="151"/>
        <v>16</v>
      </c>
      <c r="R871" s="6" t="str">
        <f t="shared" si="152"/>
        <v>2022</v>
      </c>
      <c r="S871" s="6" t="str">
        <f t="shared" si="153"/>
        <v>Sep</v>
      </c>
    </row>
    <row r="872" spans="1:19" x14ac:dyDescent="0.25">
      <c r="A872" s="6">
        <v>293</v>
      </c>
      <c r="B872" s="6" t="str">
        <f t="shared" si="145"/>
        <v>NIKMAN00293</v>
      </c>
      <c r="C872" s="7" t="s">
        <v>436</v>
      </c>
      <c r="D872" s="7" t="s">
        <v>437</v>
      </c>
      <c r="E872" s="7" t="str">
        <f t="shared" si="146"/>
        <v>ASHUTOSH BAJPAI</v>
      </c>
      <c r="F872" s="7" t="s">
        <v>14</v>
      </c>
      <c r="G872" s="22">
        <v>44929</v>
      </c>
      <c r="H872" s="8">
        <v>39612</v>
      </c>
      <c r="I872" s="7" t="str">
        <f t="shared" si="147"/>
        <v>ashutosh.bajpai@ma.bai.ba</v>
      </c>
      <c r="J872" s="6" t="s">
        <v>1533</v>
      </c>
      <c r="K872" s="6">
        <v>48</v>
      </c>
      <c r="L872" s="7" t="str">
        <f t="shared" si="148"/>
        <v>ma.bai.ba</v>
      </c>
      <c r="M872" s="7" t="str">
        <f t="shared" si="149"/>
        <v>B.Ashutosh</v>
      </c>
      <c r="N872" s="6">
        <f t="shared" si="144"/>
        <v>0</v>
      </c>
      <c r="O872" s="6">
        <f t="shared" si="143"/>
        <v>0</v>
      </c>
      <c r="P872" s="6" t="str">
        <f t="shared" si="150"/>
        <v>N</v>
      </c>
      <c r="Q872" s="6">
        <f t="shared" si="151"/>
        <v>14</v>
      </c>
      <c r="R872" s="6" t="str">
        <f t="shared" si="152"/>
        <v>2023</v>
      </c>
      <c r="S872" s="6" t="str">
        <f t="shared" si="153"/>
        <v>Jan</v>
      </c>
    </row>
    <row r="873" spans="1:19" x14ac:dyDescent="0.25">
      <c r="A873" s="6">
        <v>319</v>
      </c>
      <c r="B873" s="6" t="str">
        <f t="shared" si="145"/>
        <v>NIKMAN00319</v>
      </c>
      <c r="C873" s="7" t="s">
        <v>474</v>
      </c>
      <c r="D873" s="7" t="s">
        <v>378</v>
      </c>
      <c r="E873" s="7" t="str">
        <f t="shared" si="146"/>
        <v>RUPIKA PANDEY</v>
      </c>
      <c r="F873" s="7" t="s">
        <v>14</v>
      </c>
      <c r="G873" s="22">
        <v>45047</v>
      </c>
      <c r="H873" s="8">
        <v>41365</v>
      </c>
      <c r="I873" s="7" t="str">
        <f t="shared" si="147"/>
        <v>rupika.pandey@ma.pay.ba</v>
      </c>
      <c r="J873" s="6" t="s">
        <v>1541</v>
      </c>
      <c r="K873" s="6">
        <v>69</v>
      </c>
      <c r="L873" s="7" t="str">
        <f t="shared" si="148"/>
        <v>ma.pay.ba</v>
      </c>
      <c r="M873" s="7" t="str">
        <f t="shared" si="149"/>
        <v>P.Rupika</v>
      </c>
      <c r="N873" s="6">
        <f t="shared" si="144"/>
        <v>0</v>
      </c>
      <c r="O873" s="6">
        <f t="shared" si="143"/>
        <v>5</v>
      </c>
      <c r="P873" s="6" t="str">
        <f t="shared" si="150"/>
        <v>N</v>
      </c>
      <c r="Q873" s="6">
        <f t="shared" si="151"/>
        <v>12</v>
      </c>
      <c r="R873" s="6" t="str">
        <f t="shared" si="152"/>
        <v>2023</v>
      </c>
      <c r="S873" s="6" t="str">
        <f t="shared" si="153"/>
        <v>May</v>
      </c>
    </row>
    <row r="874" spans="1:19" x14ac:dyDescent="0.25">
      <c r="A874" s="6">
        <v>329</v>
      </c>
      <c r="B874" s="6" t="str">
        <f t="shared" si="145"/>
        <v>NIKMAN00329</v>
      </c>
      <c r="C874" s="7" t="s">
        <v>488</v>
      </c>
      <c r="D874" s="7" t="s">
        <v>68</v>
      </c>
      <c r="E874" s="7" t="str">
        <f t="shared" si="146"/>
        <v>KAMLESH KUMAR</v>
      </c>
      <c r="F874" s="7" t="s">
        <v>14</v>
      </c>
      <c r="G874" s="22">
        <v>45096</v>
      </c>
      <c r="H874" s="8">
        <v>54456</v>
      </c>
      <c r="I874" s="7" t="str">
        <f t="shared" si="147"/>
        <v>kamlesh.kumar@ma.kur.ba</v>
      </c>
      <c r="J874" s="6" t="s">
        <v>1532</v>
      </c>
      <c r="K874" s="6">
        <v>66</v>
      </c>
      <c r="L874" s="7" t="str">
        <f t="shared" si="148"/>
        <v>ma.kur.ba</v>
      </c>
      <c r="M874" s="7" t="str">
        <f t="shared" si="149"/>
        <v>K.Kamlesh</v>
      </c>
      <c r="N874" s="6">
        <f t="shared" si="144"/>
        <v>5</v>
      </c>
      <c r="O874" s="6">
        <f t="shared" si="143"/>
        <v>0</v>
      </c>
      <c r="P874" s="6" t="str">
        <f t="shared" si="150"/>
        <v>N</v>
      </c>
      <c r="Q874" s="6">
        <f t="shared" si="151"/>
        <v>12</v>
      </c>
      <c r="R874" s="6" t="str">
        <f t="shared" si="152"/>
        <v>2023</v>
      </c>
      <c r="S874" s="6" t="str">
        <f t="shared" si="153"/>
        <v>Jun</v>
      </c>
    </row>
    <row r="875" spans="1:19" x14ac:dyDescent="0.25">
      <c r="A875" s="6">
        <v>330</v>
      </c>
      <c r="B875" s="6" t="str">
        <f t="shared" si="145"/>
        <v>NIKMAN00330</v>
      </c>
      <c r="C875" s="7" t="s">
        <v>489</v>
      </c>
      <c r="D875" s="7" t="s">
        <v>490</v>
      </c>
      <c r="E875" s="7" t="str">
        <f t="shared" si="146"/>
        <v>DHIREN KANTILAL</v>
      </c>
      <c r="F875" s="7" t="s">
        <v>14</v>
      </c>
      <c r="G875" s="22">
        <v>45108</v>
      </c>
      <c r="H875" s="8">
        <v>52738</v>
      </c>
      <c r="I875" s="7" t="str">
        <f t="shared" si="147"/>
        <v>dhiren.kantilal@ma.kal.ba</v>
      </c>
      <c r="J875" s="6" t="s">
        <v>1541</v>
      </c>
      <c r="K875" s="6">
        <v>81</v>
      </c>
      <c r="L875" s="7" t="str">
        <f t="shared" si="148"/>
        <v>ma.kal.ba</v>
      </c>
      <c r="M875" s="7" t="str">
        <f t="shared" si="149"/>
        <v>K.Dhiren</v>
      </c>
      <c r="N875" s="6">
        <f t="shared" si="144"/>
        <v>5</v>
      </c>
      <c r="O875" s="6">
        <f t="shared" si="143"/>
        <v>0</v>
      </c>
      <c r="P875" s="6" t="str">
        <f t="shared" si="150"/>
        <v>N</v>
      </c>
      <c r="Q875" s="6">
        <f t="shared" si="151"/>
        <v>14</v>
      </c>
      <c r="R875" s="6" t="str">
        <f t="shared" si="152"/>
        <v>2023</v>
      </c>
      <c r="S875" s="6" t="str">
        <f t="shared" si="153"/>
        <v>Jul</v>
      </c>
    </row>
    <row r="876" spans="1:19" x14ac:dyDescent="0.25">
      <c r="A876" s="6">
        <v>337</v>
      </c>
      <c r="B876" s="6" t="str">
        <f t="shared" si="145"/>
        <v>NIKMAN00337</v>
      </c>
      <c r="C876" s="7" t="s">
        <v>497</v>
      </c>
      <c r="D876" s="7" t="s">
        <v>498</v>
      </c>
      <c r="E876" s="7" t="str">
        <f t="shared" si="146"/>
        <v>DILRAJ KAUR</v>
      </c>
      <c r="F876" s="7" t="s">
        <v>14</v>
      </c>
      <c r="G876" s="22">
        <v>45117</v>
      </c>
      <c r="H876" s="8">
        <v>69143</v>
      </c>
      <c r="I876" s="7" t="str">
        <f t="shared" si="147"/>
        <v>dilraj.kaur@ma.kar.ba</v>
      </c>
      <c r="J876" s="6" t="s">
        <v>1542</v>
      </c>
      <c r="K876" s="6">
        <v>51</v>
      </c>
      <c r="L876" s="7" t="str">
        <f t="shared" si="148"/>
        <v>ma.kar.ba</v>
      </c>
      <c r="M876" s="7" t="str">
        <f t="shared" si="149"/>
        <v>K.Dilraj</v>
      </c>
      <c r="N876" s="6">
        <f t="shared" si="144"/>
        <v>0</v>
      </c>
      <c r="O876" s="6">
        <f t="shared" ref="O876:O939" si="154">IFERROR(SEARCH("e",D876),0)</f>
        <v>0</v>
      </c>
      <c r="P876" s="6" t="str">
        <f t="shared" si="150"/>
        <v>N</v>
      </c>
      <c r="Q876" s="6">
        <f t="shared" si="151"/>
        <v>10</v>
      </c>
      <c r="R876" s="6" t="str">
        <f t="shared" si="152"/>
        <v>2023</v>
      </c>
      <c r="S876" s="6" t="str">
        <f t="shared" si="153"/>
        <v>Jul</v>
      </c>
    </row>
    <row r="877" spans="1:19" x14ac:dyDescent="0.25">
      <c r="A877" s="6">
        <v>338</v>
      </c>
      <c r="B877" s="6" t="str">
        <f t="shared" si="145"/>
        <v>NIKMAN00338</v>
      </c>
      <c r="C877" s="7" t="s">
        <v>499</v>
      </c>
      <c r="D877" s="7" t="s">
        <v>500</v>
      </c>
      <c r="E877" s="7" t="str">
        <f t="shared" si="146"/>
        <v>JAGRUTI VITHOBA</v>
      </c>
      <c r="F877" s="7" t="s">
        <v>14</v>
      </c>
      <c r="G877" s="22">
        <v>45117</v>
      </c>
      <c r="H877" s="8">
        <v>33817</v>
      </c>
      <c r="I877" s="7" t="str">
        <f t="shared" si="147"/>
        <v>jagruti.vithoba@ma.via.ba</v>
      </c>
      <c r="J877" s="6" t="s">
        <v>1544</v>
      </c>
      <c r="K877" s="6">
        <v>48</v>
      </c>
      <c r="L877" s="7" t="str">
        <f t="shared" si="148"/>
        <v>ma.via.ba</v>
      </c>
      <c r="M877" s="7" t="str">
        <f t="shared" si="149"/>
        <v>V.Jagruti</v>
      </c>
      <c r="N877" s="6">
        <f t="shared" si="144"/>
        <v>0</v>
      </c>
      <c r="O877" s="6">
        <f t="shared" si="154"/>
        <v>0</v>
      </c>
      <c r="P877" s="6" t="str">
        <f t="shared" si="150"/>
        <v>N</v>
      </c>
      <c r="Q877" s="6">
        <f t="shared" si="151"/>
        <v>14</v>
      </c>
      <c r="R877" s="6" t="str">
        <f t="shared" si="152"/>
        <v>2023</v>
      </c>
      <c r="S877" s="6" t="str">
        <f t="shared" si="153"/>
        <v>Jul</v>
      </c>
    </row>
    <row r="878" spans="1:19" x14ac:dyDescent="0.25">
      <c r="A878" s="6">
        <v>340</v>
      </c>
      <c r="B878" s="6" t="str">
        <f t="shared" si="145"/>
        <v>NIKMAN00340</v>
      </c>
      <c r="C878" s="7" t="s">
        <v>502</v>
      </c>
      <c r="D878" s="7" t="s">
        <v>168</v>
      </c>
      <c r="E878" s="7" t="str">
        <f t="shared" si="146"/>
        <v>AKANSHA TIWARI</v>
      </c>
      <c r="F878" s="7" t="s">
        <v>14</v>
      </c>
      <c r="G878" s="22">
        <v>45122</v>
      </c>
      <c r="H878" s="8">
        <v>100693</v>
      </c>
      <c r="I878" s="7" t="str">
        <f t="shared" si="147"/>
        <v>akansha.tiwari@ma.tii.ba</v>
      </c>
      <c r="J878" s="6" t="s">
        <v>1541</v>
      </c>
      <c r="K878" s="6">
        <v>75</v>
      </c>
      <c r="L878" s="7" t="str">
        <f t="shared" si="148"/>
        <v>ma.tii.ba</v>
      </c>
      <c r="M878" s="7" t="str">
        <f t="shared" si="149"/>
        <v>T.Akansha</v>
      </c>
      <c r="N878" s="6">
        <f t="shared" ref="N878:N941" si="155">IFERROR(SEARCH("e",C878),0)</f>
        <v>0</v>
      </c>
      <c r="O878" s="6">
        <f t="shared" si="154"/>
        <v>0</v>
      </c>
      <c r="P878" s="6" t="str">
        <f t="shared" si="150"/>
        <v>N</v>
      </c>
      <c r="Q878" s="6">
        <f t="shared" si="151"/>
        <v>13</v>
      </c>
      <c r="R878" s="6" t="str">
        <f t="shared" si="152"/>
        <v>2023</v>
      </c>
      <c r="S878" s="6" t="str">
        <f t="shared" si="153"/>
        <v>Jul</v>
      </c>
    </row>
    <row r="879" spans="1:19" x14ac:dyDescent="0.25">
      <c r="A879" s="6">
        <v>349</v>
      </c>
      <c r="B879" s="6" t="str">
        <f t="shared" si="145"/>
        <v>NIKMAN00349</v>
      </c>
      <c r="C879" s="7" t="s">
        <v>511</v>
      </c>
      <c r="D879" s="7" t="s">
        <v>512</v>
      </c>
      <c r="E879" s="7" t="str">
        <f t="shared" si="146"/>
        <v>YASH BHAVESHBHAI</v>
      </c>
      <c r="F879" s="7" t="s">
        <v>14</v>
      </c>
      <c r="G879" s="22">
        <v>45152</v>
      </c>
      <c r="H879" s="8">
        <v>36870</v>
      </c>
      <c r="I879" s="7" t="str">
        <f t="shared" si="147"/>
        <v>yash.bhaveshbhai@ma.bhi.ba</v>
      </c>
      <c r="J879" s="6" t="s">
        <v>1542</v>
      </c>
      <c r="K879" s="6">
        <v>38</v>
      </c>
      <c r="L879" s="7" t="str">
        <f t="shared" si="148"/>
        <v>ma.bhi.ba</v>
      </c>
      <c r="M879" s="7" t="str">
        <f t="shared" si="149"/>
        <v>B.Yash</v>
      </c>
      <c r="N879" s="6">
        <f t="shared" si="155"/>
        <v>0</v>
      </c>
      <c r="O879" s="6">
        <f t="shared" si="154"/>
        <v>5</v>
      </c>
      <c r="P879" s="6" t="str">
        <f t="shared" si="150"/>
        <v>N</v>
      </c>
      <c r="Q879" s="6">
        <f t="shared" si="151"/>
        <v>15</v>
      </c>
      <c r="R879" s="6" t="str">
        <f t="shared" si="152"/>
        <v>2023</v>
      </c>
      <c r="S879" s="6" t="str">
        <f t="shared" si="153"/>
        <v>Aug</v>
      </c>
    </row>
    <row r="880" spans="1:19" x14ac:dyDescent="0.25">
      <c r="A880" s="6">
        <v>373</v>
      </c>
      <c r="B880" s="6" t="str">
        <f t="shared" si="145"/>
        <v>NIKMAN00373</v>
      </c>
      <c r="C880" s="7" t="s">
        <v>234</v>
      </c>
      <c r="D880" s="7" t="s">
        <v>316</v>
      </c>
      <c r="E880" s="7" t="str">
        <f t="shared" si="146"/>
        <v>SHRADDHA MILIND</v>
      </c>
      <c r="F880" s="7" t="s">
        <v>14</v>
      </c>
      <c r="G880" s="22">
        <v>45328</v>
      </c>
      <c r="H880" s="8">
        <v>26062</v>
      </c>
      <c r="I880" s="7" t="str">
        <f t="shared" si="147"/>
        <v>shraddha.milind@ma.mid.ba</v>
      </c>
      <c r="J880" s="6" t="s">
        <v>1549</v>
      </c>
      <c r="K880" s="6">
        <v>66</v>
      </c>
      <c r="L880" s="7" t="str">
        <f t="shared" si="148"/>
        <v>ma.mid.ba</v>
      </c>
      <c r="M880" s="7" t="str">
        <f t="shared" si="149"/>
        <v>M.Shraddha</v>
      </c>
      <c r="N880" s="6">
        <f t="shared" si="155"/>
        <v>0</v>
      </c>
      <c r="O880" s="6">
        <f t="shared" si="154"/>
        <v>0</v>
      </c>
      <c r="P880" s="6" t="str">
        <f t="shared" si="150"/>
        <v>N</v>
      </c>
      <c r="Q880" s="6">
        <f t="shared" si="151"/>
        <v>14</v>
      </c>
      <c r="R880" s="6" t="str">
        <f t="shared" si="152"/>
        <v>2024</v>
      </c>
      <c r="S880" s="6" t="str">
        <f t="shared" si="153"/>
        <v>Feb</v>
      </c>
    </row>
    <row r="881" spans="1:19" x14ac:dyDescent="0.25">
      <c r="A881" s="6">
        <v>381</v>
      </c>
      <c r="B881" s="6" t="str">
        <f t="shared" si="145"/>
        <v>NIKMAN00381</v>
      </c>
      <c r="C881" s="7" t="s">
        <v>26</v>
      </c>
      <c r="D881" s="7"/>
      <c r="E881" s="7" t="str">
        <f t="shared" si="146"/>
        <v>KAJAL</v>
      </c>
      <c r="F881" s="7" t="s">
        <v>14</v>
      </c>
      <c r="G881" s="22">
        <v>45360</v>
      </c>
      <c r="H881" s="8">
        <v>73363</v>
      </c>
      <c r="I881" s="7" t="str">
        <f t="shared" si="147"/>
        <v>kajal.@ma..ba</v>
      </c>
      <c r="J881" s="6" t="s">
        <v>1550</v>
      </c>
      <c r="K881" s="6">
        <v>84</v>
      </c>
      <c r="L881" s="7" t="str">
        <f t="shared" si="148"/>
        <v>ma..ba</v>
      </c>
      <c r="M881" s="7" t="str">
        <f t="shared" si="149"/>
        <v>.Kajal</v>
      </c>
      <c r="N881" s="6">
        <f t="shared" si="155"/>
        <v>0</v>
      </c>
      <c r="O881" s="6">
        <f t="shared" si="154"/>
        <v>0</v>
      </c>
      <c r="P881" s="6" t="str">
        <f t="shared" si="150"/>
        <v>N</v>
      </c>
      <c r="Q881" s="6">
        <f t="shared" si="151"/>
        <v>5</v>
      </c>
      <c r="R881" s="6" t="str">
        <f t="shared" si="152"/>
        <v>2024</v>
      </c>
      <c r="S881" s="6" t="str">
        <f t="shared" si="153"/>
        <v>Mar</v>
      </c>
    </row>
    <row r="882" spans="1:19" x14ac:dyDescent="0.25">
      <c r="A882" s="6">
        <v>384</v>
      </c>
      <c r="B882" s="6" t="str">
        <f t="shared" si="145"/>
        <v>NIKMAN00384</v>
      </c>
      <c r="C882" s="7" t="s">
        <v>555</v>
      </c>
      <c r="D882" s="7" t="s">
        <v>556</v>
      </c>
      <c r="E882" s="7" t="str">
        <f t="shared" si="146"/>
        <v>NANCY KUMARI</v>
      </c>
      <c r="F882" s="7" t="s">
        <v>14</v>
      </c>
      <c r="G882" s="22">
        <v>45383</v>
      </c>
      <c r="H882" s="8">
        <v>100178</v>
      </c>
      <c r="I882" s="7" t="str">
        <f t="shared" si="147"/>
        <v>nancy.kumari@ma.kui.ba</v>
      </c>
      <c r="J882" s="6" t="s">
        <v>1539</v>
      </c>
      <c r="K882" s="6">
        <v>64</v>
      </c>
      <c r="L882" s="7" t="str">
        <f t="shared" si="148"/>
        <v>ma.kui.ba</v>
      </c>
      <c r="M882" s="7" t="str">
        <f t="shared" si="149"/>
        <v>K.Nancy</v>
      </c>
      <c r="N882" s="6">
        <f t="shared" si="155"/>
        <v>0</v>
      </c>
      <c r="O882" s="6">
        <f t="shared" si="154"/>
        <v>0</v>
      </c>
      <c r="P882" s="6" t="str">
        <f t="shared" si="150"/>
        <v>N</v>
      </c>
      <c r="Q882" s="6">
        <f t="shared" si="151"/>
        <v>11</v>
      </c>
      <c r="R882" s="6" t="str">
        <f t="shared" si="152"/>
        <v>2024</v>
      </c>
      <c r="S882" s="6" t="str">
        <f t="shared" si="153"/>
        <v>Apr</v>
      </c>
    </row>
    <row r="883" spans="1:19" x14ac:dyDescent="0.25">
      <c r="A883" s="6">
        <v>393</v>
      </c>
      <c r="B883" s="6" t="str">
        <f t="shared" si="145"/>
        <v>NIKMAN00393</v>
      </c>
      <c r="C883" s="7" t="s">
        <v>563</v>
      </c>
      <c r="D883" s="7" t="s">
        <v>60</v>
      </c>
      <c r="E883" s="7" t="str">
        <f t="shared" si="146"/>
        <v>GAYATRI AJAY</v>
      </c>
      <c r="F883" s="7" t="s">
        <v>14</v>
      </c>
      <c r="G883" s="22">
        <v>45394</v>
      </c>
      <c r="H883" s="8">
        <v>95517</v>
      </c>
      <c r="I883" s="7" t="str">
        <f t="shared" si="147"/>
        <v>gayatri.ajay@ma.ajy.ba</v>
      </c>
      <c r="J883" s="6" t="s">
        <v>1537</v>
      </c>
      <c r="K883" s="6">
        <v>76</v>
      </c>
      <c r="L883" s="7" t="str">
        <f t="shared" si="148"/>
        <v>ma.ajy.ba</v>
      </c>
      <c r="M883" s="7" t="str">
        <f t="shared" si="149"/>
        <v>A.Gayatri</v>
      </c>
      <c r="N883" s="6">
        <f t="shared" si="155"/>
        <v>0</v>
      </c>
      <c r="O883" s="6">
        <f t="shared" si="154"/>
        <v>0</v>
      </c>
      <c r="P883" s="6" t="str">
        <f t="shared" si="150"/>
        <v>N</v>
      </c>
      <c r="Q883" s="6">
        <f t="shared" si="151"/>
        <v>11</v>
      </c>
      <c r="R883" s="6" t="str">
        <f t="shared" si="152"/>
        <v>2024</v>
      </c>
      <c r="S883" s="6" t="str">
        <f t="shared" si="153"/>
        <v>Apr</v>
      </c>
    </row>
    <row r="884" spans="1:19" x14ac:dyDescent="0.25">
      <c r="A884" s="6">
        <v>430</v>
      </c>
      <c r="B884" s="6" t="str">
        <f t="shared" si="145"/>
        <v>NIKMAN00430</v>
      </c>
      <c r="C884" s="7" t="s">
        <v>188</v>
      </c>
      <c r="D884" s="7" t="s">
        <v>606</v>
      </c>
      <c r="E884" s="7" t="str">
        <f t="shared" si="146"/>
        <v>JAY KISHORBHAI</v>
      </c>
      <c r="F884" s="7" t="s">
        <v>14</v>
      </c>
      <c r="G884" s="22">
        <v>45516</v>
      </c>
      <c r="H884" s="8">
        <v>48353</v>
      </c>
      <c r="I884" s="7" t="str">
        <f t="shared" si="147"/>
        <v>jay.kishorbhai@ma.kii.ba</v>
      </c>
      <c r="J884" s="6" t="s">
        <v>1541</v>
      </c>
      <c r="K884" s="6">
        <v>73</v>
      </c>
      <c r="L884" s="7" t="str">
        <f t="shared" si="148"/>
        <v>ma.kii.ba</v>
      </c>
      <c r="M884" s="7" t="str">
        <f t="shared" si="149"/>
        <v>K.Jay</v>
      </c>
      <c r="N884" s="6">
        <f t="shared" si="155"/>
        <v>0</v>
      </c>
      <c r="O884" s="6">
        <f t="shared" si="154"/>
        <v>0</v>
      </c>
      <c r="P884" s="6" t="str">
        <f t="shared" si="150"/>
        <v>N</v>
      </c>
      <c r="Q884" s="6">
        <f t="shared" si="151"/>
        <v>13</v>
      </c>
      <c r="R884" s="6" t="str">
        <f t="shared" si="152"/>
        <v>2024</v>
      </c>
      <c r="S884" s="6" t="str">
        <f t="shared" si="153"/>
        <v>Aug</v>
      </c>
    </row>
    <row r="885" spans="1:19" x14ac:dyDescent="0.25">
      <c r="A885" s="6">
        <v>453</v>
      </c>
      <c r="B885" s="6" t="str">
        <f t="shared" si="145"/>
        <v>NIKMAN00453</v>
      </c>
      <c r="C885" s="7" t="s">
        <v>80</v>
      </c>
      <c r="D885" s="7" t="s">
        <v>634</v>
      </c>
      <c r="E885" s="7" t="str">
        <f t="shared" si="146"/>
        <v>PRASHANT VASANTBHAI</v>
      </c>
      <c r="F885" s="7" t="s">
        <v>14</v>
      </c>
      <c r="G885" s="22">
        <v>45568</v>
      </c>
      <c r="H885" s="8">
        <v>71212</v>
      </c>
      <c r="I885" s="7" t="str">
        <f t="shared" si="147"/>
        <v>prashant.vasantbhai@ma.vai.ba</v>
      </c>
      <c r="J885" s="6" t="s">
        <v>1550</v>
      </c>
      <c r="K885" s="6">
        <v>66</v>
      </c>
      <c r="L885" s="7" t="str">
        <f t="shared" si="148"/>
        <v>ma.vai.ba</v>
      </c>
      <c r="M885" s="7" t="str">
        <f t="shared" si="149"/>
        <v>V.Prashant</v>
      </c>
      <c r="N885" s="6">
        <f t="shared" si="155"/>
        <v>0</v>
      </c>
      <c r="O885" s="6">
        <f t="shared" si="154"/>
        <v>0</v>
      </c>
      <c r="P885" s="6" t="str">
        <f t="shared" si="150"/>
        <v>N</v>
      </c>
      <c r="Q885" s="6">
        <f t="shared" si="151"/>
        <v>18</v>
      </c>
      <c r="R885" s="6" t="str">
        <f t="shared" si="152"/>
        <v>2024</v>
      </c>
      <c r="S885" s="6" t="str">
        <f t="shared" si="153"/>
        <v>Oct</v>
      </c>
    </row>
    <row r="886" spans="1:19" x14ac:dyDescent="0.25">
      <c r="A886" s="6">
        <v>456</v>
      </c>
      <c r="B886" s="6" t="str">
        <f t="shared" si="145"/>
        <v>NIKMAN00456</v>
      </c>
      <c r="C886" s="7" t="s">
        <v>636</v>
      </c>
      <c r="D886" s="7" t="s">
        <v>637</v>
      </c>
      <c r="E886" s="7" t="str">
        <f t="shared" si="146"/>
        <v>ABHIK NANDY</v>
      </c>
      <c r="F886" s="7" t="s">
        <v>14</v>
      </c>
      <c r="G886" s="22">
        <v>45579</v>
      </c>
      <c r="H886" s="8">
        <v>107867</v>
      </c>
      <c r="I886" s="7" t="str">
        <f t="shared" si="147"/>
        <v>abhik.nandy@ma.nay.ba</v>
      </c>
      <c r="J886" s="6" t="s">
        <v>1535</v>
      </c>
      <c r="K886" s="6">
        <v>64</v>
      </c>
      <c r="L886" s="7" t="str">
        <f t="shared" si="148"/>
        <v>ma.nay.ba</v>
      </c>
      <c r="M886" s="7" t="str">
        <f t="shared" si="149"/>
        <v>N.Abhik</v>
      </c>
      <c r="N886" s="6">
        <f t="shared" si="155"/>
        <v>0</v>
      </c>
      <c r="O886" s="6">
        <f t="shared" si="154"/>
        <v>0</v>
      </c>
      <c r="P886" s="6" t="str">
        <f t="shared" si="150"/>
        <v>N</v>
      </c>
      <c r="Q886" s="6">
        <f t="shared" si="151"/>
        <v>10</v>
      </c>
      <c r="R886" s="6" t="str">
        <f t="shared" si="152"/>
        <v>2024</v>
      </c>
      <c r="S886" s="6" t="str">
        <f t="shared" si="153"/>
        <v>Oct</v>
      </c>
    </row>
    <row r="887" spans="1:19" x14ac:dyDescent="0.25">
      <c r="A887" s="6">
        <v>457</v>
      </c>
      <c r="B887" s="6" t="str">
        <f t="shared" si="145"/>
        <v>NIKMAN00457</v>
      </c>
      <c r="C887" s="7" t="s">
        <v>305</v>
      </c>
      <c r="D887" s="7" t="s">
        <v>211</v>
      </c>
      <c r="E887" s="7" t="str">
        <f t="shared" si="146"/>
        <v>VAISHNAVI ASHOK</v>
      </c>
      <c r="F887" s="7" t="s">
        <v>14</v>
      </c>
      <c r="G887" s="22">
        <v>45579</v>
      </c>
      <c r="H887" s="8">
        <v>107986</v>
      </c>
      <c r="I887" s="7" t="str">
        <f t="shared" si="147"/>
        <v>vaishnavi.ashok@ma.ask.ba</v>
      </c>
      <c r="J887" s="6" t="s">
        <v>1544</v>
      </c>
      <c r="K887" s="6">
        <v>67</v>
      </c>
      <c r="L887" s="7" t="str">
        <f t="shared" si="148"/>
        <v>ma.ask.ba</v>
      </c>
      <c r="M887" s="7" t="str">
        <f t="shared" si="149"/>
        <v>A.Vaishnavi</v>
      </c>
      <c r="N887" s="6">
        <f t="shared" si="155"/>
        <v>0</v>
      </c>
      <c r="O887" s="6">
        <f t="shared" si="154"/>
        <v>0</v>
      </c>
      <c r="P887" s="6" t="str">
        <f t="shared" si="150"/>
        <v>N</v>
      </c>
      <c r="Q887" s="6">
        <f t="shared" si="151"/>
        <v>14</v>
      </c>
      <c r="R887" s="6" t="str">
        <f t="shared" si="152"/>
        <v>2024</v>
      </c>
      <c r="S887" s="6" t="str">
        <f t="shared" si="153"/>
        <v>Oct</v>
      </c>
    </row>
    <row r="888" spans="1:19" x14ac:dyDescent="0.25">
      <c r="A888" s="6">
        <v>459</v>
      </c>
      <c r="B888" s="6" t="str">
        <f t="shared" si="145"/>
        <v>NIKMAN00459</v>
      </c>
      <c r="C888" s="7" t="s">
        <v>640</v>
      </c>
      <c r="D888" s="7" t="s">
        <v>476</v>
      </c>
      <c r="E888" s="7" t="str">
        <f t="shared" si="146"/>
        <v>ANSHUL DWIVEDI</v>
      </c>
      <c r="F888" s="7" t="s">
        <v>14</v>
      </c>
      <c r="G888" s="22">
        <v>45579</v>
      </c>
      <c r="H888" s="8">
        <v>68361</v>
      </c>
      <c r="I888" s="7" t="str">
        <f t="shared" si="147"/>
        <v>anshul.dwivedi@ma.dwi.ba</v>
      </c>
      <c r="J888" s="6" t="s">
        <v>1544</v>
      </c>
      <c r="K888" s="6">
        <v>52</v>
      </c>
      <c r="L888" s="7" t="str">
        <f t="shared" si="148"/>
        <v>ma.dwi.ba</v>
      </c>
      <c r="M888" s="7" t="str">
        <f t="shared" si="149"/>
        <v>D.Anshul</v>
      </c>
      <c r="N888" s="6">
        <f t="shared" si="155"/>
        <v>0</v>
      </c>
      <c r="O888" s="6">
        <f t="shared" si="154"/>
        <v>5</v>
      </c>
      <c r="P888" s="6" t="str">
        <f t="shared" si="150"/>
        <v>N</v>
      </c>
      <c r="Q888" s="6">
        <f t="shared" si="151"/>
        <v>13</v>
      </c>
      <c r="R888" s="6" t="str">
        <f t="shared" si="152"/>
        <v>2024</v>
      </c>
      <c r="S888" s="6" t="str">
        <f t="shared" si="153"/>
        <v>Oct</v>
      </c>
    </row>
    <row r="889" spans="1:19" x14ac:dyDescent="0.25">
      <c r="A889" s="6">
        <v>472</v>
      </c>
      <c r="B889" s="6" t="str">
        <f t="shared" si="145"/>
        <v>NIKMAN00472</v>
      </c>
      <c r="C889" s="7" t="s">
        <v>653</v>
      </c>
      <c r="D889" s="7" t="s">
        <v>654</v>
      </c>
      <c r="E889" s="7" t="str">
        <f t="shared" si="146"/>
        <v>SUNITI SHAH</v>
      </c>
      <c r="F889" s="7" t="s">
        <v>14</v>
      </c>
      <c r="G889" s="22">
        <v>45628</v>
      </c>
      <c r="H889" s="8">
        <v>45410</v>
      </c>
      <c r="I889" s="7" t="str">
        <f t="shared" si="147"/>
        <v>suniti.shah@ma.shh.ba</v>
      </c>
      <c r="J889" s="6" t="s">
        <v>1542</v>
      </c>
      <c r="K889" s="6">
        <v>55</v>
      </c>
      <c r="L889" s="7" t="str">
        <f t="shared" si="148"/>
        <v>ma.shh.ba</v>
      </c>
      <c r="M889" s="7" t="str">
        <f t="shared" si="149"/>
        <v>S.Suniti</v>
      </c>
      <c r="N889" s="6">
        <f t="shared" si="155"/>
        <v>0</v>
      </c>
      <c r="O889" s="6">
        <f t="shared" si="154"/>
        <v>0</v>
      </c>
      <c r="P889" s="6" t="str">
        <f t="shared" si="150"/>
        <v>N</v>
      </c>
      <c r="Q889" s="6">
        <f t="shared" si="151"/>
        <v>10</v>
      </c>
      <c r="R889" s="6" t="str">
        <f t="shared" si="152"/>
        <v>2024</v>
      </c>
      <c r="S889" s="6" t="str">
        <f t="shared" si="153"/>
        <v>Dec</v>
      </c>
    </row>
    <row r="890" spans="1:19" x14ac:dyDescent="0.25">
      <c r="A890" s="6">
        <v>473</v>
      </c>
      <c r="B890" s="6" t="str">
        <f t="shared" si="145"/>
        <v>NIKMAN00473</v>
      </c>
      <c r="C890" s="7" t="s">
        <v>655</v>
      </c>
      <c r="D890" s="7" t="s">
        <v>656</v>
      </c>
      <c r="E890" s="7" t="str">
        <f t="shared" si="146"/>
        <v>YASHVI KELLA</v>
      </c>
      <c r="F890" s="7" t="s">
        <v>14</v>
      </c>
      <c r="G890" s="22">
        <v>45628</v>
      </c>
      <c r="H890" s="8">
        <v>47453</v>
      </c>
      <c r="I890" s="7" t="str">
        <f t="shared" si="147"/>
        <v>yashvi.kella@ma.kea.ba</v>
      </c>
      <c r="J890" s="6" t="s">
        <v>1540</v>
      </c>
      <c r="K890" s="6">
        <v>54</v>
      </c>
      <c r="L890" s="7" t="str">
        <f t="shared" si="148"/>
        <v>ma.kea.ba</v>
      </c>
      <c r="M890" s="7" t="str">
        <f t="shared" si="149"/>
        <v>K.Yashvi</v>
      </c>
      <c r="N890" s="6">
        <f t="shared" si="155"/>
        <v>0</v>
      </c>
      <c r="O890" s="6">
        <f t="shared" si="154"/>
        <v>2</v>
      </c>
      <c r="P890" s="6" t="str">
        <f t="shared" si="150"/>
        <v>N</v>
      </c>
      <c r="Q890" s="6">
        <f t="shared" si="151"/>
        <v>11</v>
      </c>
      <c r="R890" s="6" t="str">
        <f t="shared" si="152"/>
        <v>2024</v>
      </c>
      <c r="S890" s="6" t="str">
        <f t="shared" si="153"/>
        <v>Dec</v>
      </c>
    </row>
    <row r="891" spans="1:19" x14ac:dyDescent="0.25">
      <c r="A891" s="6">
        <v>476</v>
      </c>
      <c r="B891" s="6" t="str">
        <f t="shared" si="145"/>
        <v>NIKMAN00476</v>
      </c>
      <c r="C891" s="7" t="s">
        <v>661</v>
      </c>
      <c r="D891" s="7" t="s">
        <v>76</v>
      </c>
      <c r="E891" s="7" t="str">
        <f t="shared" si="146"/>
        <v>KRITIKKA TRIVEDI</v>
      </c>
      <c r="F891" s="7" t="s">
        <v>14</v>
      </c>
      <c r="G891" s="22">
        <v>45630</v>
      </c>
      <c r="H891" s="8">
        <v>58264</v>
      </c>
      <c r="I891" s="7" t="str">
        <f t="shared" si="147"/>
        <v>kritikka.trivedi@ma.tri.ba</v>
      </c>
      <c r="J891" s="6" t="s">
        <v>1535</v>
      </c>
      <c r="K891" s="6">
        <v>49</v>
      </c>
      <c r="L891" s="7" t="str">
        <f t="shared" si="148"/>
        <v>ma.tri.ba</v>
      </c>
      <c r="M891" s="7" t="str">
        <f t="shared" si="149"/>
        <v>T.Kritikka</v>
      </c>
      <c r="N891" s="6">
        <f t="shared" si="155"/>
        <v>0</v>
      </c>
      <c r="O891" s="6">
        <f t="shared" si="154"/>
        <v>5</v>
      </c>
      <c r="P891" s="6" t="str">
        <f t="shared" si="150"/>
        <v>N</v>
      </c>
      <c r="Q891" s="6">
        <f t="shared" si="151"/>
        <v>15</v>
      </c>
      <c r="R891" s="6" t="str">
        <f t="shared" si="152"/>
        <v>2024</v>
      </c>
      <c r="S891" s="6" t="str">
        <f t="shared" si="153"/>
        <v>Dec</v>
      </c>
    </row>
    <row r="892" spans="1:19" x14ac:dyDescent="0.25">
      <c r="A892" s="6">
        <v>507</v>
      </c>
      <c r="B892" s="6" t="str">
        <f t="shared" si="145"/>
        <v>NIKMAN00507</v>
      </c>
      <c r="C892" s="7" t="s">
        <v>592</v>
      </c>
      <c r="D892" s="7" t="s">
        <v>692</v>
      </c>
      <c r="E892" s="7" t="str">
        <f t="shared" si="146"/>
        <v>DHWANI YAKILBHAI</v>
      </c>
      <c r="F892" s="7" t="s">
        <v>14</v>
      </c>
      <c r="G892" s="22">
        <v>42438</v>
      </c>
      <c r="H892" s="8">
        <v>79461</v>
      </c>
      <c r="I892" s="7" t="str">
        <f t="shared" si="147"/>
        <v>dhwani.yakilbhai@ma.yai.ba</v>
      </c>
      <c r="J892" s="6" t="s">
        <v>1545</v>
      </c>
      <c r="K892" s="6">
        <v>82</v>
      </c>
      <c r="L892" s="7" t="str">
        <f t="shared" si="148"/>
        <v>ma.yai.ba</v>
      </c>
      <c r="M892" s="7" t="str">
        <f t="shared" si="149"/>
        <v>Y.Dhwani</v>
      </c>
      <c r="N892" s="6">
        <f t="shared" si="155"/>
        <v>0</v>
      </c>
      <c r="O892" s="6">
        <f t="shared" si="154"/>
        <v>0</v>
      </c>
      <c r="P892" s="6" t="str">
        <f t="shared" si="150"/>
        <v>N</v>
      </c>
      <c r="Q892" s="6">
        <f t="shared" si="151"/>
        <v>15</v>
      </c>
      <c r="R892" s="6" t="str">
        <f t="shared" si="152"/>
        <v>2016</v>
      </c>
      <c r="S892" s="6" t="str">
        <f t="shared" si="153"/>
        <v>Mar</v>
      </c>
    </row>
    <row r="893" spans="1:19" x14ac:dyDescent="0.25">
      <c r="A893" s="6">
        <v>510</v>
      </c>
      <c r="B893" s="6" t="str">
        <f t="shared" si="145"/>
        <v>NIKMAN00510</v>
      </c>
      <c r="C893" s="7" t="s">
        <v>18</v>
      </c>
      <c r="D893" s="7" t="s">
        <v>694</v>
      </c>
      <c r="E893" s="7" t="str">
        <f t="shared" si="146"/>
        <v>MOHIT MUNDRA</v>
      </c>
      <c r="F893" s="7" t="s">
        <v>14</v>
      </c>
      <c r="G893" s="22">
        <v>42830</v>
      </c>
      <c r="H893" s="8">
        <v>55060</v>
      </c>
      <c r="I893" s="7" t="str">
        <f t="shared" si="147"/>
        <v>mohit.mundra@ma.mua.ba</v>
      </c>
      <c r="J893" s="6" t="s">
        <v>1547</v>
      </c>
      <c r="K893" s="6">
        <v>70</v>
      </c>
      <c r="L893" s="7" t="str">
        <f t="shared" si="148"/>
        <v>ma.mua.ba</v>
      </c>
      <c r="M893" s="7" t="str">
        <f t="shared" si="149"/>
        <v>M.Mohit</v>
      </c>
      <c r="N893" s="6">
        <f t="shared" si="155"/>
        <v>0</v>
      </c>
      <c r="O893" s="6">
        <f t="shared" si="154"/>
        <v>0</v>
      </c>
      <c r="P893" s="6" t="str">
        <f t="shared" si="150"/>
        <v>N</v>
      </c>
      <c r="Q893" s="6">
        <f t="shared" si="151"/>
        <v>11</v>
      </c>
      <c r="R893" s="6" t="str">
        <f t="shared" si="152"/>
        <v>2017</v>
      </c>
      <c r="S893" s="6" t="str">
        <f t="shared" si="153"/>
        <v>Apr</v>
      </c>
    </row>
    <row r="894" spans="1:19" x14ac:dyDescent="0.25">
      <c r="A894" s="6">
        <v>517</v>
      </c>
      <c r="B894" s="6" t="str">
        <f t="shared" si="145"/>
        <v>NIKMAN00517</v>
      </c>
      <c r="C894" s="7" t="s">
        <v>701</v>
      </c>
      <c r="D894" s="7" t="s">
        <v>62</v>
      </c>
      <c r="E894" s="7" t="str">
        <f t="shared" si="146"/>
        <v>SALABH JAIN</v>
      </c>
      <c r="F894" s="7" t="s">
        <v>14</v>
      </c>
      <c r="G894" s="22">
        <v>41967</v>
      </c>
      <c r="H894" s="8">
        <v>98172</v>
      </c>
      <c r="I894" s="7" t="str">
        <f t="shared" si="147"/>
        <v>salabh.jain@ma.jan.ba</v>
      </c>
      <c r="J894" s="6" t="s">
        <v>1539</v>
      </c>
      <c r="K894" s="6">
        <v>68</v>
      </c>
      <c r="L894" s="7" t="str">
        <f t="shared" si="148"/>
        <v>ma.jan.ba</v>
      </c>
      <c r="M894" s="7" t="str">
        <f t="shared" si="149"/>
        <v>J.Salabh</v>
      </c>
      <c r="N894" s="6">
        <f t="shared" si="155"/>
        <v>0</v>
      </c>
      <c r="O894" s="6">
        <f t="shared" si="154"/>
        <v>0</v>
      </c>
      <c r="P894" s="6" t="str">
        <f t="shared" si="150"/>
        <v>N</v>
      </c>
      <c r="Q894" s="6">
        <f t="shared" si="151"/>
        <v>10</v>
      </c>
      <c r="R894" s="6" t="str">
        <f t="shared" si="152"/>
        <v>2014</v>
      </c>
      <c r="S894" s="6" t="str">
        <f t="shared" si="153"/>
        <v>Nov</v>
      </c>
    </row>
    <row r="895" spans="1:19" x14ac:dyDescent="0.25">
      <c r="A895" s="6">
        <v>518</v>
      </c>
      <c r="B895" s="6" t="str">
        <f t="shared" si="145"/>
        <v>NIKMAN00518</v>
      </c>
      <c r="C895" s="7" t="s">
        <v>702</v>
      </c>
      <c r="D895" s="7" t="s">
        <v>703</v>
      </c>
      <c r="E895" s="7" t="str">
        <f t="shared" si="146"/>
        <v>NAIM SULEMAN</v>
      </c>
      <c r="F895" s="7" t="s">
        <v>14</v>
      </c>
      <c r="G895" s="22">
        <v>42604</v>
      </c>
      <c r="H895" s="8">
        <v>59204</v>
      </c>
      <c r="I895" s="7" t="str">
        <f t="shared" si="147"/>
        <v>naim.suleman@ma.sun.ba</v>
      </c>
      <c r="J895" s="6" t="s">
        <v>1550</v>
      </c>
      <c r="K895" s="6">
        <v>54</v>
      </c>
      <c r="L895" s="7" t="str">
        <f t="shared" si="148"/>
        <v>ma.sun.ba</v>
      </c>
      <c r="M895" s="7" t="str">
        <f t="shared" si="149"/>
        <v>S.Naim</v>
      </c>
      <c r="N895" s="6">
        <f t="shared" si="155"/>
        <v>0</v>
      </c>
      <c r="O895" s="6">
        <f t="shared" si="154"/>
        <v>4</v>
      </c>
      <c r="P895" s="6" t="str">
        <f t="shared" si="150"/>
        <v>N</v>
      </c>
      <c r="Q895" s="6">
        <f t="shared" si="151"/>
        <v>11</v>
      </c>
      <c r="R895" s="6" t="str">
        <f t="shared" si="152"/>
        <v>2016</v>
      </c>
      <c r="S895" s="6" t="str">
        <f t="shared" si="153"/>
        <v>Aug</v>
      </c>
    </row>
    <row r="896" spans="1:19" x14ac:dyDescent="0.25">
      <c r="A896" s="6">
        <v>532</v>
      </c>
      <c r="B896" s="6" t="str">
        <f t="shared" si="145"/>
        <v>NIKMAN00532</v>
      </c>
      <c r="C896" s="7" t="s">
        <v>717</v>
      </c>
      <c r="D896" s="7" t="s">
        <v>70</v>
      </c>
      <c r="E896" s="7" t="str">
        <f t="shared" si="146"/>
        <v>INDERPAL SINGH</v>
      </c>
      <c r="F896" s="7" t="s">
        <v>14</v>
      </c>
      <c r="G896" s="22">
        <v>42803</v>
      </c>
      <c r="H896" s="8">
        <v>44998</v>
      </c>
      <c r="I896" s="7" t="str">
        <f t="shared" si="147"/>
        <v>inderpal.singh@ma.sih.ba</v>
      </c>
      <c r="J896" s="6" t="s">
        <v>1546</v>
      </c>
      <c r="K896" s="6">
        <v>49</v>
      </c>
      <c r="L896" s="7" t="str">
        <f t="shared" si="148"/>
        <v>ma.sih.ba</v>
      </c>
      <c r="M896" s="7" t="str">
        <f t="shared" si="149"/>
        <v>S.Inderpal</v>
      </c>
      <c r="N896" s="6">
        <f t="shared" si="155"/>
        <v>4</v>
      </c>
      <c r="O896" s="6">
        <f t="shared" si="154"/>
        <v>0</v>
      </c>
      <c r="P896" s="6" t="str">
        <f t="shared" si="150"/>
        <v>N</v>
      </c>
      <c r="Q896" s="6">
        <f t="shared" si="151"/>
        <v>13</v>
      </c>
      <c r="R896" s="6" t="str">
        <f t="shared" si="152"/>
        <v>2017</v>
      </c>
      <c r="S896" s="6" t="str">
        <f t="shared" si="153"/>
        <v>Mar</v>
      </c>
    </row>
    <row r="897" spans="1:19" x14ac:dyDescent="0.25">
      <c r="A897" s="6">
        <v>537</v>
      </c>
      <c r="B897" s="6" t="str">
        <f t="shared" si="145"/>
        <v>NIKMAN00537</v>
      </c>
      <c r="C897" s="7" t="s">
        <v>720</v>
      </c>
      <c r="D897" s="7" t="s">
        <v>70</v>
      </c>
      <c r="E897" s="7" t="str">
        <f t="shared" si="146"/>
        <v>JUGRAJ SINGH</v>
      </c>
      <c r="F897" s="7" t="s">
        <v>14</v>
      </c>
      <c r="G897" s="22">
        <v>42527</v>
      </c>
      <c r="H897" s="8">
        <v>34386</v>
      </c>
      <c r="I897" s="7" t="str">
        <f t="shared" si="147"/>
        <v>jugraj.singh@ma.sih.ba</v>
      </c>
      <c r="J897" s="6" t="s">
        <v>1541</v>
      </c>
      <c r="K897" s="6">
        <v>80</v>
      </c>
      <c r="L897" s="7" t="str">
        <f t="shared" si="148"/>
        <v>ma.sih.ba</v>
      </c>
      <c r="M897" s="7" t="str">
        <f t="shared" si="149"/>
        <v>S.Jugraj</v>
      </c>
      <c r="N897" s="6">
        <f t="shared" si="155"/>
        <v>0</v>
      </c>
      <c r="O897" s="6">
        <f t="shared" si="154"/>
        <v>0</v>
      </c>
      <c r="P897" s="6" t="str">
        <f t="shared" si="150"/>
        <v>N</v>
      </c>
      <c r="Q897" s="6">
        <f t="shared" si="151"/>
        <v>11</v>
      </c>
      <c r="R897" s="6" t="str">
        <f t="shared" si="152"/>
        <v>2016</v>
      </c>
      <c r="S897" s="6" t="str">
        <f t="shared" si="153"/>
        <v>Jun</v>
      </c>
    </row>
    <row r="898" spans="1:19" x14ac:dyDescent="0.25">
      <c r="A898" s="6">
        <v>542</v>
      </c>
      <c r="B898" s="6" t="str">
        <f t="shared" ref="B898:B961" si="156">_xlfn.TEXTJOIN("",TRUE,"NIK",UPPER(LEFT(SUBSTITUTE(SUBSTITUTE(F898," ",""),"&amp;",""),3)),TEXT(A898,"00000"))</f>
        <v>NIKMAN00542</v>
      </c>
      <c r="C898" s="7" t="s">
        <v>724</v>
      </c>
      <c r="D898" s="7" t="s">
        <v>725</v>
      </c>
      <c r="E898" s="7" t="str">
        <f t="shared" ref="E898:E961" si="157">_xlfn.TEXTJOIN(" ",TRUE,C898,D898)</f>
        <v>MANISHA L</v>
      </c>
      <c r="F898" s="7" t="s">
        <v>14</v>
      </c>
      <c r="G898" s="22">
        <v>42861</v>
      </c>
      <c r="H898" s="8">
        <v>54728</v>
      </c>
      <c r="I898" s="7" t="str">
        <f t="shared" ref="I898:I961" si="158">LOWER(C898&amp;"."&amp;D898&amp;"@"&amp;LEFT(SUBSTITUTE(F898," ",""),2))&amp;LOWER("."&amp;LEFT(D898,2))&amp;LOWER(RIGHT(D898,1))&amp;".ba"</f>
        <v>manisha.l@ma.ll.ba</v>
      </c>
      <c r="J898" s="6" t="s">
        <v>1544</v>
      </c>
      <c r="K898" s="6">
        <v>45</v>
      </c>
      <c r="L898" s="7" t="str">
        <f t="shared" ref="L898:L961" si="159">RIGHT(I898,LEN(I898)-FIND("@",I898))</f>
        <v>ma.ll.ba</v>
      </c>
      <c r="M898" s="7" t="str">
        <f t="shared" ref="M898:M961" si="160">UPPER(LEFT(D898,1))&amp;"."&amp;PROPER(C898)</f>
        <v>L.Manisha</v>
      </c>
      <c r="N898" s="6">
        <f t="shared" si="155"/>
        <v>0</v>
      </c>
      <c r="O898" s="6">
        <f t="shared" si="154"/>
        <v>0</v>
      </c>
      <c r="P898" s="6" t="str">
        <f t="shared" ref="P898:P961" si="161">IF(AND(N898&gt;=1,O898&gt;=1),"Y","N")</f>
        <v>N</v>
      </c>
      <c r="Q898" s="6">
        <f t="shared" ref="Q898:Q961" si="162">LEN(SUBSTITUTE(E898, " ", ""))</f>
        <v>8</v>
      </c>
      <c r="R898" s="6" t="str">
        <f t="shared" ref="R898:R961" si="163">TEXT(G898,"YYYY")</f>
        <v>2017</v>
      </c>
      <c r="S898" s="6" t="str">
        <f t="shared" ref="S898:S961" si="164">TEXT(G898,"MMM")</f>
        <v>May</v>
      </c>
    </row>
    <row r="899" spans="1:19" x14ac:dyDescent="0.25">
      <c r="A899" s="6">
        <v>555</v>
      </c>
      <c r="B899" s="6" t="str">
        <f t="shared" si="156"/>
        <v>NIKMAN00555</v>
      </c>
      <c r="C899" s="7" t="s">
        <v>733</v>
      </c>
      <c r="D899" s="7" t="s">
        <v>734</v>
      </c>
      <c r="E899" s="7" t="str">
        <f t="shared" si="157"/>
        <v>HEMAL LALITBHAI</v>
      </c>
      <c r="F899" s="7" t="s">
        <v>14</v>
      </c>
      <c r="G899" s="22">
        <v>42555</v>
      </c>
      <c r="H899" s="8">
        <v>38431</v>
      </c>
      <c r="I899" s="7" t="str">
        <f t="shared" si="158"/>
        <v>hemal.lalitbhai@ma.lai.ba</v>
      </c>
      <c r="J899" s="6" t="s">
        <v>1544</v>
      </c>
      <c r="K899" s="6">
        <v>65</v>
      </c>
      <c r="L899" s="7" t="str">
        <f t="shared" si="159"/>
        <v>ma.lai.ba</v>
      </c>
      <c r="M899" s="7" t="str">
        <f t="shared" si="160"/>
        <v>L.Hemal</v>
      </c>
      <c r="N899" s="6">
        <f t="shared" si="155"/>
        <v>2</v>
      </c>
      <c r="O899" s="6">
        <f t="shared" si="154"/>
        <v>0</v>
      </c>
      <c r="P899" s="6" t="str">
        <f t="shared" si="161"/>
        <v>N</v>
      </c>
      <c r="Q899" s="6">
        <f t="shared" si="162"/>
        <v>14</v>
      </c>
      <c r="R899" s="6" t="str">
        <f t="shared" si="163"/>
        <v>2016</v>
      </c>
      <c r="S899" s="6" t="str">
        <f t="shared" si="164"/>
        <v>Jul</v>
      </c>
    </row>
    <row r="900" spans="1:19" x14ac:dyDescent="0.25">
      <c r="A900" s="6">
        <v>567</v>
      </c>
      <c r="B900" s="6" t="str">
        <f t="shared" si="156"/>
        <v>NIKMAN00567</v>
      </c>
      <c r="C900" s="7" t="s">
        <v>744</v>
      </c>
      <c r="D900" s="7" t="s">
        <v>745</v>
      </c>
      <c r="E900" s="7" t="str">
        <f t="shared" si="157"/>
        <v>ASHWINI AMBADAS</v>
      </c>
      <c r="F900" s="7" t="s">
        <v>14</v>
      </c>
      <c r="G900" s="22">
        <v>42751</v>
      </c>
      <c r="H900" s="8">
        <v>64844</v>
      </c>
      <c r="I900" s="7" t="str">
        <f t="shared" si="158"/>
        <v>ashwini.ambadas@ma.ams.ba</v>
      </c>
      <c r="J900" s="6" t="s">
        <v>1542</v>
      </c>
      <c r="K900" s="6">
        <v>81</v>
      </c>
      <c r="L900" s="7" t="str">
        <f t="shared" si="159"/>
        <v>ma.ams.ba</v>
      </c>
      <c r="M900" s="7" t="str">
        <f t="shared" si="160"/>
        <v>A.Ashwini</v>
      </c>
      <c r="N900" s="6">
        <f t="shared" si="155"/>
        <v>0</v>
      </c>
      <c r="O900" s="6">
        <f t="shared" si="154"/>
        <v>0</v>
      </c>
      <c r="P900" s="6" t="str">
        <f t="shared" si="161"/>
        <v>N</v>
      </c>
      <c r="Q900" s="6">
        <f t="shared" si="162"/>
        <v>14</v>
      </c>
      <c r="R900" s="6" t="str">
        <f t="shared" si="163"/>
        <v>2017</v>
      </c>
      <c r="S900" s="6" t="str">
        <f t="shared" si="164"/>
        <v>Jan</v>
      </c>
    </row>
    <row r="901" spans="1:19" x14ac:dyDescent="0.25">
      <c r="A901" s="6">
        <v>576</v>
      </c>
      <c r="B901" s="6" t="str">
        <f t="shared" si="156"/>
        <v>NIKMAN00576</v>
      </c>
      <c r="C901" s="7" t="s">
        <v>758</v>
      </c>
      <c r="D901" s="7" t="s">
        <v>68</v>
      </c>
      <c r="E901" s="7" t="str">
        <f t="shared" si="157"/>
        <v>PRABAL KUMAR</v>
      </c>
      <c r="F901" s="7" t="s">
        <v>14</v>
      </c>
      <c r="G901" s="22">
        <v>39667</v>
      </c>
      <c r="H901" s="8">
        <v>25018</v>
      </c>
      <c r="I901" s="7" t="str">
        <f t="shared" si="158"/>
        <v>prabal.kumar@ma.kur.ba</v>
      </c>
      <c r="J901" s="6" t="s">
        <v>1532</v>
      </c>
      <c r="K901" s="6">
        <v>52</v>
      </c>
      <c r="L901" s="7" t="str">
        <f t="shared" si="159"/>
        <v>ma.kur.ba</v>
      </c>
      <c r="M901" s="7" t="str">
        <f t="shared" si="160"/>
        <v>K.Prabal</v>
      </c>
      <c r="N901" s="6">
        <f t="shared" si="155"/>
        <v>0</v>
      </c>
      <c r="O901" s="6">
        <f t="shared" si="154"/>
        <v>0</v>
      </c>
      <c r="P901" s="6" t="str">
        <f t="shared" si="161"/>
        <v>N</v>
      </c>
      <c r="Q901" s="6">
        <f t="shared" si="162"/>
        <v>11</v>
      </c>
      <c r="R901" s="6" t="str">
        <f t="shared" si="163"/>
        <v>2008</v>
      </c>
      <c r="S901" s="6" t="str">
        <f t="shared" si="164"/>
        <v>Aug</v>
      </c>
    </row>
    <row r="902" spans="1:19" x14ac:dyDescent="0.25">
      <c r="A902" s="6">
        <v>597</v>
      </c>
      <c r="B902" s="6" t="str">
        <f t="shared" si="156"/>
        <v>NIKMAN00597</v>
      </c>
      <c r="C902" s="7" t="s">
        <v>776</v>
      </c>
      <c r="D902" s="7" t="s">
        <v>777</v>
      </c>
      <c r="E902" s="7" t="str">
        <f t="shared" si="157"/>
        <v>NAVED ALAM</v>
      </c>
      <c r="F902" s="7" t="s">
        <v>14</v>
      </c>
      <c r="G902" s="22">
        <v>42527</v>
      </c>
      <c r="H902" s="8">
        <v>57499</v>
      </c>
      <c r="I902" s="7" t="str">
        <f t="shared" si="158"/>
        <v>naved.alam@ma.alm.ba</v>
      </c>
      <c r="J902" s="6" t="s">
        <v>1551</v>
      </c>
      <c r="K902" s="6">
        <v>69</v>
      </c>
      <c r="L902" s="7" t="str">
        <f t="shared" si="159"/>
        <v>ma.alm.ba</v>
      </c>
      <c r="M902" s="7" t="str">
        <f t="shared" si="160"/>
        <v>A.Naved</v>
      </c>
      <c r="N902" s="6">
        <f t="shared" si="155"/>
        <v>4</v>
      </c>
      <c r="O902" s="6">
        <f t="shared" si="154"/>
        <v>0</v>
      </c>
      <c r="P902" s="6" t="str">
        <f t="shared" si="161"/>
        <v>N</v>
      </c>
      <c r="Q902" s="6">
        <f t="shared" si="162"/>
        <v>9</v>
      </c>
      <c r="R902" s="6" t="str">
        <f t="shared" si="163"/>
        <v>2016</v>
      </c>
      <c r="S902" s="6" t="str">
        <f t="shared" si="164"/>
        <v>Jun</v>
      </c>
    </row>
    <row r="903" spans="1:19" x14ac:dyDescent="0.25">
      <c r="A903" s="6">
        <v>599</v>
      </c>
      <c r="B903" s="6" t="str">
        <f t="shared" si="156"/>
        <v>NIKMAN00599</v>
      </c>
      <c r="C903" s="7" t="s">
        <v>778</v>
      </c>
      <c r="D903" s="7" t="s">
        <v>779</v>
      </c>
      <c r="E903" s="7" t="str">
        <f t="shared" si="157"/>
        <v>NALINI TUKARAM</v>
      </c>
      <c r="F903" s="7" t="s">
        <v>14</v>
      </c>
      <c r="G903" s="22">
        <v>42590</v>
      </c>
      <c r="H903" s="8">
        <v>53721</v>
      </c>
      <c r="I903" s="7" t="str">
        <f t="shared" si="158"/>
        <v>nalini.tukaram@ma.tum.ba</v>
      </c>
      <c r="J903" s="6" t="s">
        <v>1550</v>
      </c>
      <c r="K903" s="6">
        <v>67</v>
      </c>
      <c r="L903" s="7" t="str">
        <f t="shared" si="159"/>
        <v>ma.tum.ba</v>
      </c>
      <c r="M903" s="7" t="str">
        <f t="shared" si="160"/>
        <v>T.Nalini</v>
      </c>
      <c r="N903" s="6">
        <f t="shared" si="155"/>
        <v>0</v>
      </c>
      <c r="O903" s="6">
        <f t="shared" si="154"/>
        <v>0</v>
      </c>
      <c r="P903" s="6" t="str">
        <f t="shared" si="161"/>
        <v>N</v>
      </c>
      <c r="Q903" s="6">
        <f t="shared" si="162"/>
        <v>13</v>
      </c>
      <c r="R903" s="6" t="str">
        <f t="shared" si="163"/>
        <v>2016</v>
      </c>
      <c r="S903" s="6" t="str">
        <f t="shared" si="164"/>
        <v>Aug</v>
      </c>
    </row>
    <row r="904" spans="1:19" x14ac:dyDescent="0.25">
      <c r="A904" s="6">
        <v>610</v>
      </c>
      <c r="B904" s="6" t="str">
        <f t="shared" si="156"/>
        <v>NIKMAN00610</v>
      </c>
      <c r="C904" s="7" t="s">
        <v>425</v>
      </c>
      <c r="D904" s="7" t="s">
        <v>793</v>
      </c>
      <c r="E904" s="7" t="str">
        <f t="shared" si="157"/>
        <v>VIRAL KESHARIYA</v>
      </c>
      <c r="F904" s="7" t="s">
        <v>14</v>
      </c>
      <c r="G904" s="22">
        <v>43012</v>
      </c>
      <c r="H904" s="8">
        <v>76959</v>
      </c>
      <c r="I904" s="7" t="str">
        <f t="shared" si="158"/>
        <v>viral.keshariya@ma.kea.ba</v>
      </c>
      <c r="J904" s="6" t="s">
        <v>1537</v>
      </c>
      <c r="K904" s="6">
        <v>68</v>
      </c>
      <c r="L904" s="7" t="str">
        <f t="shared" si="159"/>
        <v>ma.kea.ba</v>
      </c>
      <c r="M904" s="7" t="str">
        <f t="shared" si="160"/>
        <v>K.Viral</v>
      </c>
      <c r="N904" s="6">
        <f t="shared" si="155"/>
        <v>0</v>
      </c>
      <c r="O904" s="6">
        <f t="shared" si="154"/>
        <v>2</v>
      </c>
      <c r="P904" s="6" t="str">
        <f t="shared" si="161"/>
        <v>N</v>
      </c>
      <c r="Q904" s="6">
        <f t="shared" si="162"/>
        <v>14</v>
      </c>
      <c r="R904" s="6" t="str">
        <f t="shared" si="163"/>
        <v>2017</v>
      </c>
      <c r="S904" s="6" t="str">
        <f t="shared" si="164"/>
        <v>Oct</v>
      </c>
    </row>
    <row r="905" spans="1:19" x14ac:dyDescent="0.25">
      <c r="A905" s="6">
        <v>624</v>
      </c>
      <c r="B905" s="6" t="str">
        <f t="shared" si="156"/>
        <v>NIKMAN00624</v>
      </c>
      <c r="C905" s="7" t="s">
        <v>669</v>
      </c>
      <c r="D905" s="7" t="s">
        <v>124</v>
      </c>
      <c r="E905" s="7" t="str">
        <f t="shared" si="157"/>
        <v>ANUPAM SHUKLA</v>
      </c>
      <c r="F905" s="7" t="s">
        <v>14</v>
      </c>
      <c r="G905" s="22">
        <v>42830</v>
      </c>
      <c r="H905" s="8">
        <v>104270</v>
      </c>
      <c r="I905" s="7" t="str">
        <f t="shared" si="158"/>
        <v>anupam.shukla@ma.sha.ba</v>
      </c>
      <c r="J905" s="6" t="s">
        <v>1548</v>
      </c>
      <c r="K905" s="6">
        <v>42</v>
      </c>
      <c r="L905" s="7" t="str">
        <f t="shared" si="159"/>
        <v>ma.sha.ba</v>
      </c>
      <c r="M905" s="7" t="str">
        <f t="shared" si="160"/>
        <v>S.Anupam</v>
      </c>
      <c r="N905" s="6">
        <f t="shared" si="155"/>
        <v>0</v>
      </c>
      <c r="O905" s="6">
        <f t="shared" si="154"/>
        <v>0</v>
      </c>
      <c r="P905" s="6" t="str">
        <f t="shared" si="161"/>
        <v>N</v>
      </c>
      <c r="Q905" s="6">
        <f t="shared" si="162"/>
        <v>12</v>
      </c>
      <c r="R905" s="6" t="str">
        <f t="shared" si="163"/>
        <v>2017</v>
      </c>
      <c r="S905" s="6" t="str">
        <f t="shared" si="164"/>
        <v>Apr</v>
      </c>
    </row>
    <row r="906" spans="1:19" x14ac:dyDescent="0.25">
      <c r="A906" s="6">
        <v>641</v>
      </c>
      <c r="B906" s="6" t="str">
        <f t="shared" si="156"/>
        <v>NIKMAN00641</v>
      </c>
      <c r="C906" s="7" t="s">
        <v>582</v>
      </c>
      <c r="D906" s="7" t="s">
        <v>746</v>
      </c>
      <c r="E906" s="7" t="str">
        <f t="shared" si="157"/>
        <v>AAYUSHI NARENDRA</v>
      </c>
      <c r="F906" s="7" t="s">
        <v>14</v>
      </c>
      <c r="G906" s="22">
        <v>42979</v>
      </c>
      <c r="H906" s="8">
        <v>79343</v>
      </c>
      <c r="I906" s="7" t="str">
        <f t="shared" si="158"/>
        <v>aayushi.narendra@ma.naa.ba</v>
      </c>
      <c r="J906" s="6" t="s">
        <v>1546</v>
      </c>
      <c r="K906" s="6">
        <v>55</v>
      </c>
      <c r="L906" s="7" t="str">
        <f t="shared" si="159"/>
        <v>ma.naa.ba</v>
      </c>
      <c r="M906" s="7" t="str">
        <f t="shared" si="160"/>
        <v>N.Aayushi</v>
      </c>
      <c r="N906" s="6">
        <f t="shared" si="155"/>
        <v>0</v>
      </c>
      <c r="O906" s="6">
        <f t="shared" si="154"/>
        <v>4</v>
      </c>
      <c r="P906" s="6" t="str">
        <f t="shared" si="161"/>
        <v>N</v>
      </c>
      <c r="Q906" s="6">
        <f t="shared" si="162"/>
        <v>15</v>
      </c>
      <c r="R906" s="6" t="str">
        <f t="shared" si="163"/>
        <v>2017</v>
      </c>
      <c r="S906" s="6" t="str">
        <f t="shared" si="164"/>
        <v>Sep</v>
      </c>
    </row>
    <row r="907" spans="1:19" x14ac:dyDescent="0.25">
      <c r="A907" s="6">
        <v>646</v>
      </c>
      <c r="B907" s="6" t="str">
        <f t="shared" si="156"/>
        <v>NIKMAN00646</v>
      </c>
      <c r="C907" s="7" t="s">
        <v>60</v>
      </c>
      <c r="D907" s="7" t="s">
        <v>55</v>
      </c>
      <c r="E907" s="7" t="str">
        <f t="shared" si="157"/>
        <v>AJAY SHARMA</v>
      </c>
      <c r="F907" s="7" t="s">
        <v>14</v>
      </c>
      <c r="G907" s="22">
        <v>43070</v>
      </c>
      <c r="H907" s="8">
        <v>75138</v>
      </c>
      <c r="I907" s="7" t="str">
        <f t="shared" si="158"/>
        <v>ajay.sharma@ma.sha.ba</v>
      </c>
      <c r="J907" s="6" t="s">
        <v>1545</v>
      </c>
      <c r="K907" s="6">
        <v>73</v>
      </c>
      <c r="L907" s="7" t="str">
        <f t="shared" si="159"/>
        <v>ma.sha.ba</v>
      </c>
      <c r="M907" s="7" t="str">
        <f t="shared" si="160"/>
        <v>S.Ajay</v>
      </c>
      <c r="N907" s="6">
        <f t="shared" si="155"/>
        <v>0</v>
      </c>
      <c r="O907" s="6">
        <f t="shared" si="154"/>
        <v>0</v>
      </c>
      <c r="P907" s="6" t="str">
        <f t="shared" si="161"/>
        <v>N</v>
      </c>
      <c r="Q907" s="6">
        <f t="shared" si="162"/>
        <v>10</v>
      </c>
      <c r="R907" s="6" t="str">
        <f t="shared" si="163"/>
        <v>2017</v>
      </c>
      <c r="S907" s="6" t="str">
        <f t="shared" si="164"/>
        <v>Dec</v>
      </c>
    </row>
    <row r="908" spans="1:19" x14ac:dyDescent="0.25">
      <c r="A908" s="6">
        <v>647</v>
      </c>
      <c r="B908" s="6" t="str">
        <f t="shared" si="156"/>
        <v>NIKMAN00647</v>
      </c>
      <c r="C908" s="7" t="s">
        <v>825</v>
      </c>
      <c r="D908" s="7" t="s">
        <v>777</v>
      </c>
      <c r="E908" s="7" t="str">
        <f t="shared" si="157"/>
        <v>JAWED ALAM</v>
      </c>
      <c r="F908" s="7" t="s">
        <v>14</v>
      </c>
      <c r="G908" s="22">
        <v>41666</v>
      </c>
      <c r="H908" s="8">
        <v>46984</v>
      </c>
      <c r="I908" s="7" t="str">
        <f t="shared" si="158"/>
        <v>jawed.alam@ma.alm.ba</v>
      </c>
      <c r="J908" s="6" t="s">
        <v>1536</v>
      </c>
      <c r="K908" s="6">
        <v>65</v>
      </c>
      <c r="L908" s="7" t="str">
        <f t="shared" si="159"/>
        <v>ma.alm.ba</v>
      </c>
      <c r="M908" s="7" t="str">
        <f t="shared" si="160"/>
        <v>A.Jawed</v>
      </c>
      <c r="N908" s="6">
        <f t="shared" si="155"/>
        <v>4</v>
      </c>
      <c r="O908" s="6">
        <f t="shared" si="154"/>
        <v>0</v>
      </c>
      <c r="P908" s="6" t="str">
        <f t="shared" si="161"/>
        <v>N</v>
      </c>
      <c r="Q908" s="6">
        <f t="shared" si="162"/>
        <v>9</v>
      </c>
      <c r="R908" s="6" t="str">
        <f t="shared" si="163"/>
        <v>2014</v>
      </c>
      <c r="S908" s="6" t="str">
        <f t="shared" si="164"/>
        <v>Jan</v>
      </c>
    </row>
    <row r="909" spans="1:19" x14ac:dyDescent="0.25">
      <c r="A909" s="6">
        <v>654</v>
      </c>
      <c r="B909" s="6" t="str">
        <f t="shared" si="156"/>
        <v>NIKMAN00654</v>
      </c>
      <c r="C909" s="7" t="s">
        <v>18</v>
      </c>
      <c r="D909" s="7" t="s">
        <v>530</v>
      </c>
      <c r="E909" s="7" t="str">
        <f t="shared" si="157"/>
        <v>MOHIT KHURANA</v>
      </c>
      <c r="F909" s="7" t="s">
        <v>14</v>
      </c>
      <c r="G909" s="22">
        <v>43118</v>
      </c>
      <c r="H909" s="8">
        <v>41731</v>
      </c>
      <c r="I909" s="7" t="str">
        <f t="shared" si="158"/>
        <v>mohit.khurana@ma.kha.ba</v>
      </c>
      <c r="J909" s="6" t="s">
        <v>1547</v>
      </c>
      <c r="K909" s="6">
        <v>72</v>
      </c>
      <c r="L909" s="7" t="str">
        <f t="shared" si="159"/>
        <v>ma.kha.ba</v>
      </c>
      <c r="M909" s="7" t="str">
        <f t="shared" si="160"/>
        <v>K.Mohit</v>
      </c>
      <c r="N909" s="6">
        <f t="shared" si="155"/>
        <v>0</v>
      </c>
      <c r="O909" s="6">
        <f t="shared" si="154"/>
        <v>0</v>
      </c>
      <c r="P909" s="6" t="str">
        <f t="shared" si="161"/>
        <v>N</v>
      </c>
      <c r="Q909" s="6">
        <f t="shared" si="162"/>
        <v>12</v>
      </c>
      <c r="R909" s="6" t="str">
        <f t="shared" si="163"/>
        <v>2018</v>
      </c>
      <c r="S909" s="6" t="str">
        <f t="shared" si="164"/>
        <v>Jan</v>
      </c>
    </row>
    <row r="910" spans="1:19" x14ac:dyDescent="0.25">
      <c r="A910" s="6">
        <v>675</v>
      </c>
      <c r="B910" s="6" t="str">
        <f t="shared" si="156"/>
        <v>NIKMAN00675</v>
      </c>
      <c r="C910" s="7" t="s">
        <v>479</v>
      </c>
      <c r="D910" s="7" t="s">
        <v>55</v>
      </c>
      <c r="E910" s="7" t="str">
        <f t="shared" si="157"/>
        <v>KRITI SHARMA</v>
      </c>
      <c r="F910" s="7" t="s">
        <v>14</v>
      </c>
      <c r="G910" s="22">
        <v>42830</v>
      </c>
      <c r="H910" s="8">
        <v>68815</v>
      </c>
      <c r="I910" s="7" t="str">
        <f t="shared" si="158"/>
        <v>kriti.sharma@ma.sha.ba</v>
      </c>
      <c r="J910" s="6" t="s">
        <v>1546</v>
      </c>
      <c r="K910" s="6">
        <v>36</v>
      </c>
      <c r="L910" s="7" t="str">
        <f t="shared" si="159"/>
        <v>ma.sha.ba</v>
      </c>
      <c r="M910" s="7" t="str">
        <f t="shared" si="160"/>
        <v>S.Kriti</v>
      </c>
      <c r="N910" s="6">
        <f t="shared" si="155"/>
        <v>0</v>
      </c>
      <c r="O910" s="6">
        <f t="shared" si="154"/>
        <v>0</v>
      </c>
      <c r="P910" s="6" t="str">
        <f t="shared" si="161"/>
        <v>N</v>
      </c>
      <c r="Q910" s="6">
        <f t="shared" si="162"/>
        <v>11</v>
      </c>
      <c r="R910" s="6" t="str">
        <f t="shared" si="163"/>
        <v>2017</v>
      </c>
      <c r="S910" s="6" t="str">
        <f t="shared" si="164"/>
        <v>Apr</v>
      </c>
    </row>
    <row r="911" spans="1:19" x14ac:dyDescent="0.25">
      <c r="A911" s="6">
        <v>698</v>
      </c>
      <c r="B911" s="6" t="str">
        <f t="shared" si="156"/>
        <v>NIKMAN00698</v>
      </c>
      <c r="C911" s="7" t="s">
        <v>876</v>
      </c>
      <c r="D911" s="7" t="s">
        <v>111</v>
      </c>
      <c r="E911" s="7" t="str">
        <f t="shared" si="157"/>
        <v>HEMA BHARAT</v>
      </c>
      <c r="F911" s="7" t="s">
        <v>14</v>
      </c>
      <c r="G911" s="22">
        <v>42754</v>
      </c>
      <c r="H911" s="8">
        <v>91690</v>
      </c>
      <c r="I911" s="7" t="str">
        <f t="shared" si="158"/>
        <v>hema.bharat@ma.bht.ba</v>
      </c>
      <c r="J911" s="6" t="s">
        <v>1544</v>
      </c>
      <c r="K911" s="6">
        <v>40</v>
      </c>
      <c r="L911" s="7" t="str">
        <f t="shared" si="159"/>
        <v>ma.bht.ba</v>
      </c>
      <c r="M911" s="7" t="str">
        <f t="shared" si="160"/>
        <v>B.Hema</v>
      </c>
      <c r="N911" s="6">
        <f t="shared" si="155"/>
        <v>2</v>
      </c>
      <c r="O911" s="6">
        <f t="shared" si="154"/>
        <v>0</v>
      </c>
      <c r="P911" s="6" t="str">
        <f t="shared" si="161"/>
        <v>N</v>
      </c>
      <c r="Q911" s="6">
        <f t="shared" si="162"/>
        <v>10</v>
      </c>
      <c r="R911" s="6" t="str">
        <f t="shared" si="163"/>
        <v>2017</v>
      </c>
      <c r="S911" s="6" t="str">
        <f t="shared" si="164"/>
        <v>Jan</v>
      </c>
    </row>
    <row r="912" spans="1:19" x14ac:dyDescent="0.25">
      <c r="A912" s="6">
        <v>716</v>
      </c>
      <c r="B912" s="6" t="str">
        <f t="shared" si="156"/>
        <v>NIKMAN00716</v>
      </c>
      <c r="C912" s="7" t="s">
        <v>893</v>
      </c>
      <c r="D912" s="7" t="s">
        <v>325</v>
      </c>
      <c r="E912" s="7" t="str">
        <f t="shared" si="157"/>
        <v>CHETAN RAVINDRA</v>
      </c>
      <c r="F912" s="7" t="s">
        <v>14</v>
      </c>
      <c r="G912" s="22">
        <v>43222</v>
      </c>
      <c r="H912" s="8">
        <v>48852</v>
      </c>
      <c r="I912" s="7" t="str">
        <f t="shared" si="158"/>
        <v>chetan.ravindra@ma.raa.ba</v>
      </c>
      <c r="J912" s="6" t="s">
        <v>1542</v>
      </c>
      <c r="K912" s="6">
        <v>65</v>
      </c>
      <c r="L912" s="7" t="str">
        <f t="shared" si="159"/>
        <v>ma.raa.ba</v>
      </c>
      <c r="M912" s="7" t="str">
        <f t="shared" si="160"/>
        <v>R.Chetan</v>
      </c>
      <c r="N912" s="6">
        <f t="shared" si="155"/>
        <v>3</v>
      </c>
      <c r="O912" s="6">
        <f t="shared" si="154"/>
        <v>0</v>
      </c>
      <c r="P912" s="6" t="str">
        <f t="shared" si="161"/>
        <v>N</v>
      </c>
      <c r="Q912" s="6">
        <f t="shared" si="162"/>
        <v>14</v>
      </c>
      <c r="R912" s="6" t="str">
        <f t="shared" si="163"/>
        <v>2018</v>
      </c>
      <c r="S912" s="6" t="str">
        <f t="shared" si="164"/>
        <v>May</v>
      </c>
    </row>
    <row r="913" spans="1:19" x14ac:dyDescent="0.25">
      <c r="A913" s="6">
        <v>720</v>
      </c>
      <c r="B913" s="6" t="str">
        <f t="shared" si="156"/>
        <v>NIKMAN00720</v>
      </c>
      <c r="C913" s="7" t="s">
        <v>325</v>
      </c>
      <c r="D913" s="7" t="s">
        <v>897</v>
      </c>
      <c r="E913" s="7" t="str">
        <f t="shared" si="157"/>
        <v>RAVINDRA RAMESH</v>
      </c>
      <c r="F913" s="7" t="s">
        <v>14</v>
      </c>
      <c r="G913" s="22">
        <v>42898</v>
      </c>
      <c r="H913" s="8">
        <v>100662</v>
      </c>
      <c r="I913" s="7" t="str">
        <f t="shared" si="158"/>
        <v>ravindra.ramesh@ma.rah.ba</v>
      </c>
      <c r="J913" s="6" t="s">
        <v>1547</v>
      </c>
      <c r="K913" s="6">
        <v>87</v>
      </c>
      <c r="L913" s="7" t="str">
        <f t="shared" si="159"/>
        <v>ma.rah.ba</v>
      </c>
      <c r="M913" s="7" t="str">
        <f t="shared" si="160"/>
        <v>R.Ravindra</v>
      </c>
      <c r="N913" s="6">
        <f t="shared" si="155"/>
        <v>0</v>
      </c>
      <c r="O913" s="6">
        <f t="shared" si="154"/>
        <v>4</v>
      </c>
      <c r="P913" s="6" t="str">
        <f t="shared" si="161"/>
        <v>N</v>
      </c>
      <c r="Q913" s="6">
        <f t="shared" si="162"/>
        <v>14</v>
      </c>
      <c r="R913" s="6" t="str">
        <f t="shared" si="163"/>
        <v>2017</v>
      </c>
      <c r="S913" s="6" t="str">
        <f t="shared" si="164"/>
        <v>Jun</v>
      </c>
    </row>
    <row r="914" spans="1:19" x14ac:dyDescent="0.25">
      <c r="A914" s="6">
        <v>743</v>
      </c>
      <c r="B914" s="6" t="str">
        <f t="shared" si="156"/>
        <v>NIKMAN00743</v>
      </c>
      <c r="C914" s="7" t="s">
        <v>309</v>
      </c>
      <c r="D914" s="7" t="s">
        <v>55</v>
      </c>
      <c r="E914" s="7" t="str">
        <f t="shared" si="157"/>
        <v>SUMIT SHARMA</v>
      </c>
      <c r="F914" s="7" t="s">
        <v>14</v>
      </c>
      <c r="G914" s="22">
        <v>43118</v>
      </c>
      <c r="H914" s="8">
        <v>98492</v>
      </c>
      <c r="I914" s="7" t="str">
        <f t="shared" si="158"/>
        <v>sumit.sharma@ma.sha.ba</v>
      </c>
      <c r="J914" s="6" t="s">
        <v>1540</v>
      </c>
      <c r="K914" s="6">
        <v>37</v>
      </c>
      <c r="L914" s="7" t="str">
        <f t="shared" si="159"/>
        <v>ma.sha.ba</v>
      </c>
      <c r="M914" s="7" t="str">
        <f t="shared" si="160"/>
        <v>S.Sumit</v>
      </c>
      <c r="N914" s="6">
        <f t="shared" si="155"/>
        <v>0</v>
      </c>
      <c r="O914" s="6">
        <f t="shared" si="154"/>
        <v>0</v>
      </c>
      <c r="P914" s="6" t="str">
        <f t="shared" si="161"/>
        <v>N</v>
      </c>
      <c r="Q914" s="6">
        <f t="shared" si="162"/>
        <v>11</v>
      </c>
      <c r="R914" s="6" t="str">
        <f t="shared" si="163"/>
        <v>2018</v>
      </c>
      <c r="S914" s="6" t="str">
        <f t="shared" si="164"/>
        <v>Jan</v>
      </c>
    </row>
    <row r="915" spans="1:19" x14ac:dyDescent="0.25">
      <c r="A915" s="6">
        <v>744</v>
      </c>
      <c r="B915" s="6" t="str">
        <f t="shared" si="156"/>
        <v>NIKMAN00744</v>
      </c>
      <c r="C915" s="7" t="s">
        <v>308</v>
      </c>
      <c r="D915" s="7" t="s">
        <v>49</v>
      </c>
      <c r="E915" s="7" t="str">
        <f t="shared" si="157"/>
        <v>VINAYAK MATHUR</v>
      </c>
      <c r="F915" s="7" t="s">
        <v>14</v>
      </c>
      <c r="G915" s="22">
        <v>43083</v>
      </c>
      <c r="H915" s="8">
        <v>72173</v>
      </c>
      <c r="I915" s="7" t="str">
        <f t="shared" si="158"/>
        <v>vinayak.mathur@ma.mar.ba</v>
      </c>
      <c r="J915" s="6" t="s">
        <v>1544</v>
      </c>
      <c r="K915" s="6">
        <v>77</v>
      </c>
      <c r="L915" s="7" t="str">
        <f t="shared" si="159"/>
        <v>ma.mar.ba</v>
      </c>
      <c r="M915" s="7" t="str">
        <f t="shared" si="160"/>
        <v>M.Vinayak</v>
      </c>
      <c r="N915" s="6">
        <f t="shared" si="155"/>
        <v>0</v>
      </c>
      <c r="O915" s="6">
        <f t="shared" si="154"/>
        <v>0</v>
      </c>
      <c r="P915" s="6" t="str">
        <f t="shared" si="161"/>
        <v>N</v>
      </c>
      <c r="Q915" s="6">
        <f t="shared" si="162"/>
        <v>13</v>
      </c>
      <c r="R915" s="6" t="str">
        <f t="shared" si="163"/>
        <v>2017</v>
      </c>
      <c r="S915" s="6" t="str">
        <f t="shared" si="164"/>
        <v>Dec</v>
      </c>
    </row>
    <row r="916" spans="1:19" x14ac:dyDescent="0.25">
      <c r="A916" s="6">
        <v>747</v>
      </c>
      <c r="B916" s="6" t="str">
        <f t="shared" si="156"/>
        <v>NIKMAN00747</v>
      </c>
      <c r="C916" s="7" t="s">
        <v>125</v>
      </c>
      <c r="D916" s="7" t="s">
        <v>168</v>
      </c>
      <c r="E916" s="7" t="str">
        <f t="shared" si="157"/>
        <v>VIKAS TIWARI</v>
      </c>
      <c r="F916" s="7" t="s">
        <v>14</v>
      </c>
      <c r="G916" s="22">
        <v>42485</v>
      </c>
      <c r="H916" s="8">
        <v>35810</v>
      </c>
      <c r="I916" s="7" t="str">
        <f t="shared" si="158"/>
        <v>vikas.tiwari@ma.tii.ba</v>
      </c>
      <c r="J916" s="6" t="s">
        <v>1541</v>
      </c>
      <c r="K916" s="6">
        <v>88</v>
      </c>
      <c r="L916" s="7" t="str">
        <f t="shared" si="159"/>
        <v>ma.tii.ba</v>
      </c>
      <c r="M916" s="7" t="str">
        <f t="shared" si="160"/>
        <v>T.Vikas</v>
      </c>
      <c r="N916" s="6">
        <f t="shared" si="155"/>
        <v>0</v>
      </c>
      <c r="O916" s="6">
        <f t="shared" si="154"/>
        <v>0</v>
      </c>
      <c r="P916" s="6" t="str">
        <f t="shared" si="161"/>
        <v>N</v>
      </c>
      <c r="Q916" s="6">
        <f t="shared" si="162"/>
        <v>11</v>
      </c>
      <c r="R916" s="6" t="str">
        <f t="shared" si="163"/>
        <v>2016</v>
      </c>
      <c r="S916" s="6" t="str">
        <f t="shared" si="164"/>
        <v>Apr</v>
      </c>
    </row>
    <row r="917" spans="1:19" x14ac:dyDescent="0.25">
      <c r="A917" s="6">
        <v>780</v>
      </c>
      <c r="B917" s="6" t="str">
        <f t="shared" si="156"/>
        <v>NIKMAN00780</v>
      </c>
      <c r="C917" s="7" t="s">
        <v>224</v>
      </c>
      <c r="D917" s="7" t="s">
        <v>942</v>
      </c>
      <c r="E917" s="7" t="str">
        <f t="shared" si="157"/>
        <v>JITENDRA RAJORIYA</v>
      </c>
      <c r="F917" s="7" t="s">
        <v>14</v>
      </c>
      <c r="G917" s="22">
        <v>43045</v>
      </c>
      <c r="H917" s="8">
        <v>40710</v>
      </c>
      <c r="I917" s="7" t="str">
        <f t="shared" si="158"/>
        <v>jitendra.rajoriya@ma.raa.ba</v>
      </c>
      <c r="J917" s="6" t="s">
        <v>1540</v>
      </c>
      <c r="K917" s="6">
        <v>56</v>
      </c>
      <c r="L917" s="7" t="str">
        <f t="shared" si="159"/>
        <v>ma.raa.ba</v>
      </c>
      <c r="M917" s="7" t="str">
        <f t="shared" si="160"/>
        <v>R.Jitendra</v>
      </c>
      <c r="N917" s="6">
        <f t="shared" si="155"/>
        <v>4</v>
      </c>
      <c r="O917" s="6">
        <f t="shared" si="154"/>
        <v>0</v>
      </c>
      <c r="P917" s="6" t="str">
        <f t="shared" si="161"/>
        <v>N</v>
      </c>
      <c r="Q917" s="6">
        <f t="shared" si="162"/>
        <v>16</v>
      </c>
      <c r="R917" s="6" t="str">
        <f t="shared" si="163"/>
        <v>2017</v>
      </c>
      <c r="S917" s="6" t="str">
        <f t="shared" si="164"/>
        <v>Nov</v>
      </c>
    </row>
    <row r="918" spans="1:19" x14ac:dyDescent="0.25">
      <c r="A918" s="6">
        <v>782</v>
      </c>
      <c r="B918" s="6" t="str">
        <f t="shared" si="156"/>
        <v>NIKMAN00782</v>
      </c>
      <c r="C918" s="7" t="s">
        <v>46</v>
      </c>
      <c r="D918" s="7" t="s">
        <v>68</v>
      </c>
      <c r="E918" s="7" t="str">
        <f t="shared" si="157"/>
        <v>DINESH KUMAR</v>
      </c>
      <c r="F918" s="7" t="s">
        <v>14</v>
      </c>
      <c r="G918" s="22">
        <v>42767</v>
      </c>
      <c r="H918" s="8">
        <v>72164</v>
      </c>
      <c r="I918" s="7" t="str">
        <f t="shared" si="158"/>
        <v>dinesh.kumar@ma.kur.ba</v>
      </c>
      <c r="J918" s="6" t="s">
        <v>1537</v>
      </c>
      <c r="K918" s="6">
        <v>69</v>
      </c>
      <c r="L918" s="7" t="str">
        <f t="shared" si="159"/>
        <v>ma.kur.ba</v>
      </c>
      <c r="M918" s="7" t="str">
        <f t="shared" si="160"/>
        <v>K.Dinesh</v>
      </c>
      <c r="N918" s="6">
        <f t="shared" si="155"/>
        <v>4</v>
      </c>
      <c r="O918" s="6">
        <f t="shared" si="154"/>
        <v>0</v>
      </c>
      <c r="P918" s="6" t="str">
        <f t="shared" si="161"/>
        <v>N</v>
      </c>
      <c r="Q918" s="6">
        <f t="shared" si="162"/>
        <v>11</v>
      </c>
      <c r="R918" s="6" t="str">
        <f t="shared" si="163"/>
        <v>2017</v>
      </c>
      <c r="S918" s="6" t="str">
        <f t="shared" si="164"/>
        <v>Feb</v>
      </c>
    </row>
    <row r="919" spans="1:19" x14ac:dyDescent="0.25">
      <c r="A919" s="6">
        <v>784</v>
      </c>
      <c r="B919" s="6" t="str">
        <f t="shared" si="156"/>
        <v>NIKMAN00784</v>
      </c>
      <c r="C919" s="7" t="s">
        <v>946</v>
      </c>
      <c r="D919" s="7" t="s">
        <v>947</v>
      </c>
      <c r="E919" s="7" t="str">
        <f t="shared" si="157"/>
        <v>DAMINI ROHIRA</v>
      </c>
      <c r="F919" s="7" t="s">
        <v>14</v>
      </c>
      <c r="G919" s="22">
        <v>43269</v>
      </c>
      <c r="H919" s="8">
        <v>69605</v>
      </c>
      <c r="I919" s="7" t="str">
        <f t="shared" si="158"/>
        <v>damini.rohira@ma.roa.ba</v>
      </c>
      <c r="J919" s="6" t="s">
        <v>1544</v>
      </c>
      <c r="K919" s="6">
        <v>74</v>
      </c>
      <c r="L919" s="7" t="str">
        <f t="shared" si="159"/>
        <v>ma.roa.ba</v>
      </c>
      <c r="M919" s="7" t="str">
        <f t="shared" si="160"/>
        <v>R.Damini</v>
      </c>
      <c r="N919" s="6">
        <f t="shared" si="155"/>
        <v>0</v>
      </c>
      <c r="O919" s="6">
        <f t="shared" si="154"/>
        <v>0</v>
      </c>
      <c r="P919" s="6" t="str">
        <f t="shared" si="161"/>
        <v>N</v>
      </c>
      <c r="Q919" s="6">
        <f t="shared" si="162"/>
        <v>12</v>
      </c>
      <c r="R919" s="6" t="str">
        <f t="shared" si="163"/>
        <v>2018</v>
      </c>
      <c r="S919" s="6" t="str">
        <f t="shared" si="164"/>
        <v>Jun</v>
      </c>
    </row>
    <row r="920" spans="1:19" x14ac:dyDescent="0.25">
      <c r="A920" s="6">
        <v>790</v>
      </c>
      <c r="B920" s="6" t="str">
        <f t="shared" si="156"/>
        <v>NIKMAN00790</v>
      </c>
      <c r="C920" s="7" t="s">
        <v>80</v>
      </c>
      <c r="D920" s="7" t="s">
        <v>150</v>
      </c>
      <c r="E920" s="7" t="str">
        <f t="shared" si="157"/>
        <v>PRASHANT SAXENA</v>
      </c>
      <c r="F920" s="7" t="s">
        <v>14</v>
      </c>
      <c r="G920" s="22">
        <v>43040</v>
      </c>
      <c r="H920" s="8">
        <v>91016</v>
      </c>
      <c r="I920" s="7" t="str">
        <f t="shared" si="158"/>
        <v>prashant.saxena@ma.saa.ba</v>
      </c>
      <c r="J920" s="6" t="s">
        <v>1548</v>
      </c>
      <c r="K920" s="6">
        <v>75</v>
      </c>
      <c r="L920" s="7" t="str">
        <f t="shared" si="159"/>
        <v>ma.saa.ba</v>
      </c>
      <c r="M920" s="7" t="str">
        <f t="shared" si="160"/>
        <v>S.Prashant</v>
      </c>
      <c r="N920" s="6">
        <f t="shared" si="155"/>
        <v>0</v>
      </c>
      <c r="O920" s="6">
        <f t="shared" si="154"/>
        <v>4</v>
      </c>
      <c r="P920" s="6" t="str">
        <f t="shared" si="161"/>
        <v>N</v>
      </c>
      <c r="Q920" s="6">
        <f t="shared" si="162"/>
        <v>14</v>
      </c>
      <c r="R920" s="6" t="str">
        <f t="shared" si="163"/>
        <v>2017</v>
      </c>
      <c r="S920" s="6" t="str">
        <f t="shared" si="164"/>
        <v>Nov</v>
      </c>
    </row>
    <row r="921" spans="1:19" x14ac:dyDescent="0.25">
      <c r="A921" s="6">
        <v>793</v>
      </c>
      <c r="B921" s="6" t="str">
        <f t="shared" si="156"/>
        <v>NIKMAN00793</v>
      </c>
      <c r="C921" s="7" t="s">
        <v>173</v>
      </c>
      <c r="D921" s="7" t="s">
        <v>955</v>
      </c>
      <c r="E921" s="7" t="str">
        <f t="shared" si="157"/>
        <v>VIVEK VIDYADHAR</v>
      </c>
      <c r="F921" s="7" t="s">
        <v>14</v>
      </c>
      <c r="G921" s="22">
        <v>42590</v>
      </c>
      <c r="H921" s="8">
        <v>58637</v>
      </c>
      <c r="I921" s="7" t="str">
        <f t="shared" si="158"/>
        <v>vivek.vidyadhar@ma.vir.ba</v>
      </c>
      <c r="J921" s="6" t="s">
        <v>1542</v>
      </c>
      <c r="K921" s="6">
        <v>81</v>
      </c>
      <c r="L921" s="7" t="str">
        <f t="shared" si="159"/>
        <v>ma.vir.ba</v>
      </c>
      <c r="M921" s="7" t="str">
        <f t="shared" si="160"/>
        <v>V.Vivek</v>
      </c>
      <c r="N921" s="6">
        <f t="shared" si="155"/>
        <v>4</v>
      </c>
      <c r="O921" s="6">
        <f t="shared" si="154"/>
        <v>0</v>
      </c>
      <c r="P921" s="6" t="str">
        <f t="shared" si="161"/>
        <v>N</v>
      </c>
      <c r="Q921" s="6">
        <f t="shared" si="162"/>
        <v>14</v>
      </c>
      <c r="R921" s="6" t="str">
        <f t="shared" si="163"/>
        <v>2016</v>
      </c>
      <c r="S921" s="6" t="str">
        <f t="shared" si="164"/>
        <v>Aug</v>
      </c>
    </row>
    <row r="922" spans="1:19" x14ac:dyDescent="0.25">
      <c r="A922" s="6">
        <v>795</v>
      </c>
      <c r="B922" s="6" t="str">
        <f t="shared" si="156"/>
        <v>NIKMAN00795</v>
      </c>
      <c r="C922" s="7" t="s">
        <v>956</v>
      </c>
      <c r="D922" s="7" t="s">
        <v>697</v>
      </c>
      <c r="E922" s="7" t="str">
        <f t="shared" si="157"/>
        <v>KRUNAL M</v>
      </c>
      <c r="F922" s="7" t="s">
        <v>14</v>
      </c>
      <c r="G922" s="22">
        <v>41804</v>
      </c>
      <c r="H922" s="8">
        <v>98079</v>
      </c>
      <c r="I922" s="7" t="str">
        <f t="shared" si="158"/>
        <v>krunal.m@ma.mm.ba</v>
      </c>
      <c r="J922" s="6" t="s">
        <v>1548</v>
      </c>
      <c r="K922" s="6">
        <v>72</v>
      </c>
      <c r="L922" s="7" t="str">
        <f t="shared" si="159"/>
        <v>ma.mm.ba</v>
      </c>
      <c r="M922" s="7" t="str">
        <f t="shared" si="160"/>
        <v>M.Krunal</v>
      </c>
      <c r="N922" s="6">
        <f t="shared" si="155"/>
        <v>0</v>
      </c>
      <c r="O922" s="6">
        <f t="shared" si="154"/>
        <v>0</v>
      </c>
      <c r="P922" s="6" t="str">
        <f t="shared" si="161"/>
        <v>N</v>
      </c>
      <c r="Q922" s="6">
        <f t="shared" si="162"/>
        <v>7</v>
      </c>
      <c r="R922" s="6" t="str">
        <f t="shared" si="163"/>
        <v>2014</v>
      </c>
      <c r="S922" s="6" t="str">
        <f t="shared" si="164"/>
        <v>Jun</v>
      </c>
    </row>
    <row r="923" spans="1:19" x14ac:dyDescent="0.25">
      <c r="A923" s="6">
        <v>822</v>
      </c>
      <c r="B923" s="6" t="str">
        <f t="shared" si="156"/>
        <v>NIKMAN00822</v>
      </c>
      <c r="C923" s="7" t="s">
        <v>983</v>
      </c>
      <c r="D923" s="7" t="s">
        <v>68</v>
      </c>
      <c r="E923" s="7" t="str">
        <f t="shared" si="157"/>
        <v>PURSOTTAM KUMAR</v>
      </c>
      <c r="F923" s="7" t="s">
        <v>14</v>
      </c>
      <c r="G923" s="22">
        <v>42809</v>
      </c>
      <c r="H923" s="8">
        <v>109541</v>
      </c>
      <c r="I923" s="7" t="str">
        <f t="shared" si="158"/>
        <v>pursottam.kumar@ma.kur.ba</v>
      </c>
      <c r="J923" s="6" t="s">
        <v>1551</v>
      </c>
      <c r="K923" s="6">
        <v>70</v>
      </c>
      <c r="L923" s="7" t="str">
        <f t="shared" si="159"/>
        <v>ma.kur.ba</v>
      </c>
      <c r="M923" s="7" t="str">
        <f t="shared" si="160"/>
        <v>K.Pursottam</v>
      </c>
      <c r="N923" s="6">
        <f t="shared" si="155"/>
        <v>0</v>
      </c>
      <c r="O923" s="6">
        <f t="shared" si="154"/>
        <v>0</v>
      </c>
      <c r="P923" s="6" t="str">
        <f t="shared" si="161"/>
        <v>N</v>
      </c>
      <c r="Q923" s="6">
        <f t="shared" si="162"/>
        <v>14</v>
      </c>
      <c r="R923" s="6" t="str">
        <f t="shared" si="163"/>
        <v>2017</v>
      </c>
      <c r="S923" s="6" t="str">
        <f t="shared" si="164"/>
        <v>Mar</v>
      </c>
    </row>
    <row r="924" spans="1:19" x14ac:dyDescent="0.25">
      <c r="A924" s="6">
        <v>832</v>
      </c>
      <c r="B924" s="6" t="str">
        <f t="shared" si="156"/>
        <v>NIKMAN00832</v>
      </c>
      <c r="C924" s="7" t="s">
        <v>988</v>
      </c>
      <c r="D924" s="7" t="s">
        <v>989</v>
      </c>
      <c r="E924" s="7" t="str">
        <f t="shared" si="157"/>
        <v>ANUSHREE RAWAL</v>
      </c>
      <c r="F924" s="7" t="s">
        <v>14</v>
      </c>
      <c r="G924" s="22">
        <v>42086</v>
      </c>
      <c r="H924" s="8">
        <v>81379</v>
      </c>
      <c r="I924" s="7" t="str">
        <f t="shared" si="158"/>
        <v>anushree.rawal@ma.ral.ba</v>
      </c>
      <c r="J924" s="6" t="s">
        <v>1540</v>
      </c>
      <c r="K924" s="6">
        <v>67</v>
      </c>
      <c r="L924" s="7" t="str">
        <f t="shared" si="159"/>
        <v>ma.ral.ba</v>
      </c>
      <c r="M924" s="7" t="str">
        <f t="shared" si="160"/>
        <v>R.Anushree</v>
      </c>
      <c r="N924" s="6">
        <f t="shared" si="155"/>
        <v>7</v>
      </c>
      <c r="O924" s="6">
        <f t="shared" si="154"/>
        <v>0</v>
      </c>
      <c r="P924" s="6" t="str">
        <f t="shared" si="161"/>
        <v>N</v>
      </c>
      <c r="Q924" s="6">
        <f t="shared" si="162"/>
        <v>13</v>
      </c>
      <c r="R924" s="6" t="str">
        <f t="shared" si="163"/>
        <v>2015</v>
      </c>
      <c r="S924" s="6" t="str">
        <f t="shared" si="164"/>
        <v>Mar</v>
      </c>
    </row>
    <row r="925" spans="1:19" x14ac:dyDescent="0.25">
      <c r="A925" s="6">
        <v>838</v>
      </c>
      <c r="B925" s="6" t="str">
        <f t="shared" si="156"/>
        <v>NIKMAN00838</v>
      </c>
      <c r="C925" s="7" t="s">
        <v>86</v>
      </c>
      <c r="D925" s="7" t="s">
        <v>334</v>
      </c>
      <c r="E925" s="7" t="str">
        <f t="shared" si="157"/>
        <v>MANISH PUROHIT</v>
      </c>
      <c r="F925" s="7" t="s">
        <v>14</v>
      </c>
      <c r="G925" s="22">
        <v>41104</v>
      </c>
      <c r="H925" s="8">
        <v>47226</v>
      </c>
      <c r="I925" s="7" t="str">
        <f t="shared" si="158"/>
        <v>manish.purohit@ma.put.ba</v>
      </c>
      <c r="J925" s="6" t="s">
        <v>1535</v>
      </c>
      <c r="K925" s="6">
        <v>88</v>
      </c>
      <c r="L925" s="7" t="str">
        <f t="shared" si="159"/>
        <v>ma.put.ba</v>
      </c>
      <c r="M925" s="7" t="str">
        <f t="shared" si="160"/>
        <v>P.Manish</v>
      </c>
      <c r="N925" s="6">
        <f t="shared" si="155"/>
        <v>0</v>
      </c>
      <c r="O925" s="6">
        <f t="shared" si="154"/>
        <v>0</v>
      </c>
      <c r="P925" s="6" t="str">
        <f t="shared" si="161"/>
        <v>N</v>
      </c>
      <c r="Q925" s="6">
        <f t="shared" si="162"/>
        <v>13</v>
      </c>
      <c r="R925" s="6" t="str">
        <f t="shared" si="163"/>
        <v>2012</v>
      </c>
      <c r="S925" s="6" t="str">
        <f t="shared" si="164"/>
        <v>Jul</v>
      </c>
    </row>
    <row r="926" spans="1:19" x14ac:dyDescent="0.25">
      <c r="A926" s="6">
        <v>843</v>
      </c>
      <c r="B926" s="6" t="str">
        <f t="shared" si="156"/>
        <v>NIKMAN00843</v>
      </c>
      <c r="C926" s="7" t="s">
        <v>190</v>
      </c>
      <c r="D926" s="7" t="s">
        <v>995</v>
      </c>
      <c r="E926" s="7" t="str">
        <f t="shared" si="157"/>
        <v>ABHISHEK RAJPUROHIT</v>
      </c>
      <c r="F926" s="7" t="s">
        <v>14</v>
      </c>
      <c r="G926" s="22">
        <v>42926</v>
      </c>
      <c r="H926" s="8">
        <v>100450</v>
      </c>
      <c r="I926" s="7" t="str">
        <f t="shared" si="158"/>
        <v>abhishek.rajpurohit@ma.rat.ba</v>
      </c>
      <c r="J926" s="6" t="s">
        <v>1549</v>
      </c>
      <c r="K926" s="6">
        <v>40</v>
      </c>
      <c r="L926" s="7" t="str">
        <f t="shared" si="159"/>
        <v>ma.rat.ba</v>
      </c>
      <c r="M926" s="7" t="str">
        <f t="shared" si="160"/>
        <v>R.Abhishek</v>
      </c>
      <c r="N926" s="6">
        <f t="shared" si="155"/>
        <v>7</v>
      </c>
      <c r="O926" s="6">
        <f t="shared" si="154"/>
        <v>0</v>
      </c>
      <c r="P926" s="6" t="str">
        <f t="shared" si="161"/>
        <v>N</v>
      </c>
      <c r="Q926" s="6">
        <f t="shared" si="162"/>
        <v>18</v>
      </c>
      <c r="R926" s="6" t="str">
        <f t="shared" si="163"/>
        <v>2017</v>
      </c>
      <c r="S926" s="6" t="str">
        <f t="shared" si="164"/>
        <v>Jul</v>
      </c>
    </row>
    <row r="927" spans="1:19" x14ac:dyDescent="0.25">
      <c r="A927" s="6">
        <v>873</v>
      </c>
      <c r="B927" s="6" t="str">
        <f t="shared" si="156"/>
        <v>NIKMAN00873</v>
      </c>
      <c r="C927" s="7" t="s">
        <v>1018</v>
      </c>
      <c r="D927" s="7" t="s">
        <v>68</v>
      </c>
      <c r="E927" s="7" t="str">
        <f t="shared" si="157"/>
        <v>SULABH KUMAR</v>
      </c>
      <c r="F927" s="7" t="s">
        <v>14</v>
      </c>
      <c r="G927" s="22">
        <v>43045</v>
      </c>
      <c r="H927" s="8">
        <v>65867</v>
      </c>
      <c r="I927" s="7" t="str">
        <f t="shared" si="158"/>
        <v>sulabh.kumar@ma.kur.ba</v>
      </c>
      <c r="J927" s="6" t="s">
        <v>1537</v>
      </c>
      <c r="K927" s="6">
        <v>77</v>
      </c>
      <c r="L927" s="7" t="str">
        <f t="shared" si="159"/>
        <v>ma.kur.ba</v>
      </c>
      <c r="M927" s="7" t="str">
        <f t="shared" si="160"/>
        <v>K.Sulabh</v>
      </c>
      <c r="N927" s="6">
        <f t="shared" si="155"/>
        <v>0</v>
      </c>
      <c r="O927" s="6">
        <f t="shared" si="154"/>
        <v>0</v>
      </c>
      <c r="P927" s="6" t="str">
        <f t="shared" si="161"/>
        <v>N</v>
      </c>
      <c r="Q927" s="6">
        <f t="shared" si="162"/>
        <v>11</v>
      </c>
      <c r="R927" s="6" t="str">
        <f t="shared" si="163"/>
        <v>2017</v>
      </c>
      <c r="S927" s="6" t="str">
        <f t="shared" si="164"/>
        <v>Nov</v>
      </c>
    </row>
    <row r="928" spans="1:19" x14ac:dyDescent="0.25">
      <c r="A928" s="6">
        <v>874</v>
      </c>
      <c r="B928" s="6" t="str">
        <f t="shared" si="156"/>
        <v>NIKMAN00874</v>
      </c>
      <c r="C928" s="7" t="s">
        <v>927</v>
      </c>
      <c r="D928" s="7" t="s">
        <v>68</v>
      </c>
      <c r="E928" s="7" t="str">
        <f t="shared" si="157"/>
        <v>PRADEEP KUMAR</v>
      </c>
      <c r="F928" s="7" t="s">
        <v>14</v>
      </c>
      <c r="G928" s="22">
        <v>42383</v>
      </c>
      <c r="H928" s="8">
        <v>105460</v>
      </c>
      <c r="I928" s="7" t="str">
        <f t="shared" si="158"/>
        <v>pradeep.kumar@ma.kur.ba</v>
      </c>
      <c r="J928" s="6" t="s">
        <v>1546</v>
      </c>
      <c r="K928" s="6">
        <v>88</v>
      </c>
      <c r="L928" s="7" t="str">
        <f t="shared" si="159"/>
        <v>ma.kur.ba</v>
      </c>
      <c r="M928" s="7" t="str">
        <f t="shared" si="160"/>
        <v>K.Pradeep</v>
      </c>
      <c r="N928" s="6">
        <f t="shared" si="155"/>
        <v>5</v>
      </c>
      <c r="O928" s="6">
        <f t="shared" si="154"/>
        <v>0</v>
      </c>
      <c r="P928" s="6" t="str">
        <f t="shared" si="161"/>
        <v>N</v>
      </c>
      <c r="Q928" s="6">
        <f t="shared" si="162"/>
        <v>12</v>
      </c>
      <c r="R928" s="6" t="str">
        <f t="shared" si="163"/>
        <v>2016</v>
      </c>
      <c r="S928" s="6" t="str">
        <f t="shared" si="164"/>
        <v>Jan</v>
      </c>
    </row>
    <row r="929" spans="1:19" x14ac:dyDescent="0.25">
      <c r="A929" s="6">
        <v>878</v>
      </c>
      <c r="B929" s="6" t="str">
        <f t="shared" si="156"/>
        <v>NIKMAN00878</v>
      </c>
      <c r="C929" s="7" t="s">
        <v>1022</v>
      </c>
      <c r="D929" s="7" t="s">
        <v>70</v>
      </c>
      <c r="E929" s="7" t="str">
        <f t="shared" si="157"/>
        <v>SANSKRITI SINGH</v>
      </c>
      <c r="F929" s="7" t="s">
        <v>14</v>
      </c>
      <c r="G929" s="22">
        <v>43710</v>
      </c>
      <c r="H929" s="8">
        <v>83356</v>
      </c>
      <c r="I929" s="7" t="str">
        <f t="shared" si="158"/>
        <v>sanskriti.singh@ma.sih.ba</v>
      </c>
      <c r="J929" s="6" t="s">
        <v>1535</v>
      </c>
      <c r="K929" s="6">
        <v>58</v>
      </c>
      <c r="L929" s="7" t="str">
        <f t="shared" si="159"/>
        <v>ma.sih.ba</v>
      </c>
      <c r="M929" s="7" t="str">
        <f t="shared" si="160"/>
        <v>S.Sanskriti</v>
      </c>
      <c r="N929" s="6">
        <f t="shared" si="155"/>
        <v>0</v>
      </c>
      <c r="O929" s="6">
        <f t="shared" si="154"/>
        <v>0</v>
      </c>
      <c r="P929" s="6" t="str">
        <f t="shared" si="161"/>
        <v>N</v>
      </c>
      <c r="Q929" s="6">
        <f t="shared" si="162"/>
        <v>14</v>
      </c>
      <c r="R929" s="6" t="str">
        <f t="shared" si="163"/>
        <v>2019</v>
      </c>
      <c r="S929" s="6" t="str">
        <f t="shared" si="164"/>
        <v>Sep</v>
      </c>
    </row>
    <row r="930" spans="1:19" x14ac:dyDescent="0.25">
      <c r="A930" s="6">
        <v>887</v>
      </c>
      <c r="B930" s="6" t="str">
        <f t="shared" si="156"/>
        <v>NIKMAN00887</v>
      </c>
      <c r="C930" s="7" t="s">
        <v>538</v>
      </c>
      <c r="D930" s="7" t="s">
        <v>70</v>
      </c>
      <c r="E930" s="7" t="str">
        <f t="shared" si="157"/>
        <v>SHIVANGI SINGH</v>
      </c>
      <c r="F930" s="7" t="s">
        <v>14</v>
      </c>
      <c r="G930" s="22">
        <v>43661</v>
      </c>
      <c r="H930" s="8">
        <v>96649</v>
      </c>
      <c r="I930" s="7" t="str">
        <f t="shared" si="158"/>
        <v>shivangi.singh@ma.sih.ba</v>
      </c>
      <c r="J930" s="6" t="s">
        <v>1536</v>
      </c>
      <c r="K930" s="6">
        <v>36</v>
      </c>
      <c r="L930" s="7" t="str">
        <f t="shared" si="159"/>
        <v>ma.sih.ba</v>
      </c>
      <c r="M930" s="7" t="str">
        <f t="shared" si="160"/>
        <v>S.Shivangi</v>
      </c>
      <c r="N930" s="6">
        <f t="shared" si="155"/>
        <v>0</v>
      </c>
      <c r="O930" s="6">
        <f t="shared" si="154"/>
        <v>0</v>
      </c>
      <c r="P930" s="6" t="str">
        <f t="shared" si="161"/>
        <v>N</v>
      </c>
      <c r="Q930" s="6">
        <f t="shared" si="162"/>
        <v>13</v>
      </c>
      <c r="R930" s="6" t="str">
        <f t="shared" si="163"/>
        <v>2019</v>
      </c>
      <c r="S930" s="6" t="str">
        <f t="shared" si="164"/>
        <v>Jul</v>
      </c>
    </row>
    <row r="931" spans="1:19" x14ac:dyDescent="0.25">
      <c r="A931" s="6">
        <v>899</v>
      </c>
      <c r="B931" s="6" t="str">
        <f t="shared" si="156"/>
        <v>NIKMAN00899</v>
      </c>
      <c r="C931" s="7" t="s">
        <v>1039</v>
      </c>
      <c r="D931" s="7" t="s">
        <v>1040</v>
      </c>
      <c r="E931" s="7" t="str">
        <f t="shared" si="157"/>
        <v>NEERAJ SANODIA</v>
      </c>
      <c r="F931" s="7" t="s">
        <v>14</v>
      </c>
      <c r="G931" s="22">
        <v>41334</v>
      </c>
      <c r="H931" s="8">
        <v>38792</v>
      </c>
      <c r="I931" s="7" t="str">
        <f t="shared" si="158"/>
        <v>neeraj.sanodia@ma.saa.ba</v>
      </c>
      <c r="J931" s="6" t="s">
        <v>1535</v>
      </c>
      <c r="K931" s="6">
        <v>70</v>
      </c>
      <c r="L931" s="7" t="str">
        <f t="shared" si="159"/>
        <v>ma.saa.ba</v>
      </c>
      <c r="M931" s="7" t="str">
        <f t="shared" si="160"/>
        <v>S.Neeraj</v>
      </c>
      <c r="N931" s="6">
        <f t="shared" si="155"/>
        <v>2</v>
      </c>
      <c r="O931" s="6">
        <f t="shared" si="154"/>
        <v>0</v>
      </c>
      <c r="P931" s="6" t="str">
        <f t="shared" si="161"/>
        <v>N</v>
      </c>
      <c r="Q931" s="6">
        <f t="shared" si="162"/>
        <v>13</v>
      </c>
      <c r="R931" s="6" t="str">
        <f t="shared" si="163"/>
        <v>2013</v>
      </c>
      <c r="S931" s="6" t="str">
        <f t="shared" si="164"/>
        <v>Mar</v>
      </c>
    </row>
    <row r="932" spans="1:19" x14ac:dyDescent="0.25">
      <c r="A932" s="6">
        <v>908</v>
      </c>
      <c r="B932" s="6" t="str">
        <f t="shared" si="156"/>
        <v>NIKMAN00908</v>
      </c>
      <c r="C932" s="7" t="s">
        <v>1048</v>
      </c>
      <c r="D932" s="7" t="s">
        <v>1049</v>
      </c>
      <c r="E932" s="7" t="str">
        <f t="shared" si="157"/>
        <v>BRINDA RAJPOPAT</v>
      </c>
      <c r="F932" s="7" t="s">
        <v>14</v>
      </c>
      <c r="G932" s="22">
        <v>43617</v>
      </c>
      <c r="H932" s="8">
        <v>32164</v>
      </c>
      <c r="I932" s="7" t="str">
        <f t="shared" si="158"/>
        <v>brinda.rajpopat@ma.rat.ba</v>
      </c>
      <c r="J932" s="6" t="s">
        <v>1545</v>
      </c>
      <c r="K932" s="6">
        <v>78</v>
      </c>
      <c r="L932" s="7" t="str">
        <f t="shared" si="159"/>
        <v>ma.rat.ba</v>
      </c>
      <c r="M932" s="7" t="str">
        <f t="shared" si="160"/>
        <v>R.Brinda</v>
      </c>
      <c r="N932" s="6">
        <f t="shared" si="155"/>
        <v>0</v>
      </c>
      <c r="O932" s="6">
        <f t="shared" si="154"/>
        <v>0</v>
      </c>
      <c r="P932" s="6" t="str">
        <f t="shared" si="161"/>
        <v>N</v>
      </c>
      <c r="Q932" s="6">
        <f t="shared" si="162"/>
        <v>14</v>
      </c>
      <c r="R932" s="6" t="str">
        <f t="shared" si="163"/>
        <v>2019</v>
      </c>
      <c r="S932" s="6" t="str">
        <f t="shared" si="164"/>
        <v>Jun</v>
      </c>
    </row>
    <row r="933" spans="1:19" x14ac:dyDescent="0.25">
      <c r="A933" s="6">
        <v>909</v>
      </c>
      <c r="B933" s="6" t="str">
        <f t="shared" si="156"/>
        <v>NIKMAN00909</v>
      </c>
      <c r="C933" s="7" t="s">
        <v>1050</v>
      </c>
      <c r="D933" s="7" t="s">
        <v>68</v>
      </c>
      <c r="E933" s="7" t="str">
        <f t="shared" si="157"/>
        <v>DAJWINDER KUMAR</v>
      </c>
      <c r="F933" s="7" t="s">
        <v>14</v>
      </c>
      <c r="G933" s="22">
        <v>42599</v>
      </c>
      <c r="H933" s="8">
        <v>47567</v>
      </c>
      <c r="I933" s="7" t="str">
        <f t="shared" si="158"/>
        <v>dajwinder.kumar@ma.kur.ba</v>
      </c>
      <c r="J933" s="6" t="s">
        <v>1539</v>
      </c>
      <c r="K933" s="6">
        <v>66</v>
      </c>
      <c r="L933" s="7" t="str">
        <f t="shared" si="159"/>
        <v>ma.kur.ba</v>
      </c>
      <c r="M933" s="7" t="str">
        <f t="shared" si="160"/>
        <v>K.Dajwinder</v>
      </c>
      <c r="N933" s="6">
        <f t="shared" si="155"/>
        <v>8</v>
      </c>
      <c r="O933" s="6">
        <f t="shared" si="154"/>
        <v>0</v>
      </c>
      <c r="P933" s="6" t="str">
        <f t="shared" si="161"/>
        <v>N</v>
      </c>
      <c r="Q933" s="6">
        <f t="shared" si="162"/>
        <v>14</v>
      </c>
      <c r="R933" s="6" t="str">
        <f t="shared" si="163"/>
        <v>2016</v>
      </c>
      <c r="S933" s="6" t="str">
        <f t="shared" si="164"/>
        <v>Aug</v>
      </c>
    </row>
    <row r="934" spans="1:19" x14ac:dyDescent="0.25">
      <c r="A934" s="6">
        <v>919</v>
      </c>
      <c r="B934" s="6" t="str">
        <f t="shared" si="156"/>
        <v>NIKMAN00919</v>
      </c>
      <c r="C934" s="7" t="s">
        <v>171</v>
      </c>
      <c r="D934" s="7" t="s">
        <v>347</v>
      </c>
      <c r="E934" s="7" t="str">
        <f t="shared" si="157"/>
        <v>RITESH MANOJBHAI</v>
      </c>
      <c r="F934" s="7" t="s">
        <v>14</v>
      </c>
      <c r="G934" s="22">
        <v>43115</v>
      </c>
      <c r="H934" s="8">
        <v>38916</v>
      </c>
      <c r="I934" s="7" t="str">
        <f t="shared" si="158"/>
        <v>ritesh.manojbhai@ma.mai.ba</v>
      </c>
      <c r="J934" s="6" t="s">
        <v>1532</v>
      </c>
      <c r="K934" s="6">
        <v>37</v>
      </c>
      <c r="L934" s="7" t="str">
        <f t="shared" si="159"/>
        <v>ma.mai.ba</v>
      </c>
      <c r="M934" s="7" t="str">
        <f t="shared" si="160"/>
        <v>M.Ritesh</v>
      </c>
      <c r="N934" s="6">
        <f t="shared" si="155"/>
        <v>4</v>
      </c>
      <c r="O934" s="6">
        <f t="shared" si="154"/>
        <v>0</v>
      </c>
      <c r="P934" s="6" t="str">
        <f t="shared" si="161"/>
        <v>N</v>
      </c>
      <c r="Q934" s="6">
        <f t="shared" si="162"/>
        <v>15</v>
      </c>
      <c r="R934" s="6" t="str">
        <f t="shared" si="163"/>
        <v>2018</v>
      </c>
      <c r="S934" s="6" t="str">
        <f t="shared" si="164"/>
        <v>Jan</v>
      </c>
    </row>
    <row r="935" spans="1:19" x14ac:dyDescent="0.25">
      <c r="A935" s="6">
        <v>921</v>
      </c>
      <c r="B935" s="6" t="str">
        <f t="shared" si="156"/>
        <v>NIKMAN00921</v>
      </c>
      <c r="C935" s="7" t="s">
        <v>1062</v>
      </c>
      <c r="D935" s="7" t="s">
        <v>168</v>
      </c>
      <c r="E935" s="7" t="str">
        <f t="shared" si="157"/>
        <v>ADHIRAJ TIWARI</v>
      </c>
      <c r="F935" s="7" t="s">
        <v>14</v>
      </c>
      <c r="G935" s="22">
        <v>43012</v>
      </c>
      <c r="H935" s="8">
        <v>37727</v>
      </c>
      <c r="I935" s="7" t="str">
        <f t="shared" si="158"/>
        <v>adhiraj.tiwari@ma.tii.ba</v>
      </c>
      <c r="J935" s="6" t="s">
        <v>1548</v>
      </c>
      <c r="K935" s="6">
        <v>57</v>
      </c>
      <c r="L935" s="7" t="str">
        <f t="shared" si="159"/>
        <v>ma.tii.ba</v>
      </c>
      <c r="M935" s="7" t="str">
        <f t="shared" si="160"/>
        <v>T.Adhiraj</v>
      </c>
      <c r="N935" s="6">
        <f t="shared" si="155"/>
        <v>0</v>
      </c>
      <c r="O935" s="6">
        <f t="shared" si="154"/>
        <v>0</v>
      </c>
      <c r="P935" s="6" t="str">
        <f t="shared" si="161"/>
        <v>N</v>
      </c>
      <c r="Q935" s="6">
        <f t="shared" si="162"/>
        <v>13</v>
      </c>
      <c r="R935" s="6" t="str">
        <f t="shared" si="163"/>
        <v>2017</v>
      </c>
      <c r="S935" s="6" t="str">
        <f t="shared" si="164"/>
        <v>Oct</v>
      </c>
    </row>
    <row r="936" spans="1:19" x14ac:dyDescent="0.25">
      <c r="A936" s="6">
        <v>924</v>
      </c>
      <c r="B936" s="6" t="str">
        <f t="shared" si="156"/>
        <v>NIKMAN00924</v>
      </c>
      <c r="C936" s="7" t="s">
        <v>1065</v>
      </c>
      <c r="D936" s="7" t="s">
        <v>1066</v>
      </c>
      <c r="E936" s="7" t="str">
        <f t="shared" si="157"/>
        <v>AAKASH PUNDIR</v>
      </c>
      <c r="F936" s="7" t="s">
        <v>14</v>
      </c>
      <c r="G936" s="22">
        <v>43866</v>
      </c>
      <c r="H936" s="8">
        <v>91795</v>
      </c>
      <c r="I936" s="7" t="str">
        <f t="shared" si="158"/>
        <v>aakash.pundir@ma.pur.ba</v>
      </c>
      <c r="J936" s="6" t="s">
        <v>1542</v>
      </c>
      <c r="K936" s="6">
        <v>35</v>
      </c>
      <c r="L936" s="7" t="str">
        <f t="shared" si="159"/>
        <v>ma.pur.ba</v>
      </c>
      <c r="M936" s="7" t="str">
        <f t="shared" si="160"/>
        <v>P.Aakash</v>
      </c>
      <c r="N936" s="6">
        <f t="shared" si="155"/>
        <v>0</v>
      </c>
      <c r="O936" s="6">
        <f t="shared" si="154"/>
        <v>0</v>
      </c>
      <c r="P936" s="6" t="str">
        <f t="shared" si="161"/>
        <v>N</v>
      </c>
      <c r="Q936" s="6">
        <f t="shared" si="162"/>
        <v>12</v>
      </c>
      <c r="R936" s="6" t="str">
        <f t="shared" si="163"/>
        <v>2020</v>
      </c>
      <c r="S936" s="6" t="str">
        <f t="shared" si="164"/>
        <v>Feb</v>
      </c>
    </row>
    <row r="937" spans="1:19" x14ac:dyDescent="0.25">
      <c r="A937" s="6">
        <v>943</v>
      </c>
      <c r="B937" s="6" t="str">
        <f t="shared" si="156"/>
        <v>NIKMAN00943</v>
      </c>
      <c r="C937" s="7" t="s">
        <v>254</v>
      </c>
      <c r="D937" s="7" t="s">
        <v>48</v>
      </c>
      <c r="E937" s="7" t="str">
        <f t="shared" si="157"/>
        <v>SUHAS SANJAY</v>
      </c>
      <c r="F937" s="7" t="s">
        <v>14</v>
      </c>
      <c r="G937" s="22">
        <v>43383</v>
      </c>
      <c r="H937" s="8">
        <v>82366</v>
      </c>
      <c r="I937" s="7" t="str">
        <f t="shared" si="158"/>
        <v>suhas.sanjay@ma.say.ba</v>
      </c>
      <c r="J937" s="6" t="s">
        <v>1547</v>
      </c>
      <c r="K937" s="6">
        <v>56</v>
      </c>
      <c r="L937" s="7" t="str">
        <f t="shared" si="159"/>
        <v>ma.say.ba</v>
      </c>
      <c r="M937" s="7" t="str">
        <f t="shared" si="160"/>
        <v>S.Suhas</v>
      </c>
      <c r="N937" s="6">
        <f t="shared" si="155"/>
        <v>0</v>
      </c>
      <c r="O937" s="6">
        <f t="shared" si="154"/>
        <v>0</v>
      </c>
      <c r="P937" s="6" t="str">
        <f t="shared" si="161"/>
        <v>N</v>
      </c>
      <c r="Q937" s="6">
        <f t="shared" si="162"/>
        <v>11</v>
      </c>
      <c r="R937" s="6" t="str">
        <f t="shared" si="163"/>
        <v>2018</v>
      </c>
      <c r="S937" s="6" t="str">
        <f t="shared" si="164"/>
        <v>Oct</v>
      </c>
    </row>
    <row r="938" spans="1:19" x14ac:dyDescent="0.25">
      <c r="A938" s="6">
        <v>950</v>
      </c>
      <c r="B938" s="6" t="str">
        <f t="shared" si="156"/>
        <v>NIKMAN00950</v>
      </c>
      <c r="C938" s="7" t="s">
        <v>348</v>
      </c>
      <c r="D938" s="7" t="s">
        <v>55</v>
      </c>
      <c r="E938" s="7" t="str">
        <f t="shared" si="157"/>
        <v>AKASH SHARMA</v>
      </c>
      <c r="F938" s="7" t="s">
        <v>14</v>
      </c>
      <c r="G938" s="22">
        <v>43565</v>
      </c>
      <c r="H938" s="8">
        <v>105782</v>
      </c>
      <c r="I938" s="7" t="str">
        <f t="shared" si="158"/>
        <v>akash.sharma@ma.sha.ba</v>
      </c>
      <c r="J938" s="6" t="s">
        <v>1539</v>
      </c>
      <c r="K938" s="6">
        <v>70</v>
      </c>
      <c r="L938" s="7" t="str">
        <f t="shared" si="159"/>
        <v>ma.sha.ba</v>
      </c>
      <c r="M938" s="7" t="str">
        <f t="shared" si="160"/>
        <v>S.Akash</v>
      </c>
      <c r="N938" s="6">
        <f t="shared" si="155"/>
        <v>0</v>
      </c>
      <c r="O938" s="6">
        <f t="shared" si="154"/>
        <v>0</v>
      </c>
      <c r="P938" s="6" t="str">
        <f t="shared" si="161"/>
        <v>N</v>
      </c>
      <c r="Q938" s="6">
        <f t="shared" si="162"/>
        <v>11</v>
      </c>
      <c r="R938" s="6" t="str">
        <f t="shared" si="163"/>
        <v>2019</v>
      </c>
      <c r="S938" s="6" t="str">
        <f t="shared" si="164"/>
        <v>Apr</v>
      </c>
    </row>
    <row r="939" spans="1:19" x14ac:dyDescent="0.25">
      <c r="A939" s="6">
        <v>960</v>
      </c>
      <c r="B939" s="6" t="str">
        <f t="shared" si="156"/>
        <v>NIKMAN00960</v>
      </c>
      <c r="C939" s="7" t="s">
        <v>622</v>
      </c>
      <c r="D939" s="7" t="s">
        <v>70</v>
      </c>
      <c r="E939" s="7" t="str">
        <f t="shared" si="157"/>
        <v>JASIMA SINGH</v>
      </c>
      <c r="F939" s="7" t="s">
        <v>14</v>
      </c>
      <c r="G939" s="22">
        <v>43647</v>
      </c>
      <c r="H939" s="8">
        <v>107423</v>
      </c>
      <c r="I939" s="7" t="str">
        <f t="shared" si="158"/>
        <v>jasima.singh@ma.sih.ba</v>
      </c>
      <c r="J939" s="6" t="s">
        <v>1546</v>
      </c>
      <c r="K939" s="6">
        <v>81</v>
      </c>
      <c r="L939" s="7" t="str">
        <f t="shared" si="159"/>
        <v>ma.sih.ba</v>
      </c>
      <c r="M939" s="7" t="str">
        <f t="shared" si="160"/>
        <v>S.Jasima</v>
      </c>
      <c r="N939" s="6">
        <f t="shared" si="155"/>
        <v>0</v>
      </c>
      <c r="O939" s="6">
        <f t="shared" si="154"/>
        <v>0</v>
      </c>
      <c r="P939" s="6" t="str">
        <f t="shared" si="161"/>
        <v>N</v>
      </c>
      <c r="Q939" s="6">
        <f t="shared" si="162"/>
        <v>11</v>
      </c>
      <c r="R939" s="6" t="str">
        <f t="shared" si="163"/>
        <v>2019</v>
      </c>
      <c r="S939" s="6" t="str">
        <f t="shared" si="164"/>
        <v>Jul</v>
      </c>
    </row>
    <row r="940" spans="1:19" x14ac:dyDescent="0.25">
      <c r="A940" s="6">
        <v>962</v>
      </c>
      <c r="B940" s="6" t="str">
        <f t="shared" si="156"/>
        <v>NIKMAN00962</v>
      </c>
      <c r="C940" s="7" t="s">
        <v>1090</v>
      </c>
      <c r="D940" s="7" t="s">
        <v>1091</v>
      </c>
      <c r="E940" s="7" t="str">
        <f t="shared" si="157"/>
        <v>GOURAV DHINGRA</v>
      </c>
      <c r="F940" s="7" t="s">
        <v>14</v>
      </c>
      <c r="G940" s="22">
        <v>43845</v>
      </c>
      <c r="H940" s="8">
        <v>50516</v>
      </c>
      <c r="I940" s="7" t="str">
        <f t="shared" si="158"/>
        <v>gourav.dhingra@ma.dha.ba</v>
      </c>
      <c r="J940" s="6" t="s">
        <v>1534</v>
      </c>
      <c r="K940" s="6">
        <v>51</v>
      </c>
      <c r="L940" s="7" t="str">
        <f t="shared" si="159"/>
        <v>ma.dha.ba</v>
      </c>
      <c r="M940" s="7" t="str">
        <f t="shared" si="160"/>
        <v>D.Gourav</v>
      </c>
      <c r="N940" s="6">
        <f t="shared" si="155"/>
        <v>0</v>
      </c>
      <c r="O940" s="6">
        <f t="shared" ref="O940:O1003" si="165">IFERROR(SEARCH("e",D940),0)</f>
        <v>0</v>
      </c>
      <c r="P940" s="6" t="str">
        <f t="shared" si="161"/>
        <v>N</v>
      </c>
      <c r="Q940" s="6">
        <f t="shared" si="162"/>
        <v>13</v>
      </c>
      <c r="R940" s="6" t="str">
        <f t="shared" si="163"/>
        <v>2020</v>
      </c>
      <c r="S940" s="6" t="str">
        <f t="shared" si="164"/>
        <v>Jan</v>
      </c>
    </row>
    <row r="941" spans="1:19" x14ac:dyDescent="0.25">
      <c r="A941" s="6">
        <v>967</v>
      </c>
      <c r="B941" s="6" t="str">
        <f t="shared" si="156"/>
        <v>NIKMAN00967</v>
      </c>
      <c r="C941" s="7" t="s">
        <v>65</v>
      </c>
      <c r="D941" s="7" t="s">
        <v>1095</v>
      </c>
      <c r="E941" s="7" t="str">
        <f t="shared" si="157"/>
        <v>RAHUL CHOUDHARY</v>
      </c>
      <c r="F941" s="7" t="s">
        <v>14</v>
      </c>
      <c r="G941" s="22">
        <v>43876</v>
      </c>
      <c r="H941" s="8">
        <v>82734</v>
      </c>
      <c r="I941" s="7" t="str">
        <f t="shared" si="158"/>
        <v>rahul.choudhary@ma.chy.ba</v>
      </c>
      <c r="J941" s="6" t="s">
        <v>1550</v>
      </c>
      <c r="K941" s="6">
        <v>81</v>
      </c>
      <c r="L941" s="7" t="str">
        <f t="shared" si="159"/>
        <v>ma.chy.ba</v>
      </c>
      <c r="M941" s="7" t="str">
        <f t="shared" si="160"/>
        <v>C.Rahul</v>
      </c>
      <c r="N941" s="6">
        <f t="shared" si="155"/>
        <v>0</v>
      </c>
      <c r="O941" s="6">
        <f t="shared" si="165"/>
        <v>0</v>
      </c>
      <c r="P941" s="6" t="str">
        <f t="shared" si="161"/>
        <v>N</v>
      </c>
      <c r="Q941" s="6">
        <f t="shared" si="162"/>
        <v>14</v>
      </c>
      <c r="R941" s="6" t="str">
        <f t="shared" si="163"/>
        <v>2020</v>
      </c>
      <c r="S941" s="6" t="str">
        <f t="shared" si="164"/>
        <v>Feb</v>
      </c>
    </row>
    <row r="942" spans="1:19" x14ac:dyDescent="0.25">
      <c r="A942" s="6">
        <v>974</v>
      </c>
      <c r="B942" s="6" t="str">
        <f t="shared" si="156"/>
        <v>NIKMAN00974</v>
      </c>
      <c r="C942" s="7" t="s">
        <v>711</v>
      </c>
      <c r="D942" s="7" t="s">
        <v>1101</v>
      </c>
      <c r="E942" s="7" t="str">
        <f t="shared" si="157"/>
        <v>PARAG PRABHAKAR</v>
      </c>
      <c r="F942" s="7" t="s">
        <v>14</v>
      </c>
      <c r="G942" s="22">
        <v>43899</v>
      </c>
      <c r="H942" s="8">
        <v>59697</v>
      </c>
      <c r="I942" s="7" t="str">
        <f t="shared" si="158"/>
        <v>parag.prabhakar@ma.prr.ba</v>
      </c>
      <c r="J942" s="6" t="s">
        <v>1535</v>
      </c>
      <c r="K942" s="6">
        <v>63</v>
      </c>
      <c r="L942" s="7" t="str">
        <f t="shared" si="159"/>
        <v>ma.prr.ba</v>
      </c>
      <c r="M942" s="7" t="str">
        <f t="shared" si="160"/>
        <v>P.Parag</v>
      </c>
      <c r="N942" s="6">
        <f t="shared" ref="N942:N1005" si="166">IFERROR(SEARCH("e",C942),0)</f>
        <v>0</v>
      </c>
      <c r="O942" s="6">
        <f t="shared" si="165"/>
        <v>0</v>
      </c>
      <c r="P942" s="6" t="str">
        <f t="shared" si="161"/>
        <v>N</v>
      </c>
      <c r="Q942" s="6">
        <f t="shared" si="162"/>
        <v>14</v>
      </c>
      <c r="R942" s="6" t="str">
        <f t="shared" si="163"/>
        <v>2020</v>
      </c>
      <c r="S942" s="6" t="str">
        <f t="shared" si="164"/>
        <v>Mar</v>
      </c>
    </row>
    <row r="943" spans="1:19" x14ac:dyDescent="0.25">
      <c r="A943" s="6">
        <v>981</v>
      </c>
      <c r="B943" s="6" t="str">
        <f t="shared" si="156"/>
        <v>NIKMAN00981</v>
      </c>
      <c r="C943" s="7" t="s">
        <v>930</v>
      </c>
      <c r="D943" s="7" t="s">
        <v>70</v>
      </c>
      <c r="E943" s="7" t="str">
        <f t="shared" si="157"/>
        <v>SNEHAL SINGH</v>
      </c>
      <c r="F943" s="7" t="s">
        <v>14</v>
      </c>
      <c r="G943" s="22">
        <v>42830</v>
      </c>
      <c r="H943" s="8">
        <v>39177</v>
      </c>
      <c r="I943" s="7" t="str">
        <f t="shared" si="158"/>
        <v>snehal.singh@ma.sih.ba</v>
      </c>
      <c r="J943" s="6" t="s">
        <v>1546</v>
      </c>
      <c r="K943" s="6">
        <v>68</v>
      </c>
      <c r="L943" s="7" t="str">
        <f t="shared" si="159"/>
        <v>ma.sih.ba</v>
      </c>
      <c r="M943" s="7" t="str">
        <f t="shared" si="160"/>
        <v>S.Snehal</v>
      </c>
      <c r="N943" s="6">
        <f t="shared" si="166"/>
        <v>3</v>
      </c>
      <c r="O943" s="6">
        <f t="shared" si="165"/>
        <v>0</v>
      </c>
      <c r="P943" s="6" t="str">
        <f t="shared" si="161"/>
        <v>N</v>
      </c>
      <c r="Q943" s="6">
        <f t="shared" si="162"/>
        <v>11</v>
      </c>
      <c r="R943" s="6" t="str">
        <f t="shared" si="163"/>
        <v>2017</v>
      </c>
      <c r="S943" s="6" t="str">
        <f t="shared" si="164"/>
        <v>Apr</v>
      </c>
    </row>
    <row r="944" spans="1:19" x14ac:dyDescent="0.25">
      <c r="A944" s="6">
        <v>983</v>
      </c>
      <c r="B944" s="6" t="str">
        <f t="shared" si="156"/>
        <v>NIKMAN00983</v>
      </c>
      <c r="C944" s="7" t="s">
        <v>775</v>
      </c>
      <c r="D944" s="7" t="s">
        <v>68</v>
      </c>
      <c r="E944" s="7" t="str">
        <f t="shared" si="157"/>
        <v>ALOK KUMAR</v>
      </c>
      <c r="F944" s="7" t="s">
        <v>14</v>
      </c>
      <c r="G944" s="22">
        <v>43739</v>
      </c>
      <c r="H944" s="8">
        <v>96561</v>
      </c>
      <c r="I944" s="7" t="str">
        <f t="shared" si="158"/>
        <v>alok.kumar@ma.kur.ba</v>
      </c>
      <c r="J944" s="6" t="s">
        <v>1532</v>
      </c>
      <c r="K944" s="6">
        <v>59</v>
      </c>
      <c r="L944" s="7" t="str">
        <f t="shared" si="159"/>
        <v>ma.kur.ba</v>
      </c>
      <c r="M944" s="7" t="str">
        <f t="shared" si="160"/>
        <v>K.Alok</v>
      </c>
      <c r="N944" s="6">
        <f t="shared" si="166"/>
        <v>0</v>
      </c>
      <c r="O944" s="6">
        <f t="shared" si="165"/>
        <v>0</v>
      </c>
      <c r="P944" s="6" t="str">
        <f t="shared" si="161"/>
        <v>N</v>
      </c>
      <c r="Q944" s="6">
        <f t="shared" si="162"/>
        <v>9</v>
      </c>
      <c r="R944" s="6" t="str">
        <f t="shared" si="163"/>
        <v>2019</v>
      </c>
      <c r="S944" s="6" t="str">
        <f t="shared" si="164"/>
        <v>Oct</v>
      </c>
    </row>
    <row r="945" spans="1:19" x14ac:dyDescent="0.25">
      <c r="A945" s="6">
        <v>995</v>
      </c>
      <c r="B945" s="6" t="str">
        <f t="shared" si="156"/>
        <v>NIKMAN00995</v>
      </c>
      <c r="C945" s="7" t="s">
        <v>1122</v>
      </c>
      <c r="D945" s="7" t="s">
        <v>1123</v>
      </c>
      <c r="E945" s="7" t="str">
        <f t="shared" si="157"/>
        <v>KETAN SHRINIVAS</v>
      </c>
      <c r="F945" s="7" t="s">
        <v>14</v>
      </c>
      <c r="G945" s="22">
        <v>42268</v>
      </c>
      <c r="H945" s="8">
        <v>81110</v>
      </c>
      <c r="I945" s="7" t="str">
        <f t="shared" si="158"/>
        <v>ketan.shrinivas@ma.shs.ba</v>
      </c>
      <c r="J945" s="6" t="s">
        <v>1545</v>
      </c>
      <c r="K945" s="6">
        <v>51</v>
      </c>
      <c r="L945" s="7" t="str">
        <f t="shared" si="159"/>
        <v>ma.shs.ba</v>
      </c>
      <c r="M945" s="7" t="str">
        <f t="shared" si="160"/>
        <v>S.Ketan</v>
      </c>
      <c r="N945" s="6">
        <f t="shared" si="166"/>
        <v>2</v>
      </c>
      <c r="O945" s="6">
        <f t="shared" si="165"/>
        <v>0</v>
      </c>
      <c r="P945" s="6" t="str">
        <f t="shared" si="161"/>
        <v>N</v>
      </c>
      <c r="Q945" s="6">
        <f t="shared" si="162"/>
        <v>14</v>
      </c>
      <c r="R945" s="6" t="str">
        <f t="shared" si="163"/>
        <v>2015</v>
      </c>
      <c r="S945" s="6" t="str">
        <f t="shared" si="164"/>
        <v>Sep</v>
      </c>
    </row>
    <row r="946" spans="1:19" x14ac:dyDescent="0.25">
      <c r="A946" s="6">
        <v>999</v>
      </c>
      <c r="B946" s="6" t="str">
        <f t="shared" si="156"/>
        <v>NIKMAN00999</v>
      </c>
      <c r="C946" s="7" t="s">
        <v>23</v>
      </c>
      <c r="D946" s="7" t="s">
        <v>46</v>
      </c>
      <c r="E946" s="7" t="str">
        <f t="shared" si="157"/>
        <v>ROHIT DINESH</v>
      </c>
      <c r="F946" s="7" t="s">
        <v>14</v>
      </c>
      <c r="G946" s="22">
        <v>43633</v>
      </c>
      <c r="H946" s="8">
        <v>49529</v>
      </c>
      <c r="I946" s="7" t="str">
        <f t="shared" si="158"/>
        <v>rohit.dinesh@ma.dih.ba</v>
      </c>
      <c r="J946" s="6" t="s">
        <v>1537</v>
      </c>
      <c r="K946" s="6">
        <v>55</v>
      </c>
      <c r="L946" s="7" t="str">
        <f t="shared" si="159"/>
        <v>ma.dih.ba</v>
      </c>
      <c r="M946" s="7" t="str">
        <f t="shared" si="160"/>
        <v>D.Rohit</v>
      </c>
      <c r="N946" s="6">
        <f t="shared" si="166"/>
        <v>0</v>
      </c>
      <c r="O946" s="6">
        <f t="shared" si="165"/>
        <v>4</v>
      </c>
      <c r="P946" s="6" t="str">
        <f t="shared" si="161"/>
        <v>N</v>
      </c>
      <c r="Q946" s="6">
        <f t="shared" si="162"/>
        <v>11</v>
      </c>
      <c r="R946" s="6" t="str">
        <f t="shared" si="163"/>
        <v>2019</v>
      </c>
      <c r="S946" s="6" t="str">
        <f t="shared" si="164"/>
        <v>Jun</v>
      </c>
    </row>
    <row r="947" spans="1:19" x14ac:dyDescent="0.25">
      <c r="A947" s="6">
        <v>1011</v>
      </c>
      <c r="B947" s="6" t="str">
        <f t="shared" si="156"/>
        <v>NIKMAN01011</v>
      </c>
      <c r="C947" s="7" t="s">
        <v>878</v>
      </c>
      <c r="D947" s="7" t="s">
        <v>1140</v>
      </c>
      <c r="E947" s="7" t="str">
        <f t="shared" si="157"/>
        <v>UMESH CHANDRA</v>
      </c>
      <c r="F947" s="7" t="s">
        <v>14</v>
      </c>
      <c r="G947" s="22">
        <v>43444</v>
      </c>
      <c r="H947" s="8">
        <v>77613</v>
      </c>
      <c r="I947" s="7" t="str">
        <f t="shared" si="158"/>
        <v>umesh.chandra@ma.cha.ba</v>
      </c>
      <c r="J947" s="6" t="s">
        <v>1546</v>
      </c>
      <c r="K947" s="6">
        <v>40</v>
      </c>
      <c r="L947" s="7" t="str">
        <f t="shared" si="159"/>
        <v>ma.cha.ba</v>
      </c>
      <c r="M947" s="7" t="str">
        <f t="shared" si="160"/>
        <v>C.Umesh</v>
      </c>
      <c r="N947" s="6">
        <f t="shared" si="166"/>
        <v>3</v>
      </c>
      <c r="O947" s="6">
        <f t="shared" si="165"/>
        <v>0</v>
      </c>
      <c r="P947" s="6" t="str">
        <f t="shared" si="161"/>
        <v>N</v>
      </c>
      <c r="Q947" s="6">
        <f t="shared" si="162"/>
        <v>12</v>
      </c>
      <c r="R947" s="6" t="str">
        <f t="shared" si="163"/>
        <v>2018</v>
      </c>
      <c r="S947" s="6" t="str">
        <f t="shared" si="164"/>
        <v>Dec</v>
      </c>
    </row>
    <row r="948" spans="1:19" x14ac:dyDescent="0.25">
      <c r="A948" s="6">
        <v>1024</v>
      </c>
      <c r="B948" s="6" t="str">
        <f t="shared" si="156"/>
        <v>NIKMAN01024</v>
      </c>
      <c r="C948" s="7" t="s">
        <v>371</v>
      </c>
      <c r="D948" s="7" t="s">
        <v>597</v>
      </c>
      <c r="E948" s="7" t="str">
        <f t="shared" si="157"/>
        <v>CHANDRASHEKHAR DEWANGAN</v>
      </c>
      <c r="F948" s="7" t="s">
        <v>14</v>
      </c>
      <c r="G948" s="22">
        <v>41764</v>
      </c>
      <c r="H948" s="8">
        <v>66963</v>
      </c>
      <c r="I948" s="7" t="str">
        <f t="shared" si="158"/>
        <v>chandrashekhar.dewangan@ma.den.ba</v>
      </c>
      <c r="J948" s="6" t="s">
        <v>1535</v>
      </c>
      <c r="K948" s="6">
        <v>46</v>
      </c>
      <c r="L948" s="7" t="str">
        <f t="shared" si="159"/>
        <v>ma.den.ba</v>
      </c>
      <c r="M948" s="7" t="str">
        <f t="shared" si="160"/>
        <v>D.Chandrashekhar</v>
      </c>
      <c r="N948" s="6">
        <f t="shared" si="166"/>
        <v>10</v>
      </c>
      <c r="O948" s="6">
        <f t="shared" si="165"/>
        <v>2</v>
      </c>
      <c r="P948" s="6" t="str">
        <f t="shared" si="161"/>
        <v>Y</v>
      </c>
      <c r="Q948" s="6">
        <f t="shared" si="162"/>
        <v>22</v>
      </c>
      <c r="R948" s="6" t="str">
        <f t="shared" si="163"/>
        <v>2014</v>
      </c>
      <c r="S948" s="6" t="str">
        <f t="shared" si="164"/>
        <v>May</v>
      </c>
    </row>
    <row r="949" spans="1:19" x14ac:dyDescent="0.25">
      <c r="A949" s="6">
        <v>1041</v>
      </c>
      <c r="B949" s="6" t="str">
        <f t="shared" si="156"/>
        <v>NIKMAN01041</v>
      </c>
      <c r="C949" s="7" t="s">
        <v>306</v>
      </c>
      <c r="D949" s="7" t="s">
        <v>156</v>
      </c>
      <c r="E949" s="7" t="str">
        <f t="shared" si="157"/>
        <v>SIDDHARTH R</v>
      </c>
      <c r="F949" s="7" t="s">
        <v>14</v>
      </c>
      <c r="G949" s="22">
        <v>42779</v>
      </c>
      <c r="H949" s="8">
        <v>78341</v>
      </c>
      <c r="I949" s="7" t="str">
        <f t="shared" si="158"/>
        <v>siddharth.r@ma.rr.ba</v>
      </c>
      <c r="J949" s="6" t="s">
        <v>1539</v>
      </c>
      <c r="K949" s="6">
        <v>43</v>
      </c>
      <c r="L949" s="7" t="str">
        <f t="shared" si="159"/>
        <v>ma.rr.ba</v>
      </c>
      <c r="M949" s="7" t="str">
        <f t="shared" si="160"/>
        <v>R.Siddharth</v>
      </c>
      <c r="N949" s="6">
        <f t="shared" si="166"/>
        <v>0</v>
      </c>
      <c r="O949" s="6">
        <f t="shared" si="165"/>
        <v>0</v>
      </c>
      <c r="P949" s="6" t="str">
        <f t="shared" si="161"/>
        <v>N</v>
      </c>
      <c r="Q949" s="6">
        <f t="shared" si="162"/>
        <v>10</v>
      </c>
      <c r="R949" s="6" t="str">
        <f t="shared" si="163"/>
        <v>2017</v>
      </c>
      <c r="S949" s="6" t="str">
        <f t="shared" si="164"/>
        <v>Feb</v>
      </c>
    </row>
    <row r="950" spans="1:19" x14ac:dyDescent="0.25">
      <c r="A950" s="6">
        <v>1065</v>
      </c>
      <c r="B950" s="6" t="str">
        <f t="shared" si="156"/>
        <v>NIKMAN01065</v>
      </c>
      <c r="C950" s="7" t="s">
        <v>54</v>
      </c>
      <c r="D950" s="7" t="s">
        <v>1178</v>
      </c>
      <c r="E950" s="7" t="str">
        <f t="shared" si="157"/>
        <v>GANESH MADHAVRAO</v>
      </c>
      <c r="F950" s="7" t="s">
        <v>14</v>
      </c>
      <c r="G950" s="22">
        <v>44393</v>
      </c>
      <c r="H950" s="8">
        <v>30275</v>
      </c>
      <c r="I950" s="7" t="str">
        <f t="shared" si="158"/>
        <v>ganesh.madhavrao@ma.mao.ba</v>
      </c>
      <c r="J950" s="6" t="s">
        <v>1540</v>
      </c>
      <c r="K950" s="6">
        <v>63</v>
      </c>
      <c r="L950" s="7" t="str">
        <f t="shared" si="159"/>
        <v>ma.mao.ba</v>
      </c>
      <c r="M950" s="7" t="str">
        <f t="shared" si="160"/>
        <v>M.Ganesh</v>
      </c>
      <c r="N950" s="6">
        <f t="shared" si="166"/>
        <v>4</v>
      </c>
      <c r="O950" s="6">
        <f t="shared" si="165"/>
        <v>0</v>
      </c>
      <c r="P950" s="6" t="str">
        <f t="shared" si="161"/>
        <v>N</v>
      </c>
      <c r="Q950" s="6">
        <f t="shared" si="162"/>
        <v>15</v>
      </c>
      <c r="R950" s="6" t="str">
        <f t="shared" si="163"/>
        <v>2021</v>
      </c>
      <c r="S950" s="6" t="str">
        <f t="shared" si="164"/>
        <v>Jul</v>
      </c>
    </row>
    <row r="951" spans="1:19" x14ac:dyDescent="0.25">
      <c r="A951" s="6">
        <v>1076</v>
      </c>
      <c r="B951" s="6" t="str">
        <f t="shared" si="156"/>
        <v>NIKMAN01076</v>
      </c>
      <c r="C951" s="7" t="s">
        <v>1187</v>
      </c>
      <c r="D951" s="7" t="s">
        <v>46</v>
      </c>
      <c r="E951" s="7" t="str">
        <f t="shared" si="157"/>
        <v>YASHWINI DINESH</v>
      </c>
      <c r="F951" s="7" t="s">
        <v>14</v>
      </c>
      <c r="G951" s="22">
        <v>44417</v>
      </c>
      <c r="H951" s="8">
        <v>95130</v>
      </c>
      <c r="I951" s="7" t="str">
        <f t="shared" si="158"/>
        <v>yashwini.dinesh@ma.dih.ba</v>
      </c>
      <c r="J951" s="6" t="s">
        <v>1547</v>
      </c>
      <c r="K951" s="6">
        <v>55</v>
      </c>
      <c r="L951" s="7" t="str">
        <f t="shared" si="159"/>
        <v>ma.dih.ba</v>
      </c>
      <c r="M951" s="7" t="str">
        <f t="shared" si="160"/>
        <v>D.Yashwini</v>
      </c>
      <c r="N951" s="6">
        <f t="shared" si="166"/>
        <v>0</v>
      </c>
      <c r="O951" s="6">
        <f t="shared" si="165"/>
        <v>4</v>
      </c>
      <c r="P951" s="6" t="str">
        <f t="shared" si="161"/>
        <v>N</v>
      </c>
      <c r="Q951" s="6">
        <f t="shared" si="162"/>
        <v>14</v>
      </c>
      <c r="R951" s="6" t="str">
        <f t="shared" si="163"/>
        <v>2021</v>
      </c>
      <c r="S951" s="6" t="str">
        <f t="shared" si="164"/>
        <v>Aug</v>
      </c>
    </row>
    <row r="952" spans="1:19" x14ac:dyDescent="0.25">
      <c r="A952" s="6">
        <v>1077</v>
      </c>
      <c r="B952" s="6" t="str">
        <f t="shared" si="156"/>
        <v>NIKMAN01077</v>
      </c>
      <c r="C952" s="7" t="s">
        <v>306</v>
      </c>
      <c r="D952" s="7" t="s">
        <v>70</v>
      </c>
      <c r="E952" s="7" t="str">
        <f t="shared" si="157"/>
        <v>SIDDHARTH SINGH</v>
      </c>
      <c r="F952" s="7" t="s">
        <v>14</v>
      </c>
      <c r="G952" s="22">
        <v>43075</v>
      </c>
      <c r="H952" s="8">
        <v>104962</v>
      </c>
      <c r="I952" s="7" t="str">
        <f t="shared" si="158"/>
        <v>siddharth.singh@ma.sih.ba</v>
      </c>
      <c r="J952" s="6" t="s">
        <v>1541</v>
      </c>
      <c r="K952" s="6">
        <v>37</v>
      </c>
      <c r="L952" s="7" t="str">
        <f t="shared" si="159"/>
        <v>ma.sih.ba</v>
      </c>
      <c r="M952" s="7" t="str">
        <f t="shared" si="160"/>
        <v>S.Siddharth</v>
      </c>
      <c r="N952" s="6">
        <f t="shared" si="166"/>
        <v>0</v>
      </c>
      <c r="O952" s="6">
        <f t="shared" si="165"/>
        <v>0</v>
      </c>
      <c r="P952" s="6" t="str">
        <f t="shared" si="161"/>
        <v>N</v>
      </c>
      <c r="Q952" s="6">
        <f t="shared" si="162"/>
        <v>14</v>
      </c>
      <c r="R952" s="6" t="str">
        <f t="shared" si="163"/>
        <v>2017</v>
      </c>
      <c r="S952" s="6" t="str">
        <f t="shared" si="164"/>
        <v>Dec</v>
      </c>
    </row>
    <row r="953" spans="1:19" x14ac:dyDescent="0.25">
      <c r="A953" s="6">
        <v>1078</v>
      </c>
      <c r="B953" s="6" t="str">
        <f t="shared" si="156"/>
        <v>NIKMAN01078</v>
      </c>
      <c r="C953" s="7" t="s">
        <v>146</v>
      </c>
      <c r="D953" s="7" t="s">
        <v>68</v>
      </c>
      <c r="E953" s="7" t="str">
        <f t="shared" si="157"/>
        <v>ANKIT KUMAR</v>
      </c>
      <c r="F953" s="7" t="s">
        <v>14</v>
      </c>
      <c r="G953" s="22">
        <v>42699</v>
      </c>
      <c r="H953" s="8">
        <v>65907</v>
      </c>
      <c r="I953" s="7" t="str">
        <f t="shared" si="158"/>
        <v>ankit.kumar@ma.kur.ba</v>
      </c>
      <c r="J953" s="6" t="s">
        <v>1538</v>
      </c>
      <c r="K953" s="6">
        <v>54</v>
      </c>
      <c r="L953" s="7" t="str">
        <f t="shared" si="159"/>
        <v>ma.kur.ba</v>
      </c>
      <c r="M953" s="7" t="str">
        <f t="shared" si="160"/>
        <v>K.Ankit</v>
      </c>
      <c r="N953" s="6">
        <f t="shared" si="166"/>
        <v>0</v>
      </c>
      <c r="O953" s="6">
        <f t="shared" si="165"/>
        <v>0</v>
      </c>
      <c r="P953" s="6" t="str">
        <f t="shared" si="161"/>
        <v>N</v>
      </c>
      <c r="Q953" s="6">
        <f t="shared" si="162"/>
        <v>10</v>
      </c>
      <c r="R953" s="6" t="str">
        <f t="shared" si="163"/>
        <v>2016</v>
      </c>
      <c r="S953" s="6" t="str">
        <f t="shared" si="164"/>
        <v>Nov</v>
      </c>
    </row>
    <row r="954" spans="1:19" x14ac:dyDescent="0.25">
      <c r="A954" s="6">
        <v>1083</v>
      </c>
      <c r="B954" s="6" t="str">
        <f t="shared" si="156"/>
        <v>NIKMAN01083</v>
      </c>
      <c r="C954" s="7" t="s">
        <v>1193</v>
      </c>
      <c r="D954" s="7" t="s">
        <v>1194</v>
      </c>
      <c r="E954" s="7" t="str">
        <f t="shared" si="157"/>
        <v>STANLEY CHACKO</v>
      </c>
      <c r="F954" s="7" t="s">
        <v>14</v>
      </c>
      <c r="G954" s="22">
        <v>41668</v>
      </c>
      <c r="H954" s="8">
        <v>102455</v>
      </c>
      <c r="I954" s="7" t="str">
        <f t="shared" si="158"/>
        <v>stanley.chacko@ma.cho.ba</v>
      </c>
      <c r="J954" s="6" t="s">
        <v>1543</v>
      </c>
      <c r="K954" s="6">
        <v>78</v>
      </c>
      <c r="L954" s="7" t="str">
        <f t="shared" si="159"/>
        <v>ma.cho.ba</v>
      </c>
      <c r="M954" s="7" t="str">
        <f t="shared" si="160"/>
        <v>C.Stanley</v>
      </c>
      <c r="N954" s="6">
        <f t="shared" si="166"/>
        <v>6</v>
      </c>
      <c r="O954" s="6">
        <f t="shared" si="165"/>
        <v>0</v>
      </c>
      <c r="P954" s="6" t="str">
        <f t="shared" si="161"/>
        <v>N</v>
      </c>
      <c r="Q954" s="6">
        <f t="shared" si="162"/>
        <v>13</v>
      </c>
      <c r="R954" s="6" t="str">
        <f t="shared" si="163"/>
        <v>2014</v>
      </c>
      <c r="S954" s="6" t="str">
        <f t="shared" si="164"/>
        <v>Jan</v>
      </c>
    </row>
    <row r="955" spans="1:19" x14ac:dyDescent="0.25">
      <c r="A955" s="6">
        <v>1088</v>
      </c>
      <c r="B955" s="6" t="str">
        <f t="shared" si="156"/>
        <v>NIKMAN01088</v>
      </c>
      <c r="C955" s="7" t="s">
        <v>1200</v>
      </c>
      <c r="D955" s="7" t="s">
        <v>243</v>
      </c>
      <c r="E955" s="7" t="str">
        <f t="shared" si="157"/>
        <v>ANONA AGARWAL</v>
      </c>
      <c r="F955" s="7" t="s">
        <v>14</v>
      </c>
      <c r="G955" s="22">
        <v>43355</v>
      </c>
      <c r="H955" s="8">
        <v>83990</v>
      </c>
      <c r="I955" s="7" t="str">
        <f t="shared" si="158"/>
        <v>anona.agarwal@ma.agl.ba</v>
      </c>
      <c r="J955" s="6" t="s">
        <v>1532</v>
      </c>
      <c r="K955" s="6">
        <v>74</v>
      </c>
      <c r="L955" s="7" t="str">
        <f t="shared" si="159"/>
        <v>ma.agl.ba</v>
      </c>
      <c r="M955" s="7" t="str">
        <f t="shared" si="160"/>
        <v>A.Anona</v>
      </c>
      <c r="N955" s="6">
        <f t="shared" si="166"/>
        <v>0</v>
      </c>
      <c r="O955" s="6">
        <f t="shared" si="165"/>
        <v>0</v>
      </c>
      <c r="P955" s="6" t="str">
        <f t="shared" si="161"/>
        <v>N</v>
      </c>
      <c r="Q955" s="6">
        <f t="shared" si="162"/>
        <v>12</v>
      </c>
      <c r="R955" s="6" t="str">
        <f t="shared" si="163"/>
        <v>2018</v>
      </c>
      <c r="S955" s="6" t="str">
        <f t="shared" si="164"/>
        <v>Sep</v>
      </c>
    </row>
    <row r="956" spans="1:19" x14ac:dyDescent="0.25">
      <c r="A956" s="6">
        <v>1094</v>
      </c>
      <c r="B956" s="6" t="str">
        <f t="shared" si="156"/>
        <v>NIKMAN01094</v>
      </c>
      <c r="C956" s="7" t="s">
        <v>1204</v>
      </c>
      <c r="D956" s="7" t="s">
        <v>1205</v>
      </c>
      <c r="E956" s="7" t="str">
        <f t="shared" si="157"/>
        <v>TEJA RANMALBHAI</v>
      </c>
      <c r="F956" s="7" t="s">
        <v>14</v>
      </c>
      <c r="G956" s="22">
        <v>43512</v>
      </c>
      <c r="H956" s="8">
        <v>60997</v>
      </c>
      <c r="I956" s="7" t="str">
        <f t="shared" si="158"/>
        <v>teja.ranmalbhai@ma.rai.ba</v>
      </c>
      <c r="J956" s="6" t="s">
        <v>1533</v>
      </c>
      <c r="K956" s="6">
        <v>63</v>
      </c>
      <c r="L956" s="7" t="str">
        <f t="shared" si="159"/>
        <v>ma.rai.ba</v>
      </c>
      <c r="M956" s="7" t="str">
        <f t="shared" si="160"/>
        <v>R.Teja</v>
      </c>
      <c r="N956" s="6">
        <f t="shared" si="166"/>
        <v>2</v>
      </c>
      <c r="O956" s="6">
        <f t="shared" si="165"/>
        <v>0</v>
      </c>
      <c r="P956" s="6" t="str">
        <f t="shared" si="161"/>
        <v>N</v>
      </c>
      <c r="Q956" s="6">
        <f t="shared" si="162"/>
        <v>14</v>
      </c>
      <c r="R956" s="6" t="str">
        <f t="shared" si="163"/>
        <v>2019</v>
      </c>
      <c r="S956" s="6" t="str">
        <f t="shared" si="164"/>
        <v>Feb</v>
      </c>
    </row>
    <row r="957" spans="1:19" x14ac:dyDescent="0.25">
      <c r="A957" s="6">
        <v>1096</v>
      </c>
      <c r="B957" s="6" t="str">
        <f t="shared" si="156"/>
        <v>NIKMAN01096</v>
      </c>
      <c r="C957" s="7" t="s">
        <v>1171</v>
      </c>
      <c r="D957" s="7" t="s">
        <v>72</v>
      </c>
      <c r="E957" s="7" t="str">
        <f t="shared" si="157"/>
        <v>KISHAN KUMAWAT</v>
      </c>
      <c r="F957" s="7" t="s">
        <v>14</v>
      </c>
      <c r="G957" s="22">
        <v>43192</v>
      </c>
      <c r="H957" s="8">
        <v>32014</v>
      </c>
      <c r="I957" s="7" t="str">
        <f t="shared" si="158"/>
        <v>kishan.kumawat@ma.kut.ba</v>
      </c>
      <c r="J957" s="6" t="s">
        <v>1532</v>
      </c>
      <c r="K957" s="6">
        <v>80</v>
      </c>
      <c r="L957" s="7" t="str">
        <f t="shared" si="159"/>
        <v>ma.kut.ba</v>
      </c>
      <c r="M957" s="7" t="str">
        <f t="shared" si="160"/>
        <v>K.Kishan</v>
      </c>
      <c r="N957" s="6">
        <f t="shared" si="166"/>
        <v>0</v>
      </c>
      <c r="O957" s="6">
        <f t="shared" si="165"/>
        <v>0</v>
      </c>
      <c r="P957" s="6" t="str">
        <f t="shared" si="161"/>
        <v>N</v>
      </c>
      <c r="Q957" s="6">
        <f t="shared" si="162"/>
        <v>13</v>
      </c>
      <c r="R957" s="6" t="str">
        <f t="shared" si="163"/>
        <v>2018</v>
      </c>
      <c r="S957" s="6" t="str">
        <f t="shared" si="164"/>
        <v>Apr</v>
      </c>
    </row>
    <row r="958" spans="1:19" x14ac:dyDescent="0.25">
      <c r="A958" s="6">
        <v>1099</v>
      </c>
      <c r="B958" s="6" t="str">
        <f t="shared" si="156"/>
        <v>NIKMAN01099</v>
      </c>
      <c r="C958" s="7" t="s">
        <v>45</v>
      </c>
      <c r="D958" s="7" t="s">
        <v>167</v>
      </c>
      <c r="E958" s="7" t="str">
        <f t="shared" si="157"/>
        <v>GARIMA ARORA</v>
      </c>
      <c r="F958" s="7" t="s">
        <v>14</v>
      </c>
      <c r="G958" s="22">
        <v>43383</v>
      </c>
      <c r="H958" s="8">
        <v>45870</v>
      </c>
      <c r="I958" s="7" t="str">
        <f t="shared" si="158"/>
        <v>garima.arora@ma.ara.ba</v>
      </c>
      <c r="J958" s="6" t="s">
        <v>1541</v>
      </c>
      <c r="K958" s="6">
        <v>73</v>
      </c>
      <c r="L958" s="7" t="str">
        <f t="shared" si="159"/>
        <v>ma.ara.ba</v>
      </c>
      <c r="M958" s="7" t="str">
        <f t="shared" si="160"/>
        <v>A.Garima</v>
      </c>
      <c r="N958" s="6">
        <f t="shared" si="166"/>
        <v>0</v>
      </c>
      <c r="O958" s="6">
        <f t="shared" si="165"/>
        <v>0</v>
      </c>
      <c r="P958" s="6" t="str">
        <f t="shared" si="161"/>
        <v>N</v>
      </c>
      <c r="Q958" s="6">
        <f t="shared" si="162"/>
        <v>11</v>
      </c>
      <c r="R958" s="6" t="str">
        <f t="shared" si="163"/>
        <v>2018</v>
      </c>
      <c r="S958" s="6" t="str">
        <f t="shared" si="164"/>
        <v>Oct</v>
      </c>
    </row>
    <row r="959" spans="1:19" x14ac:dyDescent="0.25">
      <c r="A959" s="6">
        <v>1106</v>
      </c>
      <c r="B959" s="6" t="str">
        <f t="shared" si="156"/>
        <v>NIKMAN01106</v>
      </c>
      <c r="C959" s="7" t="s">
        <v>803</v>
      </c>
      <c r="D959" s="7" t="s">
        <v>1212</v>
      </c>
      <c r="E959" s="7" t="str">
        <f t="shared" si="157"/>
        <v>YOGESH SHARAD</v>
      </c>
      <c r="F959" s="7" t="s">
        <v>14</v>
      </c>
      <c r="G959" s="22">
        <v>43586</v>
      </c>
      <c r="H959" s="8">
        <v>52795</v>
      </c>
      <c r="I959" s="7" t="str">
        <f t="shared" si="158"/>
        <v>yogesh.sharad@ma.shd.ba</v>
      </c>
      <c r="J959" s="6" t="s">
        <v>1536</v>
      </c>
      <c r="K959" s="6">
        <v>42</v>
      </c>
      <c r="L959" s="7" t="str">
        <f t="shared" si="159"/>
        <v>ma.shd.ba</v>
      </c>
      <c r="M959" s="7" t="str">
        <f t="shared" si="160"/>
        <v>S.Yogesh</v>
      </c>
      <c r="N959" s="6">
        <f t="shared" si="166"/>
        <v>4</v>
      </c>
      <c r="O959" s="6">
        <f t="shared" si="165"/>
        <v>0</v>
      </c>
      <c r="P959" s="6" t="str">
        <f t="shared" si="161"/>
        <v>N</v>
      </c>
      <c r="Q959" s="6">
        <f t="shared" si="162"/>
        <v>12</v>
      </c>
      <c r="R959" s="6" t="str">
        <f t="shared" si="163"/>
        <v>2019</v>
      </c>
      <c r="S959" s="6" t="str">
        <f t="shared" si="164"/>
        <v>May</v>
      </c>
    </row>
    <row r="960" spans="1:19" x14ac:dyDescent="0.25">
      <c r="A960" s="6">
        <v>1124</v>
      </c>
      <c r="B960" s="6" t="str">
        <f t="shared" si="156"/>
        <v>NIKMAN01124</v>
      </c>
      <c r="C960" s="7" t="s">
        <v>527</v>
      </c>
      <c r="D960" s="7" t="s">
        <v>697</v>
      </c>
      <c r="E960" s="7" t="str">
        <f t="shared" si="157"/>
        <v>NIMISH M</v>
      </c>
      <c r="F960" s="7" t="s">
        <v>14</v>
      </c>
      <c r="G960" s="22">
        <v>41821</v>
      </c>
      <c r="H960" s="8">
        <v>106513</v>
      </c>
      <c r="I960" s="7" t="str">
        <f t="shared" si="158"/>
        <v>nimish.m@ma.mm.ba</v>
      </c>
      <c r="J960" s="6" t="s">
        <v>1543</v>
      </c>
      <c r="K960" s="6">
        <v>48</v>
      </c>
      <c r="L960" s="7" t="str">
        <f t="shared" si="159"/>
        <v>ma.mm.ba</v>
      </c>
      <c r="M960" s="7" t="str">
        <f t="shared" si="160"/>
        <v>M.Nimish</v>
      </c>
      <c r="N960" s="6">
        <f t="shared" si="166"/>
        <v>0</v>
      </c>
      <c r="O960" s="6">
        <f t="shared" si="165"/>
        <v>0</v>
      </c>
      <c r="P960" s="6" t="str">
        <f t="shared" si="161"/>
        <v>N</v>
      </c>
      <c r="Q960" s="6">
        <f t="shared" si="162"/>
        <v>7</v>
      </c>
      <c r="R960" s="6" t="str">
        <f t="shared" si="163"/>
        <v>2014</v>
      </c>
      <c r="S960" s="6" t="str">
        <f t="shared" si="164"/>
        <v>Jul</v>
      </c>
    </row>
    <row r="961" spans="1:19" x14ac:dyDescent="0.25">
      <c r="A961" s="6">
        <v>1128</v>
      </c>
      <c r="B961" s="6" t="str">
        <f t="shared" si="156"/>
        <v>NIKMAN01128</v>
      </c>
      <c r="C961" s="7" t="s">
        <v>1229</v>
      </c>
      <c r="D961" s="7" t="s">
        <v>227</v>
      </c>
      <c r="E961" s="7" t="str">
        <f t="shared" si="157"/>
        <v>SANKET SATISH</v>
      </c>
      <c r="F961" s="7" t="s">
        <v>14</v>
      </c>
      <c r="G961" s="22">
        <v>43754</v>
      </c>
      <c r="H961" s="8">
        <v>60265</v>
      </c>
      <c r="I961" s="7" t="str">
        <f t="shared" si="158"/>
        <v>sanket.satish@ma.sah.ba</v>
      </c>
      <c r="J961" s="6" t="s">
        <v>1550</v>
      </c>
      <c r="K961" s="6">
        <v>51</v>
      </c>
      <c r="L961" s="7" t="str">
        <f t="shared" si="159"/>
        <v>ma.sah.ba</v>
      </c>
      <c r="M961" s="7" t="str">
        <f t="shared" si="160"/>
        <v>S.Sanket</v>
      </c>
      <c r="N961" s="6">
        <f t="shared" si="166"/>
        <v>5</v>
      </c>
      <c r="O961" s="6">
        <f t="shared" si="165"/>
        <v>0</v>
      </c>
      <c r="P961" s="6" t="str">
        <f t="shared" si="161"/>
        <v>N</v>
      </c>
      <c r="Q961" s="6">
        <f t="shared" si="162"/>
        <v>12</v>
      </c>
      <c r="R961" s="6" t="str">
        <f t="shared" si="163"/>
        <v>2019</v>
      </c>
      <c r="S961" s="6" t="str">
        <f t="shared" si="164"/>
        <v>Oct</v>
      </c>
    </row>
    <row r="962" spans="1:19" x14ac:dyDescent="0.25">
      <c r="A962" s="6">
        <v>1134</v>
      </c>
      <c r="B962" s="6" t="str">
        <f t="shared" ref="B962:B1025" si="167">_xlfn.TEXTJOIN("",TRUE,"NIK",UPPER(LEFT(SUBSTITUTE(SUBSTITUTE(F962," ",""),"&amp;",""),3)),TEXT(A962,"00000"))</f>
        <v>NIKMAN01134</v>
      </c>
      <c r="C962" s="7" t="s">
        <v>25</v>
      </c>
      <c r="D962" s="7" t="s">
        <v>208</v>
      </c>
      <c r="E962" s="7" t="str">
        <f t="shared" ref="E962:E1025" si="168">_xlfn.TEXTJOIN(" ",TRUE,C962,D962)</f>
        <v>DIVYA KAPOOR</v>
      </c>
      <c r="F962" s="7" t="s">
        <v>14</v>
      </c>
      <c r="G962" s="22">
        <v>43771</v>
      </c>
      <c r="H962" s="8">
        <v>84315</v>
      </c>
      <c r="I962" s="7" t="str">
        <f t="shared" ref="I962:I1025" si="169">LOWER(C962&amp;"."&amp;D962&amp;"@"&amp;LEFT(SUBSTITUTE(F962," ",""),2))&amp;LOWER("."&amp;LEFT(D962,2))&amp;LOWER(RIGHT(D962,1))&amp;".ba"</f>
        <v>divya.kapoor@ma.kar.ba</v>
      </c>
      <c r="J962" s="6" t="s">
        <v>1542</v>
      </c>
      <c r="K962" s="6">
        <v>69</v>
      </c>
      <c r="L962" s="7" t="str">
        <f t="shared" ref="L962:L1025" si="170">RIGHT(I962,LEN(I962)-FIND("@",I962))</f>
        <v>ma.kar.ba</v>
      </c>
      <c r="M962" s="7" t="str">
        <f t="shared" ref="M962:M1025" si="171">UPPER(LEFT(D962,1))&amp;"."&amp;PROPER(C962)</f>
        <v>K.Divya</v>
      </c>
      <c r="N962" s="6">
        <f t="shared" si="166"/>
        <v>0</v>
      </c>
      <c r="O962" s="6">
        <f t="shared" si="165"/>
        <v>0</v>
      </c>
      <c r="P962" s="6" t="str">
        <f t="shared" ref="P962:P1025" si="172">IF(AND(N962&gt;=1,O962&gt;=1),"Y","N")</f>
        <v>N</v>
      </c>
      <c r="Q962" s="6">
        <f t="shared" ref="Q962:Q1025" si="173">LEN(SUBSTITUTE(E962, " ", ""))</f>
        <v>11</v>
      </c>
      <c r="R962" s="6" t="str">
        <f t="shared" ref="R962:R1025" si="174">TEXT(G962,"YYYY")</f>
        <v>2019</v>
      </c>
      <c r="S962" s="6" t="str">
        <f t="shared" ref="S962:S1025" si="175">TEXT(G962,"MMM")</f>
        <v>Nov</v>
      </c>
    </row>
    <row r="963" spans="1:19" x14ac:dyDescent="0.25">
      <c r="A963" s="6">
        <v>1136</v>
      </c>
      <c r="B963" s="6" t="str">
        <f t="shared" si="167"/>
        <v>NIKMAN01136</v>
      </c>
      <c r="C963" s="7" t="s">
        <v>480</v>
      </c>
      <c r="D963" s="7" t="s">
        <v>95</v>
      </c>
      <c r="E963" s="7" t="str">
        <f t="shared" si="168"/>
        <v>FENIL JOSHI</v>
      </c>
      <c r="F963" s="7" t="s">
        <v>14</v>
      </c>
      <c r="G963" s="22">
        <v>43316</v>
      </c>
      <c r="H963" s="8">
        <v>66381</v>
      </c>
      <c r="I963" s="7" t="str">
        <f t="shared" si="169"/>
        <v>fenil.joshi@ma.joi.ba</v>
      </c>
      <c r="J963" s="6" t="s">
        <v>1550</v>
      </c>
      <c r="K963" s="6">
        <v>36</v>
      </c>
      <c r="L963" s="7" t="str">
        <f t="shared" si="170"/>
        <v>ma.joi.ba</v>
      </c>
      <c r="M963" s="7" t="str">
        <f t="shared" si="171"/>
        <v>J.Fenil</v>
      </c>
      <c r="N963" s="6">
        <f t="shared" si="166"/>
        <v>2</v>
      </c>
      <c r="O963" s="6">
        <f t="shared" si="165"/>
        <v>0</v>
      </c>
      <c r="P963" s="6" t="str">
        <f t="shared" si="172"/>
        <v>N</v>
      </c>
      <c r="Q963" s="6">
        <f t="shared" si="173"/>
        <v>10</v>
      </c>
      <c r="R963" s="6" t="str">
        <f t="shared" si="174"/>
        <v>2018</v>
      </c>
      <c r="S963" s="6" t="str">
        <f t="shared" si="175"/>
        <v>Aug</v>
      </c>
    </row>
    <row r="964" spans="1:19" x14ac:dyDescent="0.25">
      <c r="A964" s="6">
        <v>1137</v>
      </c>
      <c r="B964" s="6" t="str">
        <f t="shared" si="167"/>
        <v>NIKMAN01137</v>
      </c>
      <c r="C964" s="7" t="s">
        <v>515</v>
      </c>
      <c r="D964" s="7" t="s">
        <v>516</v>
      </c>
      <c r="E964" s="7" t="str">
        <f t="shared" si="168"/>
        <v>JALAY VIPULBHAI</v>
      </c>
      <c r="F964" s="7" t="s">
        <v>14</v>
      </c>
      <c r="G964" s="22">
        <v>43600</v>
      </c>
      <c r="H964" s="8">
        <v>108344</v>
      </c>
      <c r="I964" s="7" t="str">
        <f t="shared" si="169"/>
        <v>jalay.vipulbhai@ma.vii.ba</v>
      </c>
      <c r="J964" s="6" t="s">
        <v>1551</v>
      </c>
      <c r="K964" s="6">
        <v>59</v>
      </c>
      <c r="L964" s="7" t="str">
        <f t="shared" si="170"/>
        <v>ma.vii.ba</v>
      </c>
      <c r="M964" s="7" t="str">
        <f t="shared" si="171"/>
        <v>V.Jalay</v>
      </c>
      <c r="N964" s="6">
        <f t="shared" si="166"/>
        <v>0</v>
      </c>
      <c r="O964" s="6">
        <f t="shared" si="165"/>
        <v>0</v>
      </c>
      <c r="P964" s="6" t="str">
        <f t="shared" si="172"/>
        <v>N</v>
      </c>
      <c r="Q964" s="6">
        <f t="shared" si="173"/>
        <v>14</v>
      </c>
      <c r="R964" s="6" t="str">
        <f t="shared" si="174"/>
        <v>2019</v>
      </c>
      <c r="S964" s="6" t="str">
        <f t="shared" si="175"/>
        <v>May</v>
      </c>
    </row>
    <row r="965" spans="1:19" x14ac:dyDescent="0.25">
      <c r="A965" s="6">
        <v>1146</v>
      </c>
      <c r="B965" s="6" t="str">
        <f t="shared" si="167"/>
        <v>NIKMAN01146</v>
      </c>
      <c r="C965" s="7" t="s">
        <v>1245</v>
      </c>
      <c r="D965" s="7" t="s">
        <v>370</v>
      </c>
      <c r="E965" s="7" t="str">
        <f t="shared" si="168"/>
        <v>RAGAV PARMAR</v>
      </c>
      <c r="F965" s="7" t="s">
        <v>14</v>
      </c>
      <c r="G965" s="22">
        <v>43012</v>
      </c>
      <c r="H965" s="8">
        <v>101771</v>
      </c>
      <c r="I965" s="7" t="str">
        <f t="shared" si="169"/>
        <v>ragav.parmar@ma.par.ba</v>
      </c>
      <c r="J965" s="6" t="s">
        <v>1543</v>
      </c>
      <c r="K965" s="6">
        <v>58</v>
      </c>
      <c r="L965" s="7" t="str">
        <f t="shared" si="170"/>
        <v>ma.par.ba</v>
      </c>
      <c r="M965" s="7" t="str">
        <f t="shared" si="171"/>
        <v>P.Ragav</v>
      </c>
      <c r="N965" s="6">
        <f t="shared" si="166"/>
        <v>0</v>
      </c>
      <c r="O965" s="6">
        <f t="shared" si="165"/>
        <v>0</v>
      </c>
      <c r="P965" s="6" t="str">
        <f t="shared" si="172"/>
        <v>N</v>
      </c>
      <c r="Q965" s="6">
        <f t="shared" si="173"/>
        <v>11</v>
      </c>
      <c r="R965" s="6" t="str">
        <f t="shared" si="174"/>
        <v>2017</v>
      </c>
      <c r="S965" s="6" t="str">
        <f t="shared" si="175"/>
        <v>Oct</v>
      </c>
    </row>
    <row r="966" spans="1:19" x14ac:dyDescent="0.25">
      <c r="A966" s="6">
        <v>1149</v>
      </c>
      <c r="B966" s="6" t="str">
        <f t="shared" si="167"/>
        <v>NIKMAN01149</v>
      </c>
      <c r="C966" s="7" t="s">
        <v>709</v>
      </c>
      <c r="D966" s="7" t="s">
        <v>788</v>
      </c>
      <c r="E966" s="7" t="str">
        <f t="shared" si="168"/>
        <v>MAYANK CHAWLA</v>
      </c>
      <c r="F966" s="7" t="s">
        <v>14</v>
      </c>
      <c r="G966" s="22">
        <v>44536</v>
      </c>
      <c r="H966" s="8">
        <v>34500</v>
      </c>
      <c r="I966" s="7" t="str">
        <f t="shared" si="169"/>
        <v>mayank.chawla@ma.cha.ba</v>
      </c>
      <c r="J966" s="6" t="s">
        <v>1540</v>
      </c>
      <c r="K966" s="6">
        <v>37</v>
      </c>
      <c r="L966" s="7" t="str">
        <f t="shared" si="170"/>
        <v>ma.cha.ba</v>
      </c>
      <c r="M966" s="7" t="str">
        <f t="shared" si="171"/>
        <v>C.Mayank</v>
      </c>
      <c r="N966" s="6">
        <f t="shared" si="166"/>
        <v>0</v>
      </c>
      <c r="O966" s="6">
        <f t="shared" si="165"/>
        <v>0</v>
      </c>
      <c r="P966" s="6" t="str">
        <f t="shared" si="172"/>
        <v>N</v>
      </c>
      <c r="Q966" s="6">
        <f t="shared" si="173"/>
        <v>12</v>
      </c>
      <c r="R966" s="6" t="str">
        <f t="shared" si="174"/>
        <v>2021</v>
      </c>
      <c r="S966" s="6" t="str">
        <f t="shared" si="175"/>
        <v>Dec</v>
      </c>
    </row>
    <row r="967" spans="1:19" x14ac:dyDescent="0.25">
      <c r="A967" s="6">
        <v>1153</v>
      </c>
      <c r="B967" s="6" t="str">
        <f t="shared" si="167"/>
        <v>NIKMAN01153</v>
      </c>
      <c r="C967" s="7" t="s">
        <v>1039</v>
      </c>
      <c r="D967" s="7" t="s">
        <v>68</v>
      </c>
      <c r="E967" s="7" t="str">
        <f t="shared" si="168"/>
        <v>NEERAJ KUMAR</v>
      </c>
      <c r="F967" s="7" t="s">
        <v>14</v>
      </c>
      <c r="G967" s="22">
        <v>42040</v>
      </c>
      <c r="H967" s="8">
        <v>93723</v>
      </c>
      <c r="I967" s="7" t="str">
        <f t="shared" si="169"/>
        <v>neeraj.kumar@ma.kur.ba</v>
      </c>
      <c r="J967" s="6" t="s">
        <v>1538</v>
      </c>
      <c r="K967" s="6">
        <v>55</v>
      </c>
      <c r="L967" s="7" t="str">
        <f t="shared" si="170"/>
        <v>ma.kur.ba</v>
      </c>
      <c r="M967" s="7" t="str">
        <f t="shared" si="171"/>
        <v>K.Neeraj</v>
      </c>
      <c r="N967" s="6">
        <f t="shared" si="166"/>
        <v>2</v>
      </c>
      <c r="O967" s="6">
        <f t="shared" si="165"/>
        <v>0</v>
      </c>
      <c r="P967" s="6" t="str">
        <f t="shared" si="172"/>
        <v>N</v>
      </c>
      <c r="Q967" s="6">
        <f t="shared" si="173"/>
        <v>11</v>
      </c>
      <c r="R967" s="6" t="str">
        <f t="shared" si="174"/>
        <v>2015</v>
      </c>
      <c r="S967" s="6" t="str">
        <f t="shared" si="175"/>
        <v>Feb</v>
      </c>
    </row>
    <row r="968" spans="1:19" x14ac:dyDescent="0.25">
      <c r="A968" s="6">
        <v>1163</v>
      </c>
      <c r="B968" s="6" t="str">
        <f t="shared" si="167"/>
        <v>NIKMAN01163</v>
      </c>
      <c r="C968" s="7" t="s">
        <v>190</v>
      </c>
      <c r="D968" s="7" t="s">
        <v>70</v>
      </c>
      <c r="E968" s="7" t="str">
        <f t="shared" si="168"/>
        <v>ABHISHEK SINGH</v>
      </c>
      <c r="F968" s="7" t="s">
        <v>14</v>
      </c>
      <c r="G968" s="22">
        <v>44396</v>
      </c>
      <c r="H968" s="8">
        <v>32741</v>
      </c>
      <c r="I968" s="7" t="str">
        <f t="shared" si="169"/>
        <v>abhishek.singh@ma.sih.ba</v>
      </c>
      <c r="J968" s="6" t="s">
        <v>1550</v>
      </c>
      <c r="K968" s="6">
        <v>65</v>
      </c>
      <c r="L968" s="7" t="str">
        <f t="shared" si="170"/>
        <v>ma.sih.ba</v>
      </c>
      <c r="M968" s="7" t="str">
        <f t="shared" si="171"/>
        <v>S.Abhishek</v>
      </c>
      <c r="N968" s="6">
        <f t="shared" si="166"/>
        <v>7</v>
      </c>
      <c r="O968" s="6">
        <f t="shared" si="165"/>
        <v>0</v>
      </c>
      <c r="P968" s="6" t="str">
        <f t="shared" si="172"/>
        <v>N</v>
      </c>
      <c r="Q968" s="6">
        <f t="shared" si="173"/>
        <v>13</v>
      </c>
      <c r="R968" s="6" t="str">
        <f t="shared" si="174"/>
        <v>2021</v>
      </c>
      <c r="S968" s="6" t="str">
        <f t="shared" si="175"/>
        <v>Jul</v>
      </c>
    </row>
    <row r="969" spans="1:19" x14ac:dyDescent="0.25">
      <c r="A969" s="6">
        <v>1181</v>
      </c>
      <c r="B969" s="6" t="str">
        <f t="shared" si="167"/>
        <v>NIKMAN01181</v>
      </c>
      <c r="C969" s="7" t="s">
        <v>1259</v>
      </c>
      <c r="D969" s="7" t="s">
        <v>1260</v>
      </c>
      <c r="E969" s="7" t="str">
        <f t="shared" si="168"/>
        <v>SADASHIV SHANKHDHARI</v>
      </c>
      <c r="F969" s="7" t="s">
        <v>14</v>
      </c>
      <c r="G969" s="22">
        <v>44580</v>
      </c>
      <c r="H969" s="8">
        <v>55847</v>
      </c>
      <c r="I969" s="7" t="str">
        <f t="shared" si="169"/>
        <v>sadashiv.shankhdhari@ma.shi.ba</v>
      </c>
      <c r="J969" s="6" t="s">
        <v>1551</v>
      </c>
      <c r="K969" s="6">
        <v>51</v>
      </c>
      <c r="L969" s="7" t="str">
        <f t="shared" si="170"/>
        <v>ma.shi.ba</v>
      </c>
      <c r="M969" s="7" t="str">
        <f t="shared" si="171"/>
        <v>S.Sadashiv</v>
      </c>
      <c r="N969" s="6">
        <f t="shared" si="166"/>
        <v>0</v>
      </c>
      <c r="O969" s="6">
        <f t="shared" si="165"/>
        <v>0</v>
      </c>
      <c r="P969" s="6" t="str">
        <f t="shared" si="172"/>
        <v>N</v>
      </c>
      <c r="Q969" s="6">
        <f t="shared" si="173"/>
        <v>19</v>
      </c>
      <c r="R969" s="6" t="str">
        <f t="shared" si="174"/>
        <v>2022</v>
      </c>
      <c r="S969" s="6" t="str">
        <f t="shared" si="175"/>
        <v>Jan</v>
      </c>
    </row>
    <row r="970" spans="1:19" x14ac:dyDescent="0.25">
      <c r="A970" s="6">
        <v>1184</v>
      </c>
      <c r="B970" s="6" t="str">
        <f t="shared" si="167"/>
        <v>NIKMAN01184</v>
      </c>
      <c r="C970" s="7" t="s">
        <v>98</v>
      </c>
      <c r="D970" s="7" t="s">
        <v>55</v>
      </c>
      <c r="E970" s="7" t="str">
        <f t="shared" si="168"/>
        <v>NAVEEN SHARMA</v>
      </c>
      <c r="F970" s="7" t="s">
        <v>14</v>
      </c>
      <c r="G970" s="22">
        <v>44274</v>
      </c>
      <c r="H970" s="8">
        <v>39697</v>
      </c>
      <c r="I970" s="7" t="str">
        <f t="shared" si="169"/>
        <v>naveen.sharma@ma.sha.ba</v>
      </c>
      <c r="J970" s="6" t="s">
        <v>1533</v>
      </c>
      <c r="K970" s="6">
        <v>66</v>
      </c>
      <c r="L970" s="7" t="str">
        <f t="shared" si="170"/>
        <v>ma.sha.ba</v>
      </c>
      <c r="M970" s="7" t="str">
        <f t="shared" si="171"/>
        <v>S.Naveen</v>
      </c>
      <c r="N970" s="6">
        <f t="shared" si="166"/>
        <v>4</v>
      </c>
      <c r="O970" s="6">
        <f t="shared" si="165"/>
        <v>0</v>
      </c>
      <c r="P970" s="6" t="str">
        <f t="shared" si="172"/>
        <v>N</v>
      </c>
      <c r="Q970" s="6">
        <f t="shared" si="173"/>
        <v>12</v>
      </c>
      <c r="R970" s="6" t="str">
        <f t="shared" si="174"/>
        <v>2021</v>
      </c>
      <c r="S970" s="6" t="str">
        <f t="shared" si="175"/>
        <v>Mar</v>
      </c>
    </row>
    <row r="971" spans="1:19" x14ac:dyDescent="0.25">
      <c r="A971" s="6">
        <v>1191</v>
      </c>
      <c r="B971" s="6" t="str">
        <f t="shared" si="167"/>
        <v>NIKMAN01191</v>
      </c>
      <c r="C971" s="7" t="s">
        <v>146</v>
      </c>
      <c r="D971" s="7" t="s">
        <v>68</v>
      </c>
      <c r="E971" s="7" t="str">
        <f t="shared" si="168"/>
        <v>ANKIT KUMAR</v>
      </c>
      <c r="F971" s="7" t="s">
        <v>14</v>
      </c>
      <c r="G971" s="22">
        <v>43346</v>
      </c>
      <c r="H971" s="8">
        <v>38117</v>
      </c>
      <c r="I971" s="7" t="str">
        <f t="shared" si="169"/>
        <v>ankit.kumar@ma.kur.ba</v>
      </c>
      <c r="J971" s="6" t="s">
        <v>1535</v>
      </c>
      <c r="K971" s="6">
        <v>83</v>
      </c>
      <c r="L971" s="7" t="str">
        <f t="shared" si="170"/>
        <v>ma.kur.ba</v>
      </c>
      <c r="M971" s="7" t="str">
        <f t="shared" si="171"/>
        <v>K.Ankit</v>
      </c>
      <c r="N971" s="6">
        <f t="shared" si="166"/>
        <v>0</v>
      </c>
      <c r="O971" s="6">
        <f t="shared" si="165"/>
        <v>0</v>
      </c>
      <c r="P971" s="6" t="str">
        <f t="shared" si="172"/>
        <v>N</v>
      </c>
      <c r="Q971" s="6">
        <f t="shared" si="173"/>
        <v>10</v>
      </c>
      <c r="R971" s="6" t="str">
        <f t="shared" si="174"/>
        <v>2018</v>
      </c>
      <c r="S971" s="6" t="str">
        <f t="shared" si="175"/>
        <v>Sep</v>
      </c>
    </row>
    <row r="972" spans="1:19" x14ac:dyDescent="0.25">
      <c r="A972" s="6">
        <v>1192</v>
      </c>
      <c r="B972" s="6" t="str">
        <f t="shared" si="167"/>
        <v>NIKMAN01192</v>
      </c>
      <c r="C972" s="7" t="s">
        <v>1268</v>
      </c>
      <c r="D972" s="7" t="s">
        <v>148</v>
      </c>
      <c r="E972" s="7" t="str">
        <f t="shared" si="168"/>
        <v>SABBY DANI</v>
      </c>
      <c r="F972" s="7" t="s">
        <v>14</v>
      </c>
      <c r="G972" s="22">
        <v>44611</v>
      </c>
      <c r="H972" s="8">
        <v>92546</v>
      </c>
      <c r="I972" s="7" t="str">
        <f t="shared" si="169"/>
        <v>sabby.dani@ma.dai.ba</v>
      </c>
      <c r="J972" s="6" t="s">
        <v>1532</v>
      </c>
      <c r="K972" s="6">
        <v>70</v>
      </c>
      <c r="L972" s="7" t="str">
        <f t="shared" si="170"/>
        <v>ma.dai.ba</v>
      </c>
      <c r="M972" s="7" t="str">
        <f t="shared" si="171"/>
        <v>D.Sabby</v>
      </c>
      <c r="N972" s="6">
        <f t="shared" si="166"/>
        <v>0</v>
      </c>
      <c r="O972" s="6">
        <f t="shared" si="165"/>
        <v>0</v>
      </c>
      <c r="P972" s="6" t="str">
        <f t="shared" si="172"/>
        <v>N</v>
      </c>
      <c r="Q972" s="6">
        <f t="shared" si="173"/>
        <v>9</v>
      </c>
      <c r="R972" s="6" t="str">
        <f t="shared" si="174"/>
        <v>2022</v>
      </c>
      <c r="S972" s="6" t="str">
        <f t="shared" si="175"/>
        <v>Feb</v>
      </c>
    </row>
    <row r="973" spans="1:19" x14ac:dyDescent="0.25">
      <c r="A973" s="6">
        <v>1194</v>
      </c>
      <c r="B973" s="6" t="str">
        <f t="shared" si="167"/>
        <v>NIKMAN01194</v>
      </c>
      <c r="C973" s="7" t="s">
        <v>982</v>
      </c>
      <c r="D973" s="7" t="s">
        <v>1271</v>
      </c>
      <c r="E973" s="7" t="str">
        <f t="shared" si="168"/>
        <v>VIPIN BURADE</v>
      </c>
      <c r="F973" s="7" t="s">
        <v>14</v>
      </c>
      <c r="G973" s="22">
        <v>41428</v>
      </c>
      <c r="H973" s="8">
        <v>68385</v>
      </c>
      <c r="I973" s="7" t="str">
        <f t="shared" si="169"/>
        <v>vipin.burade@ma.bue.ba</v>
      </c>
      <c r="J973" s="6" t="s">
        <v>1533</v>
      </c>
      <c r="K973" s="6">
        <v>50</v>
      </c>
      <c r="L973" s="7" t="str">
        <f t="shared" si="170"/>
        <v>ma.bue.ba</v>
      </c>
      <c r="M973" s="7" t="str">
        <f t="shared" si="171"/>
        <v>B.Vipin</v>
      </c>
      <c r="N973" s="6">
        <f t="shared" si="166"/>
        <v>0</v>
      </c>
      <c r="O973" s="6">
        <f t="shared" si="165"/>
        <v>6</v>
      </c>
      <c r="P973" s="6" t="str">
        <f t="shared" si="172"/>
        <v>N</v>
      </c>
      <c r="Q973" s="6">
        <f t="shared" si="173"/>
        <v>11</v>
      </c>
      <c r="R973" s="6" t="str">
        <f t="shared" si="174"/>
        <v>2013</v>
      </c>
      <c r="S973" s="6" t="str">
        <f t="shared" si="175"/>
        <v>Jun</v>
      </c>
    </row>
    <row r="974" spans="1:19" x14ac:dyDescent="0.25">
      <c r="A974" s="6">
        <v>1199</v>
      </c>
      <c r="B974" s="6" t="str">
        <f t="shared" si="167"/>
        <v>NIKMAN01199</v>
      </c>
      <c r="C974" s="7" t="s">
        <v>1273</v>
      </c>
      <c r="D974" s="7" t="s">
        <v>55</v>
      </c>
      <c r="E974" s="7" t="str">
        <f t="shared" si="168"/>
        <v>BHARTI SHARMA</v>
      </c>
      <c r="F974" s="7" t="s">
        <v>14</v>
      </c>
      <c r="G974" s="22">
        <v>44476</v>
      </c>
      <c r="H974" s="8">
        <v>47113</v>
      </c>
      <c r="I974" s="7" t="str">
        <f t="shared" si="169"/>
        <v>bharti.sharma@ma.sha.ba</v>
      </c>
      <c r="J974" s="6" t="s">
        <v>1540</v>
      </c>
      <c r="K974" s="6">
        <v>46</v>
      </c>
      <c r="L974" s="7" t="str">
        <f t="shared" si="170"/>
        <v>ma.sha.ba</v>
      </c>
      <c r="M974" s="7" t="str">
        <f t="shared" si="171"/>
        <v>S.Bharti</v>
      </c>
      <c r="N974" s="6">
        <f t="shared" si="166"/>
        <v>0</v>
      </c>
      <c r="O974" s="6">
        <f t="shared" si="165"/>
        <v>0</v>
      </c>
      <c r="P974" s="6" t="str">
        <f t="shared" si="172"/>
        <v>N</v>
      </c>
      <c r="Q974" s="6">
        <f t="shared" si="173"/>
        <v>12</v>
      </c>
      <c r="R974" s="6" t="str">
        <f t="shared" si="174"/>
        <v>2021</v>
      </c>
      <c r="S974" s="6" t="str">
        <f t="shared" si="175"/>
        <v>Oct</v>
      </c>
    </row>
    <row r="975" spans="1:19" x14ac:dyDescent="0.25">
      <c r="A975" s="6">
        <v>1203</v>
      </c>
      <c r="B975" s="6" t="str">
        <f t="shared" si="167"/>
        <v>NIKMAN01203</v>
      </c>
      <c r="C975" s="7" t="s">
        <v>1277</v>
      </c>
      <c r="D975" s="7" t="s">
        <v>70</v>
      </c>
      <c r="E975" s="7" t="str">
        <f t="shared" si="168"/>
        <v>JYOTI SINGH</v>
      </c>
      <c r="F975" s="7" t="s">
        <v>14</v>
      </c>
      <c r="G975" s="22">
        <v>44593</v>
      </c>
      <c r="H975" s="8">
        <v>60577</v>
      </c>
      <c r="I975" s="7" t="str">
        <f t="shared" si="169"/>
        <v>jyoti.singh@ma.sih.ba</v>
      </c>
      <c r="J975" s="6" t="s">
        <v>1544</v>
      </c>
      <c r="K975" s="6">
        <v>54</v>
      </c>
      <c r="L975" s="7" t="str">
        <f t="shared" si="170"/>
        <v>ma.sih.ba</v>
      </c>
      <c r="M975" s="7" t="str">
        <f t="shared" si="171"/>
        <v>S.Jyoti</v>
      </c>
      <c r="N975" s="6">
        <f t="shared" si="166"/>
        <v>0</v>
      </c>
      <c r="O975" s="6">
        <f t="shared" si="165"/>
        <v>0</v>
      </c>
      <c r="P975" s="6" t="str">
        <f t="shared" si="172"/>
        <v>N</v>
      </c>
      <c r="Q975" s="6">
        <f t="shared" si="173"/>
        <v>10</v>
      </c>
      <c r="R975" s="6" t="str">
        <f t="shared" si="174"/>
        <v>2022</v>
      </c>
      <c r="S975" s="6" t="str">
        <f t="shared" si="175"/>
        <v>Feb</v>
      </c>
    </row>
    <row r="976" spans="1:19" x14ac:dyDescent="0.25">
      <c r="A976" s="6">
        <v>1205</v>
      </c>
      <c r="B976" s="6" t="str">
        <f t="shared" si="167"/>
        <v>NIKMAN01205</v>
      </c>
      <c r="C976" s="7" t="s">
        <v>1280</v>
      </c>
      <c r="D976" s="7" t="s">
        <v>1281</v>
      </c>
      <c r="E976" s="7" t="str">
        <f t="shared" si="168"/>
        <v>JIGNESH MAHESHBHAI</v>
      </c>
      <c r="F976" s="7" t="s">
        <v>14</v>
      </c>
      <c r="G976" s="22">
        <v>43556</v>
      </c>
      <c r="H976" s="8">
        <v>103352</v>
      </c>
      <c r="I976" s="7" t="str">
        <f t="shared" si="169"/>
        <v>jignesh.maheshbhai@ma.mai.ba</v>
      </c>
      <c r="J976" s="6" t="s">
        <v>1534</v>
      </c>
      <c r="K976" s="6">
        <v>54</v>
      </c>
      <c r="L976" s="7" t="str">
        <f t="shared" si="170"/>
        <v>ma.mai.ba</v>
      </c>
      <c r="M976" s="7" t="str">
        <f t="shared" si="171"/>
        <v>M.Jignesh</v>
      </c>
      <c r="N976" s="6">
        <f t="shared" si="166"/>
        <v>5</v>
      </c>
      <c r="O976" s="6">
        <f t="shared" si="165"/>
        <v>4</v>
      </c>
      <c r="P976" s="6" t="str">
        <f t="shared" si="172"/>
        <v>Y</v>
      </c>
      <c r="Q976" s="6">
        <f t="shared" si="173"/>
        <v>17</v>
      </c>
      <c r="R976" s="6" t="str">
        <f t="shared" si="174"/>
        <v>2019</v>
      </c>
      <c r="S976" s="6" t="str">
        <f t="shared" si="175"/>
        <v>Apr</v>
      </c>
    </row>
    <row r="977" spans="1:19" x14ac:dyDescent="0.25">
      <c r="A977" s="6">
        <v>1221</v>
      </c>
      <c r="B977" s="6" t="str">
        <f t="shared" si="167"/>
        <v>NIKMAN01221</v>
      </c>
      <c r="C977" s="7" t="s">
        <v>1293</v>
      </c>
      <c r="D977" s="7" t="s">
        <v>1294</v>
      </c>
      <c r="E977" s="7" t="str">
        <f t="shared" si="168"/>
        <v>NAVYA BERI</v>
      </c>
      <c r="F977" s="7" t="s">
        <v>14</v>
      </c>
      <c r="G977" s="22">
        <v>44609</v>
      </c>
      <c r="H977" s="8">
        <v>34145</v>
      </c>
      <c r="I977" s="7" t="str">
        <f t="shared" si="169"/>
        <v>navya.beri@ma.bei.ba</v>
      </c>
      <c r="J977" s="6" t="s">
        <v>1538</v>
      </c>
      <c r="K977" s="6">
        <v>66</v>
      </c>
      <c r="L977" s="7" t="str">
        <f t="shared" si="170"/>
        <v>ma.bei.ba</v>
      </c>
      <c r="M977" s="7" t="str">
        <f t="shared" si="171"/>
        <v>B.Navya</v>
      </c>
      <c r="N977" s="6">
        <f t="shared" si="166"/>
        <v>0</v>
      </c>
      <c r="O977" s="6">
        <f t="shared" si="165"/>
        <v>2</v>
      </c>
      <c r="P977" s="6" t="str">
        <f t="shared" si="172"/>
        <v>N</v>
      </c>
      <c r="Q977" s="6">
        <f t="shared" si="173"/>
        <v>9</v>
      </c>
      <c r="R977" s="6" t="str">
        <f t="shared" si="174"/>
        <v>2022</v>
      </c>
      <c r="S977" s="6" t="str">
        <f t="shared" si="175"/>
        <v>Feb</v>
      </c>
    </row>
    <row r="978" spans="1:19" x14ac:dyDescent="0.25">
      <c r="A978" s="6">
        <v>1240</v>
      </c>
      <c r="B978" s="6" t="str">
        <f t="shared" si="167"/>
        <v>NIKMAN01240</v>
      </c>
      <c r="C978" s="7" t="s">
        <v>820</v>
      </c>
      <c r="D978" s="7" t="s">
        <v>1310</v>
      </c>
      <c r="E978" s="7" t="str">
        <f t="shared" si="168"/>
        <v>POOJA TUNDWAL</v>
      </c>
      <c r="F978" s="7" t="s">
        <v>14</v>
      </c>
      <c r="G978" s="22">
        <v>42716</v>
      </c>
      <c r="H978" s="8">
        <v>88305</v>
      </c>
      <c r="I978" s="7" t="str">
        <f t="shared" si="169"/>
        <v>pooja.tundwal@ma.tul.ba</v>
      </c>
      <c r="J978" s="6" t="s">
        <v>1533</v>
      </c>
      <c r="K978" s="6">
        <v>36</v>
      </c>
      <c r="L978" s="7" t="str">
        <f t="shared" si="170"/>
        <v>ma.tul.ba</v>
      </c>
      <c r="M978" s="7" t="str">
        <f t="shared" si="171"/>
        <v>T.Pooja</v>
      </c>
      <c r="N978" s="6">
        <f t="shared" si="166"/>
        <v>0</v>
      </c>
      <c r="O978" s="6">
        <f t="shared" si="165"/>
        <v>0</v>
      </c>
      <c r="P978" s="6" t="str">
        <f t="shared" si="172"/>
        <v>N</v>
      </c>
      <c r="Q978" s="6">
        <f t="shared" si="173"/>
        <v>12</v>
      </c>
      <c r="R978" s="6" t="str">
        <f t="shared" si="174"/>
        <v>2016</v>
      </c>
      <c r="S978" s="6" t="str">
        <f t="shared" si="175"/>
        <v>Dec</v>
      </c>
    </row>
    <row r="979" spans="1:19" x14ac:dyDescent="0.25">
      <c r="A979" s="6">
        <v>1241</v>
      </c>
      <c r="B979" s="6" t="str">
        <f t="shared" si="167"/>
        <v>NIKMAN01241</v>
      </c>
      <c r="C979" s="7" t="s">
        <v>1311</v>
      </c>
      <c r="D979" s="7" t="s">
        <v>830</v>
      </c>
      <c r="E979" s="7" t="str">
        <f t="shared" si="168"/>
        <v>ASIM KHAN</v>
      </c>
      <c r="F979" s="7" t="s">
        <v>14</v>
      </c>
      <c r="G979" s="22">
        <v>41983</v>
      </c>
      <c r="H979" s="8">
        <v>100818</v>
      </c>
      <c r="I979" s="7" t="str">
        <f t="shared" si="169"/>
        <v>asim.khan@ma.khn.ba</v>
      </c>
      <c r="J979" s="6" t="s">
        <v>1545</v>
      </c>
      <c r="K979" s="6">
        <v>46</v>
      </c>
      <c r="L979" s="7" t="str">
        <f t="shared" si="170"/>
        <v>ma.khn.ba</v>
      </c>
      <c r="M979" s="7" t="str">
        <f t="shared" si="171"/>
        <v>K.Asim</v>
      </c>
      <c r="N979" s="6">
        <f t="shared" si="166"/>
        <v>0</v>
      </c>
      <c r="O979" s="6">
        <f t="shared" si="165"/>
        <v>0</v>
      </c>
      <c r="P979" s="6" t="str">
        <f t="shared" si="172"/>
        <v>N</v>
      </c>
      <c r="Q979" s="6">
        <f t="shared" si="173"/>
        <v>8</v>
      </c>
      <c r="R979" s="6" t="str">
        <f t="shared" si="174"/>
        <v>2014</v>
      </c>
      <c r="S979" s="6" t="str">
        <f t="shared" si="175"/>
        <v>Dec</v>
      </c>
    </row>
    <row r="980" spans="1:19" x14ac:dyDescent="0.25">
      <c r="A980" s="6">
        <v>1243</v>
      </c>
      <c r="B980" s="6" t="str">
        <f t="shared" si="167"/>
        <v>NIKMAN01243</v>
      </c>
      <c r="C980" s="7" t="s">
        <v>1313</v>
      </c>
      <c r="D980" s="7" t="s">
        <v>378</v>
      </c>
      <c r="E980" s="7" t="str">
        <f t="shared" si="168"/>
        <v>UDIT PANDEY</v>
      </c>
      <c r="F980" s="7" t="s">
        <v>14</v>
      </c>
      <c r="G980" s="22">
        <v>44774</v>
      </c>
      <c r="H980" s="8">
        <v>47931</v>
      </c>
      <c r="I980" s="7" t="str">
        <f t="shared" si="169"/>
        <v>udit.pandey@ma.pay.ba</v>
      </c>
      <c r="J980" s="6" t="s">
        <v>1543</v>
      </c>
      <c r="K980" s="6">
        <v>80</v>
      </c>
      <c r="L980" s="7" t="str">
        <f t="shared" si="170"/>
        <v>ma.pay.ba</v>
      </c>
      <c r="M980" s="7" t="str">
        <f t="shared" si="171"/>
        <v>P.Udit</v>
      </c>
      <c r="N980" s="6">
        <f t="shared" si="166"/>
        <v>0</v>
      </c>
      <c r="O980" s="6">
        <f t="shared" si="165"/>
        <v>5</v>
      </c>
      <c r="P980" s="6" t="str">
        <f t="shared" si="172"/>
        <v>N</v>
      </c>
      <c r="Q980" s="6">
        <f t="shared" si="173"/>
        <v>10</v>
      </c>
      <c r="R980" s="6" t="str">
        <f t="shared" si="174"/>
        <v>2022</v>
      </c>
      <c r="S980" s="6" t="str">
        <f t="shared" si="175"/>
        <v>Aug</v>
      </c>
    </row>
    <row r="981" spans="1:19" x14ac:dyDescent="0.25">
      <c r="A981" s="6">
        <v>1245</v>
      </c>
      <c r="B981" s="6" t="str">
        <f t="shared" si="167"/>
        <v>NIKMAN01245</v>
      </c>
      <c r="C981" s="7" t="s">
        <v>19</v>
      </c>
      <c r="D981" s="7" t="s">
        <v>68</v>
      </c>
      <c r="E981" s="7" t="str">
        <f t="shared" si="168"/>
        <v>AMIT KUMAR</v>
      </c>
      <c r="F981" s="7" t="s">
        <v>14</v>
      </c>
      <c r="G981" s="22">
        <v>42891</v>
      </c>
      <c r="H981" s="8">
        <v>28264</v>
      </c>
      <c r="I981" s="7" t="str">
        <f t="shared" si="169"/>
        <v>amit.kumar@ma.kur.ba</v>
      </c>
      <c r="J981" s="6" t="s">
        <v>1544</v>
      </c>
      <c r="K981" s="6">
        <v>87</v>
      </c>
      <c r="L981" s="7" t="str">
        <f t="shared" si="170"/>
        <v>ma.kur.ba</v>
      </c>
      <c r="M981" s="7" t="str">
        <f t="shared" si="171"/>
        <v>K.Amit</v>
      </c>
      <c r="N981" s="6">
        <f t="shared" si="166"/>
        <v>0</v>
      </c>
      <c r="O981" s="6">
        <f t="shared" si="165"/>
        <v>0</v>
      </c>
      <c r="P981" s="6" t="str">
        <f t="shared" si="172"/>
        <v>N</v>
      </c>
      <c r="Q981" s="6">
        <f t="shared" si="173"/>
        <v>9</v>
      </c>
      <c r="R981" s="6" t="str">
        <f t="shared" si="174"/>
        <v>2017</v>
      </c>
      <c r="S981" s="6" t="str">
        <f t="shared" si="175"/>
        <v>Jun</v>
      </c>
    </row>
    <row r="982" spans="1:19" x14ac:dyDescent="0.25">
      <c r="A982" s="6">
        <v>1250</v>
      </c>
      <c r="B982" s="6" t="str">
        <f t="shared" si="167"/>
        <v>NIKMAN01250</v>
      </c>
      <c r="C982" s="7" t="s">
        <v>34</v>
      </c>
      <c r="D982" s="7" t="s">
        <v>61</v>
      </c>
      <c r="E982" s="7" t="str">
        <f t="shared" si="168"/>
        <v>ARPIT MEHTA</v>
      </c>
      <c r="F982" s="7" t="s">
        <v>14</v>
      </c>
      <c r="G982" s="22">
        <v>42982</v>
      </c>
      <c r="H982" s="8">
        <v>84707</v>
      </c>
      <c r="I982" s="7" t="str">
        <f t="shared" si="169"/>
        <v>arpit.mehta@ma.mea.ba</v>
      </c>
      <c r="J982" s="6" t="s">
        <v>1543</v>
      </c>
      <c r="K982" s="6">
        <v>43</v>
      </c>
      <c r="L982" s="7" t="str">
        <f t="shared" si="170"/>
        <v>ma.mea.ba</v>
      </c>
      <c r="M982" s="7" t="str">
        <f t="shared" si="171"/>
        <v>M.Arpit</v>
      </c>
      <c r="N982" s="6">
        <f t="shared" si="166"/>
        <v>0</v>
      </c>
      <c r="O982" s="6">
        <f t="shared" si="165"/>
        <v>2</v>
      </c>
      <c r="P982" s="6" t="str">
        <f t="shared" si="172"/>
        <v>N</v>
      </c>
      <c r="Q982" s="6">
        <f t="shared" si="173"/>
        <v>10</v>
      </c>
      <c r="R982" s="6" t="str">
        <f t="shared" si="174"/>
        <v>2017</v>
      </c>
      <c r="S982" s="6" t="str">
        <f t="shared" si="175"/>
        <v>Sep</v>
      </c>
    </row>
    <row r="983" spans="1:19" x14ac:dyDescent="0.25">
      <c r="A983" s="6">
        <v>1258</v>
      </c>
      <c r="B983" s="6" t="str">
        <f t="shared" si="167"/>
        <v>NIKMAN01258</v>
      </c>
      <c r="C983" s="7" t="s">
        <v>453</v>
      </c>
      <c r="D983" s="7" t="s">
        <v>544</v>
      </c>
      <c r="E983" s="7" t="str">
        <f t="shared" si="168"/>
        <v>VISHNU C</v>
      </c>
      <c r="F983" s="7" t="s">
        <v>14</v>
      </c>
      <c r="G983" s="22">
        <v>44760</v>
      </c>
      <c r="H983" s="8">
        <v>102816</v>
      </c>
      <c r="I983" s="7" t="str">
        <f t="shared" si="169"/>
        <v>vishnu.c@ma.cc.ba</v>
      </c>
      <c r="J983" s="6" t="s">
        <v>1539</v>
      </c>
      <c r="K983" s="6">
        <v>45</v>
      </c>
      <c r="L983" s="7" t="str">
        <f t="shared" si="170"/>
        <v>ma.cc.ba</v>
      </c>
      <c r="M983" s="7" t="str">
        <f t="shared" si="171"/>
        <v>C.Vishnu</v>
      </c>
      <c r="N983" s="6">
        <f t="shared" si="166"/>
        <v>0</v>
      </c>
      <c r="O983" s="6">
        <f t="shared" si="165"/>
        <v>0</v>
      </c>
      <c r="P983" s="6" t="str">
        <f t="shared" si="172"/>
        <v>N</v>
      </c>
      <c r="Q983" s="6">
        <f t="shared" si="173"/>
        <v>7</v>
      </c>
      <c r="R983" s="6" t="str">
        <f t="shared" si="174"/>
        <v>2022</v>
      </c>
      <c r="S983" s="6" t="str">
        <f t="shared" si="175"/>
        <v>Jul</v>
      </c>
    </row>
    <row r="984" spans="1:19" x14ac:dyDescent="0.25">
      <c r="A984" s="6">
        <v>1272</v>
      </c>
      <c r="B984" s="6" t="str">
        <f t="shared" si="167"/>
        <v>NIKMAN01272</v>
      </c>
      <c r="C984" s="7" t="s">
        <v>1338</v>
      </c>
      <c r="D984" s="7" t="s">
        <v>860</v>
      </c>
      <c r="E984" s="7" t="str">
        <f t="shared" si="168"/>
        <v>SHABINA SAMEER</v>
      </c>
      <c r="F984" s="7" t="s">
        <v>14</v>
      </c>
      <c r="G984" s="22">
        <v>44713</v>
      </c>
      <c r="H984" s="8">
        <v>88984</v>
      </c>
      <c r="I984" s="7" t="str">
        <f t="shared" si="169"/>
        <v>shabina.sameer@ma.sar.ba</v>
      </c>
      <c r="J984" s="6" t="s">
        <v>1532</v>
      </c>
      <c r="K984" s="6">
        <v>37</v>
      </c>
      <c r="L984" s="7" t="str">
        <f t="shared" si="170"/>
        <v>ma.sar.ba</v>
      </c>
      <c r="M984" s="7" t="str">
        <f t="shared" si="171"/>
        <v>S.Shabina</v>
      </c>
      <c r="N984" s="6">
        <f t="shared" si="166"/>
        <v>0</v>
      </c>
      <c r="O984" s="6">
        <f t="shared" si="165"/>
        <v>4</v>
      </c>
      <c r="P984" s="6" t="str">
        <f t="shared" si="172"/>
        <v>N</v>
      </c>
      <c r="Q984" s="6">
        <f t="shared" si="173"/>
        <v>13</v>
      </c>
      <c r="R984" s="6" t="str">
        <f t="shared" si="174"/>
        <v>2022</v>
      </c>
      <c r="S984" s="6" t="str">
        <f t="shared" si="175"/>
        <v>Jun</v>
      </c>
    </row>
    <row r="985" spans="1:19" x14ac:dyDescent="0.25">
      <c r="A985" s="6">
        <v>1281</v>
      </c>
      <c r="B985" s="6" t="str">
        <f t="shared" si="167"/>
        <v>NIKMAN01281</v>
      </c>
      <c r="C985" s="7" t="s">
        <v>669</v>
      </c>
      <c r="D985" s="7" t="s">
        <v>1344</v>
      </c>
      <c r="E985" s="7" t="str">
        <f t="shared" si="168"/>
        <v>ANUPAM NANDLAL</v>
      </c>
      <c r="F985" s="7" t="s">
        <v>14</v>
      </c>
      <c r="G985" s="22">
        <v>43416</v>
      </c>
      <c r="H985" s="8">
        <v>75918</v>
      </c>
      <c r="I985" s="7" t="str">
        <f t="shared" si="169"/>
        <v>anupam.nandlal@ma.nal.ba</v>
      </c>
      <c r="J985" s="6" t="s">
        <v>1539</v>
      </c>
      <c r="K985" s="6">
        <v>72</v>
      </c>
      <c r="L985" s="7" t="str">
        <f t="shared" si="170"/>
        <v>ma.nal.ba</v>
      </c>
      <c r="M985" s="7" t="str">
        <f t="shared" si="171"/>
        <v>N.Anupam</v>
      </c>
      <c r="N985" s="6">
        <f t="shared" si="166"/>
        <v>0</v>
      </c>
      <c r="O985" s="6">
        <f t="shared" si="165"/>
        <v>0</v>
      </c>
      <c r="P985" s="6" t="str">
        <f t="shared" si="172"/>
        <v>N</v>
      </c>
      <c r="Q985" s="6">
        <f t="shared" si="173"/>
        <v>13</v>
      </c>
      <c r="R985" s="6" t="str">
        <f t="shared" si="174"/>
        <v>2018</v>
      </c>
      <c r="S985" s="6" t="str">
        <f t="shared" si="175"/>
        <v>Nov</v>
      </c>
    </row>
    <row r="986" spans="1:19" x14ac:dyDescent="0.25">
      <c r="A986" s="6">
        <v>1294</v>
      </c>
      <c r="B986" s="6" t="str">
        <f t="shared" si="167"/>
        <v>NIKMAN01294</v>
      </c>
      <c r="C986" s="7" t="s">
        <v>563</v>
      </c>
      <c r="D986" s="7" t="s">
        <v>60</v>
      </c>
      <c r="E986" s="7" t="str">
        <f t="shared" si="168"/>
        <v>GAYATRI AJAY</v>
      </c>
      <c r="F986" s="7" t="s">
        <v>14</v>
      </c>
      <c r="G986" s="22">
        <v>43664</v>
      </c>
      <c r="H986" s="8">
        <v>27023</v>
      </c>
      <c r="I986" s="7" t="str">
        <f t="shared" si="169"/>
        <v>gayatri.ajay@ma.ajy.ba</v>
      </c>
      <c r="J986" s="6" t="s">
        <v>1536</v>
      </c>
      <c r="K986" s="6">
        <v>77</v>
      </c>
      <c r="L986" s="7" t="str">
        <f t="shared" si="170"/>
        <v>ma.ajy.ba</v>
      </c>
      <c r="M986" s="7" t="str">
        <f t="shared" si="171"/>
        <v>A.Gayatri</v>
      </c>
      <c r="N986" s="6">
        <f t="shared" si="166"/>
        <v>0</v>
      </c>
      <c r="O986" s="6">
        <f t="shared" si="165"/>
        <v>0</v>
      </c>
      <c r="P986" s="6" t="str">
        <f t="shared" si="172"/>
        <v>N</v>
      </c>
      <c r="Q986" s="6">
        <f t="shared" si="173"/>
        <v>11</v>
      </c>
      <c r="R986" s="6" t="str">
        <f t="shared" si="174"/>
        <v>2019</v>
      </c>
      <c r="S986" s="6" t="str">
        <f t="shared" si="175"/>
        <v>Jul</v>
      </c>
    </row>
    <row r="987" spans="1:19" x14ac:dyDescent="0.25">
      <c r="A987" s="6">
        <v>1313</v>
      </c>
      <c r="B987" s="6" t="str">
        <f t="shared" si="167"/>
        <v>NIKMAN01313</v>
      </c>
      <c r="C987" s="7" t="s">
        <v>258</v>
      </c>
      <c r="D987" s="7" t="s">
        <v>424</v>
      </c>
      <c r="E987" s="7" t="str">
        <f t="shared" si="168"/>
        <v>MAHESH VILAS</v>
      </c>
      <c r="F987" s="7" t="s">
        <v>14</v>
      </c>
      <c r="G987" s="22">
        <v>44774</v>
      </c>
      <c r="H987" s="8">
        <v>35498</v>
      </c>
      <c r="I987" s="7" t="str">
        <f t="shared" si="169"/>
        <v>mahesh.vilas@ma.vis.ba</v>
      </c>
      <c r="J987" s="6" t="s">
        <v>1535</v>
      </c>
      <c r="K987" s="6">
        <v>50</v>
      </c>
      <c r="L987" s="7" t="str">
        <f t="shared" si="170"/>
        <v>ma.vis.ba</v>
      </c>
      <c r="M987" s="7" t="str">
        <f t="shared" si="171"/>
        <v>V.Mahesh</v>
      </c>
      <c r="N987" s="6">
        <f t="shared" si="166"/>
        <v>4</v>
      </c>
      <c r="O987" s="6">
        <f t="shared" si="165"/>
        <v>0</v>
      </c>
      <c r="P987" s="6" t="str">
        <f t="shared" si="172"/>
        <v>N</v>
      </c>
      <c r="Q987" s="6">
        <f t="shared" si="173"/>
        <v>11</v>
      </c>
      <c r="R987" s="6" t="str">
        <f t="shared" si="174"/>
        <v>2022</v>
      </c>
      <c r="S987" s="6" t="str">
        <f t="shared" si="175"/>
        <v>Aug</v>
      </c>
    </row>
    <row r="988" spans="1:19" x14ac:dyDescent="0.25">
      <c r="A988" s="6">
        <v>1314</v>
      </c>
      <c r="B988" s="6" t="str">
        <f t="shared" si="167"/>
        <v>NIKMAN01314</v>
      </c>
      <c r="C988" s="7" t="s">
        <v>348</v>
      </c>
      <c r="D988" s="7" t="s">
        <v>1108</v>
      </c>
      <c r="E988" s="7" t="str">
        <f t="shared" si="168"/>
        <v>AKASH AHUJA</v>
      </c>
      <c r="F988" s="7" t="s">
        <v>14</v>
      </c>
      <c r="G988" s="22">
        <v>44928</v>
      </c>
      <c r="H988" s="8">
        <v>72015</v>
      </c>
      <c r="I988" s="7" t="str">
        <f t="shared" si="169"/>
        <v>akash.ahuja@ma.aha.ba</v>
      </c>
      <c r="J988" s="6" t="s">
        <v>1550</v>
      </c>
      <c r="K988" s="6">
        <v>71</v>
      </c>
      <c r="L988" s="7" t="str">
        <f t="shared" si="170"/>
        <v>ma.aha.ba</v>
      </c>
      <c r="M988" s="7" t="str">
        <f t="shared" si="171"/>
        <v>A.Akash</v>
      </c>
      <c r="N988" s="6">
        <f t="shared" si="166"/>
        <v>0</v>
      </c>
      <c r="O988" s="6">
        <f t="shared" si="165"/>
        <v>0</v>
      </c>
      <c r="P988" s="6" t="str">
        <f t="shared" si="172"/>
        <v>N</v>
      </c>
      <c r="Q988" s="6">
        <f t="shared" si="173"/>
        <v>10</v>
      </c>
      <c r="R988" s="6" t="str">
        <f t="shared" si="174"/>
        <v>2023</v>
      </c>
      <c r="S988" s="6" t="str">
        <f t="shared" si="175"/>
        <v>Jan</v>
      </c>
    </row>
    <row r="989" spans="1:19" x14ac:dyDescent="0.25">
      <c r="A989" s="6">
        <v>1317</v>
      </c>
      <c r="B989" s="6" t="str">
        <f t="shared" si="167"/>
        <v>NIKMAN01317</v>
      </c>
      <c r="C989" s="7" t="s">
        <v>394</v>
      </c>
      <c r="D989" s="7" t="s">
        <v>1364</v>
      </c>
      <c r="E989" s="7" t="str">
        <f t="shared" si="168"/>
        <v>CHIRAG SUBHASHCHANDRA</v>
      </c>
      <c r="F989" s="7" t="s">
        <v>14</v>
      </c>
      <c r="G989" s="22">
        <v>44932</v>
      </c>
      <c r="H989" s="8">
        <v>42545</v>
      </c>
      <c r="I989" s="7" t="str">
        <f t="shared" si="169"/>
        <v>chirag.subhashchandra@ma.sua.ba</v>
      </c>
      <c r="J989" s="6" t="s">
        <v>1544</v>
      </c>
      <c r="K989" s="6">
        <v>89</v>
      </c>
      <c r="L989" s="7" t="str">
        <f t="shared" si="170"/>
        <v>ma.sua.ba</v>
      </c>
      <c r="M989" s="7" t="str">
        <f t="shared" si="171"/>
        <v>S.Chirag</v>
      </c>
      <c r="N989" s="6">
        <f t="shared" si="166"/>
        <v>0</v>
      </c>
      <c r="O989" s="6">
        <f t="shared" si="165"/>
        <v>0</v>
      </c>
      <c r="P989" s="6" t="str">
        <f t="shared" si="172"/>
        <v>N</v>
      </c>
      <c r="Q989" s="6">
        <f t="shared" si="173"/>
        <v>20</v>
      </c>
      <c r="R989" s="6" t="str">
        <f t="shared" si="174"/>
        <v>2023</v>
      </c>
      <c r="S989" s="6" t="str">
        <f t="shared" si="175"/>
        <v>Jan</v>
      </c>
    </row>
    <row r="990" spans="1:19" x14ac:dyDescent="0.25">
      <c r="A990" s="6">
        <v>1319</v>
      </c>
      <c r="B990" s="6" t="str">
        <f t="shared" si="167"/>
        <v>NIKMAN01319</v>
      </c>
      <c r="C990" s="7" t="s">
        <v>445</v>
      </c>
      <c r="D990" s="7" t="s">
        <v>1366</v>
      </c>
      <c r="E990" s="7" t="str">
        <f t="shared" si="168"/>
        <v>VAIBHAV SANDU</v>
      </c>
      <c r="F990" s="7" t="s">
        <v>14</v>
      </c>
      <c r="G990" s="22">
        <v>44233</v>
      </c>
      <c r="H990" s="8">
        <v>42796</v>
      </c>
      <c r="I990" s="7" t="str">
        <f t="shared" si="169"/>
        <v>vaibhav.sandu@ma.sau.ba</v>
      </c>
      <c r="J990" s="6" t="s">
        <v>1534</v>
      </c>
      <c r="K990" s="6">
        <v>69</v>
      </c>
      <c r="L990" s="7" t="str">
        <f t="shared" si="170"/>
        <v>ma.sau.ba</v>
      </c>
      <c r="M990" s="7" t="str">
        <f t="shared" si="171"/>
        <v>S.Vaibhav</v>
      </c>
      <c r="N990" s="6">
        <f t="shared" si="166"/>
        <v>0</v>
      </c>
      <c r="O990" s="6">
        <f t="shared" si="165"/>
        <v>0</v>
      </c>
      <c r="P990" s="6" t="str">
        <f t="shared" si="172"/>
        <v>N</v>
      </c>
      <c r="Q990" s="6">
        <f t="shared" si="173"/>
        <v>12</v>
      </c>
      <c r="R990" s="6" t="str">
        <f t="shared" si="174"/>
        <v>2021</v>
      </c>
      <c r="S990" s="6" t="str">
        <f t="shared" si="175"/>
        <v>Feb</v>
      </c>
    </row>
    <row r="991" spans="1:19" x14ac:dyDescent="0.25">
      <c r="A991" s="6">
        <v>1327</v>
      </c>
      <c r="B991" s="6" t="str">
        <f t="shared" si="167"/>
        <v>NIKMAN01327</v>
      </c>
      <c r="C991" s="7" t="s">
        <v>174</v>
      </c>
      <c r="D991" s="7" t="s">
        <v>741</v>
      </c>
      <c r="E991" s="7" t="str">
        <f t="shared" si="168"/>
        <v>PRIYANK BORAWAR</v>
      </c>
      <c r="F991" s="7" t="s">
        <v>14</v>
      </c>
      <c r="G991" s="22">
        <v>43230</v>
      </c>
      <c r="H991" s="8">
        <v>100529</v>
      </c>
      <c r="I991" s="7" t="str">
        <f t="shared" si="169"/>
        <v>priyank.borawar@ma.bor.ba</v>
      </c>
      <c r="J991" s="6" t="s">
        <v>1534</v>
      </c>
      <c r="K991" s="6">
        <v>70</v>
      </c>
      <c r="L991" s="7" t="str">
        <f t="shared" si="170"/>
        <v>ma.bor.ba</v>
      </c>
      <c r="M991" s="7" t="str">
        <f t="shared" si="171"/>
        <v>B.Priyank</v>
      </c>
      <c r="N991" s="6">
        <f t="shared" si="166"/>
        <v>0</v>
      </c>
      <c r="O991" s="6">
        <f t="shared" si="165"/>
        <v>0</v>
      </c>
      <c r="P991" s="6" t="str">
        <f t="shared" si="172"/>
        <v>N</v>
      </c>
      <c r="Q991" s="6">
        <f t="shared" si="173"/>
        <v>14</v>
      </c>
      <c r="R991" s="6" t="str">
        <f t="shared" si="174"/>
        <v>2018</v>
      </c>
      <c r="S991" s="6" t="str">
        <f t="shared" si="175"/>
        <v>May</v>
      </c>
    </row>
    <row r="992" spans="1:19" x14ac:dyDescent="0.25">
      <c r="A992" s="6">
        <v>1339</v>
      </c>
      <c r="B992" s="6" t="str">
        <f t="shared" si="167"/>
        <v>NIKMAN01339</v>
      </c>
      <c r="C992" s="7" t="s">
        <v>1382</v>
      </c>
      <c r="D992" s="7" t="s">
        <v>390</v>
      </c>
      <c r="E992" s="7" t="str">
        <f t="shared" si="168"/>
        <v>SHASHI KALA</v>
      </c>
      <c r="F992" s="7" t="s">
        <v>14</v>
      </c>
      <c r="G992" s="22">
        <v>44456</v>
      </c>
      <c r="H992" s="8">
        <v>26084</v>
      </c>
      <c r="I992" s="7" t="str">
        <f t="shared" si="169"/>
        <v>shashi.kala@ma.kaa.ba</v>
      </c>
      <c r="J992" s="6" t="s">
        <v>1542</v>
      </c>
      <c r="K992" s="6">
        <v>51</v>
      </c>
      <c r="L992" s="7" t="str">
        <f t="shared" si="170"/>
        <v>ma.kaa.ba</v>
      </c>
      <c r="M992" s="7" t="str">
        <f t="shared" si="171"/>
        <v>K.Shashi</v>
      </c>
      <c r="N992" s="6">
        <f t="shared" si="166"/>
        <v>0</v>
      </c>
      <c r="O992" s="6">
        <f t="shared" si="165"/>
        <v>0</v>
      </c>
      <c r="P992" s="6" t="str">
        <f t="shared" si="172"/>
        <v>N</v>
      </c>
      <c r="Q992" s="6">
        <f t="shared" si="173"/>
        <v>10</v>
      </c>
      <c r="R992" s="6" t="str">
        <f t="shared" si="174"/>
        <v>2021</v>
      </c>
      <c r="S992" s="6" t="str">
        <f t="shared" si="175"/>
        <v>Sep</v>
      </c>
    </row>
    <row r="993" spans="1:19" x14ac:dyDescent="0.25">
      <c r="A993" s="6">
        <v>1358</v>
      </c>
      <c r="B993" s="6" t="str">
        <f t="shared" si="167"/>
        <v>NIKMAN01358</v>
      </c>
      <c r="C993" s="7" t="s">
        <v>472</v>
      </c>
      <c r="D993" s="7" t="s">
        <v>1400</v>
      </c>
      <c r="E993" s="7" t="str">
        <f t="shared" si="168"/>
        <v>MOHD UROOJ</v>
      </c>
      <c r="F993" s="7" t="s">
        <v>14</v>
      </c>
      <c r="G993" s="22">
        <v>44958</v>
      </c>
      <c r="H993" s="8">
        <v>85625</v>
      </c>
      <c r="I993" s="7" t="str">
        <f t="shared" si="169"/>
        <v>mohd.urooj@ma.urj.ba</v>
      </c>
      <c r="J993" s="6" t="s">
        <v>1532</v>
      </c>
      <c r="K993" s="6">
        <v>50</v>
      </c>
      <c r="L993" s="7" t="str">
        <f t="shared" si="170"/>
        <v>ma.urj.ba</v>
      </c>
      <c r="M993" s="7" t="str">
        <f t="shared" si="171"/>
        <v>U.Mohd</v>
      </c>
      <c r="N993" s="6">
        <f t="shared" si="166"/>
        <v>0</v>
      </c>
      <c r="O993" s="6">
        <f t="shared" si="165"/>
        <v>0</v>
      </c>
      <c r="P993" s="6" t="str">
        <f t="shared" si="172"/>
        <v>N</v>
      </c>
      <c r="Q993" s="6">
        <f t="shared" si="173"/>
        <v>9</v>
      </c>
      <c r="R993" s="6" t="str">
        <f t="shared" si="174"/>
        <v>2023</v>
      </c>
      <c r="S993" s="6" t="str">
        <f t="shared" si="175"/>
        <v>Feb</v>
      </c>
    </row>
    <row r="994" spans="1:19" x14ac:dyDescent="0.25">
      <c r="A994" s="6">
        <v>1366</v>
      </c>
      <c r="B994" s="6" t="str">
        <f t="shared" si="167"/>
        <v>NIKMAN01366</v>
      </c>
      <c r="C994" s="7" t="s">
        <v>519</v>
      </c>
      <c r="D994" s="7" t="s">
        <v>204</v>
      </c>
      <c r="E994" s="7" t="str">
        <f t="shared" si="168"/>
        <v>NILESH SUBHASH</v>
      </c>
      <c r="F994" s="7" t="s">
        <v>14</v>
      </c>
      <c r="G994" s="22">
        <v>42896</v>
      </c>
      <c r="H994" s="8">
        <v>35594</v>
      </c>
      <c r="I994" s="7" t="str">
        <f t="shared" si="169"/>
        <v>nilesh.subhash@ma.suh.ba</v>
      </c>
      <c r="J994" s="6" t="s">
        <v>1541</v>
      </c>
      <c r="K994" s="6">
        <v>62</v>
      </c>
      <c r="L994" s="7" t="str">
        <f t="shared" si="170"/>
        <v>ma.suh.ba</v>
      </c>
      <c r="M994" s="7" t="str">
        <f t="shared" si="171"/>
        <v>S.Nilesh</v>
      </c>
      <c r="N994" s="6">
        <f t="shared" si="166"/>
        <v>4</v>
      </c>
      <c r="O994" s="6">
        <f t="shared" si="165"/>
        <v>0</v>
      </c>
      <c r="P994" s="6" t="str">
        <f t="shared" si="172"/>
        <v>N</v>
      </c>
      <c r="Q994" s="6">
        <f t="shared" si="173"/>
        <v>13</v>
      </c>
      <c r="R994" s="6" t="str">
        <f t="shared" si="174"/>
        <v>2017</v>
      </c>
      <c r="S994" s="6" t="str">
        <f t="shared" si="175"/>
        <v>Jun</v>
      </c>
    </row>
    <row r="995" spans="1:19" x14ac:dyDescent="0.25">
      <c r="A995" s="6">
        <v>1367</v>
      </c>
      <c r="B995" s="6" t="str">
        <f t="shared" si="167"/>
        <v>NIKMAN01367</v>
      </c>
      <c r="C995" s="7" t="s">
        <v>209</v>
      </c>
      <c r="D995" s="7" t="s">
        <v>33</v>
      </c>
      <c r="E995" s="7" t="str">
        <f t="shared" si="168"/>
        <v>GAURAV KIRAN</v>
      </c>
      <c r="F995" s="7" t="s">
        <v>14</v>
      </c>
      <c r="G995" s="22">
        <v>43080</v>
      </c>
      <c r="H995" s="8">
        <v>43993</v>
      </c>
      <c r="I995" s="7" t="str">
        <f t="shared" si="169"/>
        <v>gaurav.kiran@ma.kin.ba</v>
      </c>
      <c r="J995" s="6" t="s">
        <v>1549</v>
      </c>
      <c r="K995" s="6">
        <v>46</v>
      </c>
      <c r="L995" s="7" t="str">
        <f t="shared" si="170"/>
        <v>ma.kin.ba</v>
      </c>
      <c r="M995" s="7" t="str">
        <f t="shared" si="171"/>
        <v>K.Gaurav</v>
      </c>
      <c r="N995" s="6">
        <f t="shared" si="166"/>
        <v>0</v>
      </c>
      <c r="O995" s="6">
        <f t="shared" si="165"/>
        <v>0</v>
      </c>
      <c r="P995" s="6" t="str">
        <f t="shared" si="172"/>
        <v>N</v>
      </c>
      <c r="Q995" s="6">
        <f t="shared" si="173"/>
        <v>11</v>
      </c>
      <c r="R995" s="6" t="str">
        <f t="shared" si="174"/>
        <v>2017</v>
      </c>
      <c r="S995" s="6" t="str">
        <f t="shared" si="175"/>
        <v>Dec</v>
      </c>
    </row>
    <row r="996" spans="1:19" x14ac:dyDescent="0.25">
      <c r="A996" s="6">
        <v>1396</v>
      </c>
      <c r="B996" s="6" t="str">
        <f t="shared" si="167"/>
        <v>NIKMAN01396</v>
      </c>
      <c r="C996" s="7" t="s">
        <v>1434</v>
      </c>
      <c r="D996" s="7" t="s">
        <v>162</v>
      </c>
      <c r="E996" s="7" t="str">
        <f t="shared" si="168"/>
        <v>YAGYADATT PATHAK</v>
      </c>
      <c r="F996" s="7" t="s">
        <v>14</v>
      </c>
      <c r="G996" s="22">
        <v>45026</v>
      </c>
      <c r="H996" s="8">
        <v>26952</v>
      </c>
      <c r="I996" s="7" t="str">
        <f t="shared" si="169"/>
        <v>yagyadatt.pathak@ma.pak.ba</v>
      </c>
      <c r="J996" s="6" t="s">
        <v>1535</v>
      </c>
      <c r="K996" s="6">
        <v>54</v>
      </c>
      <c r="L996" s="7" t="str">
        <f t="shared" si="170"/>
        <v>ma.pak.ba</v>
      </c>
      <c r="M996" s="7" t="str">
        <f t="shared" si="171"/>
        <v>P.Yagyadatt</v>
      </c>
      <c r="N996" s="6">
        <f t="shared" si="166"/>
        <v>0</v>
      </c>
      <c r="O996" s="6">
        <f t="shared" si="165"/>
        <v>0</v>
      </c>
      <c r="P996" s="6" t="str">
        <f t="shared" si="172"/>
        <v>N</v>
      </c>
      <c r="Q996" s="6">
        <f t="shared" si="173"/>
        <v>15</v>
      </c>
      <c r="R996" s="6" t="str">
        <f t="shared" si="174"/>
        <v>2023</v>
      </c>
      <c r="S996" s="6" t="str">
        <f t="shared" si="175"/>
        <v>Apr</v>
      </c>
    </row>
    <row r="997" spans="1:19" x14ac:dyDescent="0.25">
      <c r="A997" s="6">
        <v>1403</v>
      </c>
      <c r="B997" s="6" t="str">
        <f t="shared" si="167"/>
        <v>NIKMAN01403</v>
      </c>
      <c r="C997" s="7" t="s">
        <v>1037</v>
      </c>
      <c r="D997" s="7" t="s">
        <v>1038</v>
      </c>
      <c r="E997" s="7" t="str">
        <f t="shared" si="168"/>
        <v>VIKRAM PARIHAR</v>
      </c>
      <c r="F997" s="7" t="s">
        <v>14</v>
      </c>
      <c r="G997" s="22">
        <v>44389</v>
      </c>
      <c r="H997" s="8">
        <v>51861</v>
      </c>
      <c r="I997" s="7" t="str">
        <f t="shared" si="169"/>
        <v>vikram.parihar@ma.par.ba</v>
      </c>
      <c r="J997" s="6" t="s">
        <v>1532</v>
      </c>
      <c r="K997" s="6">
        <v>70</v>
      </c>
      <c r="L997" s="7" t="str">
        <f t="shared" si="170"/>
        <v>ma.par.ba</v>
      </c>
      <c r="M997" s="7" t="str">
        <f t="shared" si="171"/>
        <v>P.Vikram</v>
      </c>
      <c r="N997" s="6">
        <f t="shared" si="166"/>
        <v>0</v>
      </c>
      <c r="O997" s="6">
        <f t="shared" si="165"/>
        <v>0</v>
      </c>
      <c r="P997" s="6" t="str">
        <f t="shared" si="172"/>
        <v>N</v>
      </c>
      <c r="Q997" s="6">
        <f t="shared" si="173"/>
        <v>13</v>
      </c>
      <c r="R997" s="6" t="str">
        <f t="shared" si="174"/>
        <v>2021</v>
      </c>
      <c r="S997" s="6" t="str">
        <f t="shared" si="175"/>
        <v>Jul</v>
      </c>
    </row>
    <row r="998" spans="1:19" x14ac:dyDescent="0.25">
      <c r="A998" s="6">
        <v>1406</v>
      </c>
      <c r="B998" s="6" t="str">
        <f t="shared" si="167"/>
        <v>NIKMAN01406</v>
      </c>
      <c r="C998" s="7" t="s">
        <v>1442</v>
      </c>
      <c r="D998" s="7" t="s">
        <v>198</v>
      </c>
      <c r="E998" s="7" t="str">
        <f t="shared" si="168"/>
        <v>GURNEK SAINI</v>
      </c>
      <c r="F998" s="7" t="s">
        <v>14</v>
      </c>
      <c r="G998" s="22">
        <v>44942</v>
      </c>
      <c r="H998" s="8">
        <v>95634</v>
      </c>
      <c r="I998" s="7" t="str">
        <f t="shared" si="169"/>
        <v>gurnek.saini@ma.sai.ba</v>
      </c>
      <c r="J998" s="6" t="s">
        <v>1535</v>
      </c>
      <c r="K998" s="6">
        <v>68</v>
      </c>
      <c r="L998" s="7" t="str">
        <f t="shared" si="170"/>
        <v>ma.sai.ba</v>
      </c>
      <c r="M998" s="7" t="str">
        <f t="shared" si="171"/>
        <v>S.Gurnek</v>
      </c>
      <c r="N998" s="6">
        <f t="shared" si="166"/>
        <v>5</v>
      </c>
      <c r="O998" s="6">
        <f t="shared" si="165"/>
        <v>0</v>
      </c>
      <c r="P998" s="6" t="str">
        <f t="shared" si="172"/>
        <v>N</v>
      </c>
      <c r="Q998" s="6">
        <f t="shared" si="173"/>
        <v>11</v>
      </c>
      <c r="R998" s="6" t="str">
        <f t="shared" si="174"/>
        <v>2023</v>
      </c>
      <c r="S998" s="6" t="str">
        <f t="shared" si="175"/>
        <v>Jan</v>
      </c>
    </row>
    <row r="999" spans="1:19" x14ac:dyDescent="0.25">
      <c r="A999" s="6">
        <v>1409</v>
      </c>
      <c r="B999" s="6" t="str">
        <f t="shared" si="167"/>
        <v>NIKMAN01409</v>
      </c>
      <c r="C999" s="7" t="s">
        <v>35</v>
      </c>
      <c r="D999" s="7" t="s">
        <v>1445</v>
      </c>
      <c r="E999" s="7" t="str">
        <f t="shared" si="168"/>
        <v>SAHIL VIDUR</v>
      </c>
      <c r="F999" s="7" t="s">
        <v>14</v>
      </c>
      <c r="G999" s="22">
        <v>45293</v>
      </c>
      <c r="H999" s="8">
        <v>25182</v>
      </c>
      <c r="I999" s="7" t="str">
        <f t="shared" si="169"/>
        <v>sahil.vidur@ma.vir.ba</v>
      </c>
      <c r="J999" s="6" t="s">
        <v>1547</v>
      </c>
      <c r="K999" s="6">
        <v>38</v>
      </c>
      <c r="L999" s="7" t="str">
        <f t="shared" si="170"/>
        <v>ma.vir.ba</v>
      </c>
      <c r="M999" s="7" t="str">
        <f t="shared" si="171"/>
        <v>V.Sahil</v>
      </c>
      <c r="N999" s="6">
        <f t="shared" si="166"/>
        <v>0</v>
      </c>
      <c r="O999" s="6">
        <f t="shared" si="165"/>
        <v>0</v>
      </c>
      <c r="P999" s="6" t="str">
        <f t="shared" si="172"/>
        <v>N</v>
      </c>
      <c r="Q999" s="6">
        <f t="shared" si="173"/>
        <v>10</v>
      </c>
      <c r="R999" s="6" t="str">
        <f t="shared" si="174"/>
        <v>2024</v>
      </c>
      <c r="S999" s="6" t="str">
        <f t="shared" si="175"/>
        <v>Jan</v>
      </c>
    </row>
    <row r="1000" spans="1:19" x14ac:dyDescent="0.25">
      <c r="A1000" s="6">
        <v>1417</v>
      </c>
      <c r="B1000" s="6" t="str">
        <f t="shared" si="167"/>
        <v>NIKMAN01417</v>
      </c>
      <c r="C1000" s="7" t="s">
        <v>1451</v>
      </c>
      <c r="D1000" s="7" t="s">
        <v>1452</v>
      </c>
      <c r="E1000" s="7" t="str">
        <f t="shared" si="168"/>
        <v>NEER NIKESH</v>
      </c>
      <c r="F1000" s="7" t="s">
        <v>14</v>
      </c>
      <c r="G1000" s="22">
        <v>45293</v>
      </c>
      <c r="H1000" s="8">
        <v>65205</v>
      </c>
      <c r="I1000" s="7" t="str">
        <f t="shared" si="169"/>
        <v>neer.nikesh@ma.nih.ba</v>
      </c>
      <c r="J1000" s="6" t="s">
        <v>1535</v>
      </c>
      <c r="K1000" s="6">
        <v>62</v>
      </c>
      <c r="L1000" s="7" t="str">
        <f t="shared" si="170"/>
        <v>ma.nih.ba</v>
      </c>
      <c r="M1000" s="7" t="str">
        <f t="shared" si="171"/>
        <v>N.Neer</v>
      </c>
      <c r="N1000" s="6">
        <f t="shared" si="166"/>
        <v>2</v>
      </c>
      <c r="O1000" s="6">
        <f t="shared" si="165"/>
        <v>4</v>
      </c>
      <c r="P1000" s="6" t="str">
        <f t="shared" si="172"/>
        <v>Y</v>
      </c>
      <c r="Q1000" s="6">
        <f t="shared" si="173"/>
        <v>10</v>
      </c>
      <c r="R1000" s="6" t="str">
        <f t="shared" si="174"/>
        <v>2024</v>
      </c>
      <c r="S1000" s="6" t="str">
        <f t="shared" si="175"/>
        <v>Jan</v>
      </c>
    </row>
    <row r="1001" spans="1:19" x14ac:dyDescent="0.25">
      <c r="A1001" s="6">
        <v>1449</v>
      </c>
      <c r="B1001" s="6" t="str">
        <f t="shared" si="167"/>
        <v>NIKMAN01449</v>
      </c>
      <c r="C1001" s="7" t="s">
        <v>1490</v>
      </c>
      <c r="D1001" s="7" t="s">
        <v>1491</v>
      </c>
      <c r="E1001" s="7" t="str">
        <f t="shared" si="168"/>
        <v>CHINTAN TEVAR</v>
      </c>
      <c r="F1001" s="7" t="s">
        <v>14</v>
      </c>
      <c r="G1001" s="22">
        <v>45047</v>
      </c>
      <c r="H1001" s="8">
        <v>49991</v>
      </c>
      <c r="I1001" s="7" t="str">
        <f t="shared" si="169"/>
        <v>chintan.tevar@ma.ter.ba</v>
      </c>
      <c r="J1001" s="6" t="s">
        <v>1537</v>
      </c>
      <c r="K1001" s="6">
        <v>50</v>
      </c>
      <c r="L1001" s="7" t="str">
        <f t="shared" si="170"/>
        <v>ma.ter.ba</v>
      </c>
      <c r="M1001" s="7" t="str">
        <f t="shared" si="171"/>
        <v>T.Chintan</v>
      </c>
      <c r="N1001" s="6">
        <f t="shared" si="166"/>
        <v>0</v>
      </c>
      <c r="O1001" s="6">
        <f t="shared" si="165"/>
        <v>2</v>
      </c>
      <c r="P1001" s="6" t="str">
        <f t="shared" si="172"/>
        <v>N</v>
      </c>
      <c r="Q1001" s="6">
        <f t="shared" si="173"/>
        <v>12</v>
      </c>
      <c r="R1001" s="6" t="str">
        <f t="shared" si="174"/>
        <v>2023</v>
      </c>
      <c r="S1001" s="6" t="str">
        <f t="shared" si="175"/>
        <v>May</v>
      </c>
    </row>
    <row r="1002" spans="1:19" x14ac:dyDescent="0.25">
      <c r="A1002" s="6">
        <v>1467</v>
      </c>
      <c r="B1002" s="6" t="str">
        <f t="shared" si="167"/>
        <v>NIKMAN01467</v>
      </c>
      <c r="C1002" s="7" t="s">
        <v>1513</v>
      </c>
      <c r="D1002" s="7" t="s">
        <v>1514</v>
      </c>
      <c r="E1002" s="7" t="str">
        <f t="shared" si="168"/>
        <v>Arun Sasidharan</v>
      </c>
      <c r="F1002" s="7" t="s">
        <v>14</v>
      </c>
      <c r="G1002" s="22">
        <v>44986</v>
      </c>
      <c r="H1002" s="8">
        <v>29500</v>
      </c>
      <c r="I1002" s="7" t="str">
        <f t="shared" si="169"/>
        <v>arun.sasidharan@ma.san.ba</v>
      </c>
      <c r="J1002" s="6" t="s">
        <v>1537</v>
      </c>
      <c r="K1002" s="6">
        <v>84</v>
      </c>
      <c r="L1002" s="7" t="str">
        <f t="shared" si="170"/>
        <v>ma.san.ba</v>
      </c>
      <c r="M1002" s="7" t="str">
        <f t="shared" si="171"/>
        <v>S.Arun</v>
      </c>
      <c r="N1002" s="6">
        <f t="shared" si="166"/>
        <v>0</v>
      </c>
      <c r="O1002" s="6">
        <f t="shared" si="165"/>
        <v>0</v>
      </c>
      <c r="P1002" s="6" t="str">
        <f t="shared" si="172"/>
        <v>N</v>
      </c>
      <c r="Q1002" s="6">
        <f t="shared" si="173"/>
        <v>14</v>
      </c>
      <c r="R1002" s="6" t="str">
        <f t="shared" si="174"/>
        <v>2023</v>
      </c>
      <c r="S1002" s="6" t="str">
        <f t="shared" si="175"/>
        <v>Mar</v>
      </c>
    </row>
    <row r="1003" spans="1:19" x14ac:dyDescent="0.25">
      <c r="A1003" s="6">
        <v>1474</v>
      </c>
      <c r="B1003" s="6" t="str">
        <f t="shared" si="167"/>
        <v>NIKMAN01474</v>
      </c>
      <c r="C1003" s="7" t="s">
        <v>65</v>
      </c>
      <c r="D1003" s="7" t="s">
        <v>1522</v>
      </c>
      <c r="E1003" s="7" t="str">
        <f t="shared" si="168"/>
        <v>RAHUL BABBAR</v>
      </c>
      <c r="F1003" s="7" t="s">
        <v>14</v>
      </c>
      <c r="G1003" s="22">
        <v>43146</v>
      </c>
      <c r="H1003" s="8">
        <v>75498</v>
      </c>
      <c r="I1003" s="7" t="str">
        <f t="shared" si="169"/>
        <v>rahul.babbar@ma.bar.ba</v>
      </c>
      <c r="J1003" s="6" t="s">
        <v>1542</v>
      </c>
      <c r="K1003" s="6">
        <v>74</v>
      </c>
      <c r="L1003" s="7" t="str">
        <f t="shared" si="170"/>
        <v>ma.bar.ba</v>
      </c>
      <c r="M1003" s="7" t="str">
        <f t="shared" si="171"/>
        <v>B.Rahul</v>
      </c>
      <c r="N1003" s="6">
        <f t="shared" si="166"/>
        <v>0</v>
      </c>
      <c r="O1003" s="6">
        <f t="shared" si="165"/>
        <v>0</v>
      </c>
      <c r="P1003" s="6" t="str">
        <f t="shared" si="172"/>
        <v>N</v>
      </c>
      <c r="Q1003" s="6">
        <f t="shared" si="173"/>
        <v>11</v>
      </c>
      <c r="R1003" s="6" t="str">
        <f t="shared" si="174"/>
        <v>2018</v>
      </c>
      <c r="S1003" s="6" t="str">
        <f t="shared" si="175"/>
        <v>Feb</v>
      </c>
    </row>
    <row r="1004" spans="1:19" x14ac:dyDescent="0.25">
      <c r="A1004" s="6">
        <v>1477</v>
      </c>
      <c r="B1004" s="6" t="str">
        <f t="shared" si="167"/>
        <v>NIKMAN01477</v>
      </c>
      <c r="C1004" s="7" t="s">
        <v>1525</v>
      </c>
      <c r="D1004" s="7" t="s">
        <v>1526</v>
      </c>
      <c r="E1004" s="7" t="str">
        <f t="shared" si="168"/>
        <v>GAURANG DILIPBHAI</v>
      </c>
      <c r="F1004" s="7" t="s">
        <v>14</v>
      </c>
      <c r="G1004" s="22">
        <v>43040</v>
      </c>
      <c r="H1004" s="8">
        <v>73798</v>
      </c>
      <c r="I1004" s="7" t="str">
        <f t="shared" si="169"/>
        <v>gaurang.dilipbhai@ma.dii.ba</v>
      </c>
      <c r="J1004" s="6" t="s">
        <v>1534</v>
      </c>
      <c r="K1004" s="6">
        <v>53</v>
      </c>
      <c r="L1004" s="7" t="str">
        <f t="shared" si="170"/>
        <v>ma.dii.ba</v>
      </c>
      <c r="M1004" s="7" t="str">
        <f t="shared" si="171"/>
        <v>D.Gaurang</v>
      </c>
      <c r="N1004" s="6">
        <f t="shared" si="166"/>
        <v>0</v>
      </c>
      <c r="O1004" s="6">
        <f t="shared" ref="O1004:O1067" si="176">IFERROR(SEARCH("e",D1004),0)</f>
        <v>0</v>
      </c>
      <c r="P1004" s="6" t="str">
        <f t="shared" si="172"/>
        <v>N</v>
      </c>
      <c r="Q1004" s="6">
        <f t="shared" si="173"/>
        <v>16</v>
      </c>
      <c r="R1004" s="6" t="str">
        <f t="shared" si="174"/>
        <v>2017</v>
      </c>
      <c r="S1004" s="6" t="str">
        <f t="shared" si="175"/>
        <v>Nov</v>
      </c>
    </row>
    <row r="1005" spans="1:19" x14ac:dyDescent="0.25">
      <c r="A1005" s="6">
        <v>1486</v>
      </c>
      <c r="B1005" s="6" t="str">
        <f t="shared" si="167"/>
        <v>NIKMAN01486</v>
      </c>
      <c r="C1005" s="7" t="s">
        <v>23</v>
      </c>
      <c r="D1005" s="7" t="s">
        <v>1091</v>
      </c>
      <c r="E1005" s="7" t="str">
        <f t="shared" si="168"/>
        <v>ROHIT DHINGRA</v>
      </c>
      <c r="F1005" s="7" t="s">
        <v>14</v>
      </c>
      <c r="G1005" s="22">
        <v>43012</v>
      </c>
      <c r="H1005" s="8">
        <v>83629</v>
      </c>
      <c r="I1005" s="7" t="str">
        <f t="shared" si="169"/>
        <v>rohit.dhingra@ma.dha.ba</v>
      </c>
      <c r="J1005" s="6" t="s">
        <v>1544</v>
      </c>
      <c r="K1005" s="6">
        <v>85</v>
      </c>
      <c r="L1005" s="7" t="str">
        <f t="shared" si="170"/>
        <v>ma.dha.ba</v>
      </c>
      <c r="M1005" s="7" t="str">
        <f t="shared" si="171"/>
        <v>D.Rohit</v>
      </c>
      <c r="N1005" s="6">
        <f t="shared" si="166"/>
        <v>0</v>
      </c>
      <c r="O1005" s="6">
        <f t="shared" si="176"/>
        <v>0</v>
      </c>
      <c r="P1005" s="6" t="str">
        <f t="shared" si="172"/>
        <v>N</v>
      </c>
      <c r="Q1005" s="6">
        <f t="shared" si="173"/>
        <v>12</v>
      </c>
      <c r="R1005" s="6" t="str">
        <f t="shared" si="174"/>
        <v>2017</v>
      </c>
      <c r="S1005" s="6" t="str">
        <f t="shared" si="175"/>
        <v>Oct</v>
      </c>
    </row>
    <row r="1006" spans="1:19" x14ac:dyDescent="0.25">
      <c r="A1006" s="6">
        <v>6</v>
      </c>
      <c r="B1006" s="6" t="str">
        <f t="shared" si="167"/>
        <v>NIKMIS00006</v>
      </c>
      <c r="C1006" s="7" t="s">
        <v>57</v>
      </c>
      <c r="D1006" s="7" t="s">
        <v>58</v>
      </c>
      <c r="E1006" s="7" t="str">
        <f t="shared" si="168"/>
        <v>GAGAN BHATIA</v>
      </c>
      <c r="F1006" s="7" t="s">
        <v>15</v>
      </c>
      <c r="G1006" s="22">
        <v>38975</v>
      </c>
      <c r="H1006" s="8">
        <v>98052</v>
      </c>
      <c r="I1006" s="7" t="str">
        <f t="shared" si="169"/>
        <v>gagan.bhatia@mi.bha.ba</v>
      </c>
      <c r="J1006" s="6" t="s">
        <v>1549</v>
      </c>
      <c r="K1006" s="6">
        <v>40</v>
      </c>
      <c r="L1006" s="7" t="str">
        <f t="shared" si="170"/>
        <v>mi.bha.ba</v>
      </c>
      <c r="M1006" s="7" t="str">
        <f t="shared" si="171"/>
        <v>B.Gagan</v>
      </c>
      <c r="N1006" s="6">
        <f t="shared" ref="N1006:N1069" si="177">IFERROR(SEARCH("e",C1006),0)</f>
        <v>0</v>
      </c>
      <c r="O1006" s="6">
        <f t="shared" si="176"/>
        <v>0</v>
      </c>
      <c r="P1006" s="6" t="str">
        <f t="shared" si="172"/>
        <v>N</v>
      </c>
      <c r="Q1006" s="6">
        <f t="shared" si="173"/>
        <v>11</v>
      </c>
      <c r="R1006" s="6" t="str">
        <f t="shared" si="174"/>
        <v>2006</v>
      </c>
      <c r="S1006" s="6" t="str">
        <f t="shared" si="175"/>
        <v>Sep</v>
      </c>
    </row>
    <row r="1007" spans="1:19" x14ac:dyDescent="0.25">
      <c r="A1007" s="6">
        <v>35</v>
      </c>
      <c r="B1007" s="6" t="str">
        <f t="shared" si="167"/>
        <v>NIKMIS00035</v>
      </c>
      <c r="C1007" s="7" t="s">
        <v>103</v>
      </c>
      <c r="D1007" s="7" t="s">
        <v>104</v>
      </c>
      <c r="E1007" s="7" t="str">
        <f t="shared" si="168"/>
        <v>KANKANA LOHIYAA</v>
      </c>
      <c r="F1007" s="7" t="s">
        <v>15</v>
      </c>
      <c r="G1007" s="22">
        <v>39699</v>
      </c>
      <c r="H1007" s="8">
        <v>75698</v>
      </c>
      <c r="I1007" s="7" t="str">
        <f t="shared" si="169"/>
        <v>kankana.lohiyaa@mi.loa.ba</v>
      </c>
      <c r="J1007" s="6" t="s">
        <v>1545</v>
      </c>
      <c r="K1007" s="6">
        <v>59</v>
      </c>
      <c r="L1007" s="7" t="str">
        <f t="shared" si="170"/>
        <v>mi.loa.ba</v>
      </c>
      <c r="M1007" s="7" t="str">
        <f t="shared" si="171"/>
        <v>L.Kankana</v>
      </c>
      <c r="N1007" s="6">
        <f t="shared" si="177"/>
        <v>0</v>
      </c>
      <c r="O1007" s="6">
        <f t="shared" si="176"/>
        <v>0</v>
      </c>
      <c r="P1007" s="6" t="str">
        <f t="shared" si="172"/>
        <v>N</v>
      </c>
      <c r="Q1007" s="6">
        <f t="shared" si="173"/>
        <v>14</v>
      </c>
      <c r="R1007" s="6" t="str">
        <f t="shared" si="174"/>
        <v>2008</v>
      </c>
      <c r="S1007" s="6" t="str">
        <f t="shared" si="175"/>
        <v>Sep</v>
      </c>
    </row>
    <row r="1008" spans="1:19" x14ac:dyDescent="0.25">
      <c r="A1008" s="6">
        <v>39</v>
      </c>
      <c r="B1008" s="6" t="str">
        <f t="shared" si="167"/>
        <v>NIKMIS00039</v>
      </c>
      <c r="C1008" s="7" t="s">
        <v>109</v>
      </c>
      <c r="D1008" s="7" t="s">
        <v>110</v>
      </c>
      <c r="E1008" s="7" t="str">
        <f t="shared" si="168"/>
        <v>AMRITA ROY</v>
      </c>
      <c r="F1008" s="7" t="s">
        <v>15</v>
      </c>
      <c r="G1008" s="22">
        <v>40194</v>
      </c>
      <c r="H1008" s="8">
        <v>61892</v>
      </c>
      <c r="I1008" s="7" t="str">
        <f t="shared" si="169"/>
        <v>amrita.roy@mi.roy.ba</v>
      </c>
      <c r="J1008" s="6" t="s">
        <v>1547</v>
      </c>
      <c r="K1008" s="6">
        <v>80</v>
      </c>
      <c r="L1008" s="7" t="str">
        <f t="shared" si="170"/>
        <v>mi.roy.ba</v>
      </c>
      <c r="M1008" s="7" t="str">
        <f t="shared" si="171"/>
        <v>R.Amrita</v>
      </c>
      <c r="N1008" s="6">
        <f t="shared" si="177"/>
        <v>0</v>
      </c>
      <c r="O1008" s="6">
        <f t="shared" si="176"/>
        <v>0</v>
      </c>
      <c r="P1008" s="6" t="str">
        <f t="shared" si="172"/>
        <v>N</v>
      </c>
      <c r="Q1008" s="6">
        <f t="shared" si="173"/>
        <v>9</v>
      </c>
      <c r="R1008" s="6" t="str">
        <f t="shared" si="174"/>
        <v>2010</v>
      </c>
      <c r="S1008" s="6" t="str">
        <f t="shared" si="175"/>
        <v>Jan</v>
      </c>
    </row>
    <row r="1009" spans="1:19" x14ac:dyDescent="0.25">
      <c r="A1009" s="6">
        <v>60</v>
      </c>
      <c r="B1009" s="6" t="str">
        <f t="shared" si="167"/>
        <v>NIKMIS00060</v>
      </c>
      <c r="C1009" s="7" t="s">
        <v>138</v>
      </c>
      <c r="D1009" s="7" t="s">
        <v>55</v>
      </c>
      <c r="E1009" s="7" t="str">
        <f t="shared" si="168"/>
        <v>GYANENDRA SHARMA</v>
      </c>
      <c r="F1009" s="7" t="s">
        <v>15</v>
      </c>
      <c r="G1009" s="22">
        <v>41198</v>
      </c>
      <c r="H1009" s="8">
        <v>78778</v>
      </c>
      <c r="I1009" s="7" t="str">
        <f t="shared" si="169"/>
        <v>gyanendra.sharma@mi.sha.ba</v>
      </c>
      <c r="J1009" s="6" t="s">
        <v>1543</v>
      </c>
      <c r="K1009" s="6">
        <v>44</v>
      </c>
      <c r="L1009" s="7" t="str">
        <f t="shared" si="170"/>
        <v>mi.sha.ba</v>
      </c>
      <c r="M1009" s="7" t="str">
        <f t="shared" si="171"/>
        <v>S.Gyanendra</v>
      </c>
      <c r="N1009" s="6">
        <f t="shared" si="177"/>
        <v>5</v>
      </c>
      <c r="O1009" s="6">
        <f t="shared" si="176"/>
        <v>0</v>
      </c>
      <c r="P1009" s="6" t="str">
        <f t="shared" si="172"/>
        <v>N</v>
      </c>
      <c r="Q1009" s="6">
        <f t="shared" si="173"/>
        <v>15</v>
      </c>
      <c r="R1009" s="6" t="str">
        <f t="shared" si="174"/>
        <v>2012</v>
      </c>
      <c r="S1009" s="6" t="str">
        <f t="shared" si="175"/>
        <v>Oct</v>
      </c>
    </row>
    <row r="1010" spans="1:19" x14ac:dyDescent="0.25">
      <c r="A1010" s="6">
        <v>61</v>
      </c>
      <c r="B1010" s="6" t="str">
        <f t="shared" si="167"/>
        <v>NIKMIS00061</v>
      </c>
      <c r="C1010" s="7" t="s">
        <v>139</v>
      </c>
      <c r="D1010" s="7" t="s">
        <v>140</v>
      </c>
      <c r="E1010" s="7" t="str">
        <f t="shared" si="168"/>
        <v>MEENAKSHI MISHRA</v>
      </c>
      <c r="F1010" s="7" t="s">
        <v>15</v>
      </c>
      <c r="G1010" s="22">
        <v>41244</v>
      </c>
      <c r="H1010" s="8">
        <v>106356</v>
      </c>
      <c r="I1010" s="7" t="str">
        <f t="shared" si="169"/>
        <v>meenakshi.mishra@mi.mia.ba</v>
      </c>
      <c r="J1010" s="6" t="s">
        <v>1543</v>
      </c>
      <c r="K1010" s="6">
        <v>68</v>
      </c>
      <c r="L1010" s="7" t="str">
        <f t="shared" si="170"/>
        <v>mi.mia.ba</v>
      </c>
      <c r="M1010" s="7" t="str">
        <f t="shared" si="171"/>
        <v>M.Meenakshi</v>
      </c>
      <c r="N1010" s="6">
        <f t="shared" si="177"/>
        <v>2</v>
      </c>
      <c r="O1010" s="6">
        <f t="shared" si="176"/>
        <v>0</v>
      </c>
      <c r="P1010" s="6" t="str">
        <f t="shared" si="172"/>
        <v>N</v>
      </c>
      <c r="Q1010" s="6">
        <f t="shared" si="173"/>
        <v>15</v>
      </c>
      <c r="R1010" s="6" t="str">
        <f t="shared" si="174"/>
        <v>2012</v>
      </c>
      <c r="S1010" s="6" t="str">
        <f t="shared" si="175"/>
        <v>Dec</v>
      </c>
    </row>
    <row r="1011" spans="1:19" x14ac:dyDescent="0.25">
      <c r="A1011" s="6">
        <v>74</v>
      </c>
      <c r="B1011" s="6" t="str">
        <f t="shared" si="167"/>
        <v>NIKMIS00074</v>
      </c>
      <c r="C1011" s="7" t="s">
        <v>89</v>
      </c>
      <c r="D1011" s="7" t="s">
        <v>156</v>
      </c>
      <c r="E1011" s="7" t="str">
        <f t="shared" si="168"/>
        <v>VIJAY R</v>
      </c>
      <c r="F1011" s="7" t="s">
        <v>15</v>
      </c>
      <c r="G1011" s="22">
        <v>41722</v>
      </c>
      <c r="H1011" s="8">
        <v>80255</v>
      </c>
      <c r="I1011" s="7" t="str">
        <f t="shared" si="169"/>
        <v>vijay.r@mi.rr.ba</v>
      </c>
      <c r="J1011" s="6" t="s">
        <v>1543</v>
      </c>
      <c r="K1011" s="6">
        <v>42</v>
      </c>
      <c r="L1011" s="7" t="str">
        <f t="shared" si="170"/>
        <v>mi.rr.ba</v>
      </c>
      <c r="M1011" s="7" t="str">
        <f t="shared" si="171"/>
        <v>R.Vijay</v>
      </c>
      <c r="N1011" s="6">
        <f t="shared" si="177"/>
        <v>0</v>
      </c>
      <c r="O1011" s="6">
        <f t="shared" si="176"/>
        <v>0</v>
      </c>
      <c r="P1011" s="6" t="str">
        <f t="shared" si="172"/>
        <v>N</v>
      </c>
      <c r="Q1011" s="6">
        <f t="shared" si="173"/>
        <v>6</v>
      </c>
      <c r="R1011" s="6" t="str">
        <f t="shared" si="174"/>
        <v>2014</v>
      </c>
      <c r="S1011" s="6" t="str">
        <f t="shared" si="175"/>
        <v>Mar</v>
      </c>
    </row>
    <row r="1012" spans="1:19" x14ac:dyDescent="0.25">
      <c r="A1012" s="6">
        <v>84</v>
      </c>
      <c r="B1012" s="6" t="str">
        <f t="shared" si="167"/>
        <v>NIKMIS00084</v>
      </c>
      <c r="C1012" s="7" t="s">
        <v>170</v>
      </c>
      <c r="D1012" s="7" t="s">
        <v>55</v>
      </c>
      <c r="E1012" s="7" t="str">
        <f t="shared" si="168"/>
        <v>VINOD SHARMA</v>
      </c>
      <c r="F1012" s="7" t="s">
        <v>15</v>
      </c>
      <c r="G1012" s="22">
        <v>42020</v>
      </c>
      <c r="H1012" s="8">
        <v>63415</v>
      </c>
      <c r="I1012" s="7" t="str">
        <f t="shared" si="169"/>
        <v>vinod.sharma@mi.sha.ba</v>
      </c>
      <c r="J1012" s="6" t="s">
        <v>1539</v>
      </c>
      <c r="K1012" s="6">
        <v>58</v>
      </c>
      <c r="L1012" s="7" t="str">
        <f t="shared" si="170"/>
        <v>mi.sha.ba</v>
      </c>
      <c r="M1012" s="7" t="str">
        <f t="shared" si="171"/>
        <v>S.Vinod</v>
      </c>
      <c r="N1012" s="6">
        <f t="shared" si="177"/>
        <v>0</v>
      </c>
      <c r="O1012" s="6">
        <f t="shared" si="176"/>
        <v>0</v>
      </c>
      <c r="P1012" s="6" t="str">
        <f t="shared" si="172"/>
        <v>N</v>
      </c>
      <c r="Q1012" s="6">
        <f t="shared" si="173"/>
        <v>11</v>
      </c>
      <c r="R1012" s="6" t="str">
        <f t="shared" si="174"/>
        <v>2015</v>
      </c>
      <c r="S1012" s="6" t="str">
        <f t="shared" si="175"/>
        <v>Jan</v>
      </c>
    </row>
    <row r="1013" spans="1:19" x14ac:dyDescent="0.25">
      <c r="A1013" s="6">
        <v>95</v>
      </c>
      <c r="B1013" s="6" t="str">
        <f t="shared" si="167"/>
        <v>NIKMIS00095</v>
      </c>
      <c r="C1013" s="7" t="s">
        <v>184</v>
      </c>
      <c r="D1013" s="7" t="s">
        <v>185</v>
      </c>
      <c r="E1013" s="7" t="str">
        <f t="shared" si="168"/>
        <v>PARESH RANGNATH</v>
      </c>
      <c r="F1013" s="7" t="s">
        <v>15</v>
      </c>
      <c r="G1013" s="22">
        <v>42296</v>
      </c>
      <c r="H1013" s="8">
        <v>44557</v>
      </c>
      <c r="I1013" s="7" t="str">
        <f t="shared" si="169"/>
        <v>paresh.rangnath@mi.rah.ba</v>
      </c>
      <c r="J1013" s="6" t="s">
        <v>1534</v>
      </c>
      <c r="K1013" s="6">
        <v>53</v>
      </c>
      <c r="L1013" s="7" t="str">
        <f t="shared" si="170"/>
        <v>mi.rah.ba</v>
      </c>
      <c r="M1013" s="7" t="str">
        <f t="shared" si="171"/>
        <v>R.Paresh</v>
      </c>
      <c r="N1013" s="6">
        <f t="shared" si="177"/>
        <v>4</v>
      </c>
      <c r="O1013" s="6">
        <f t="shared" si="176"/>
        <v>0</v>
      </c>
      <c r="P1013" s="6" t="str">
        <f t="shared" si="172"/>
        <v>N</v>
      </c>
      <c r="Q1013" s="6">
        <f t="shared" si="173"/>
        <v>14</v>
      </c>
      <c r="R1013" s="6" t="str">
        <f t="shared" si="174"/>
        <v>2015</v>
      </c>
      <c r="S1013" s="6" t="str">
        <f t="shared" si="175"/>
        <v>Oct</v>
      </c>
    </row>
    <row r="1014" spans="1:19" x14ac:dyDescent="0.25">
      <c r="A1014" s="6">
        <v>103</v>
      </c>
      <c r="B1014" s="6" t="str">
        <f t="shared" si="167"/>
        <v>NIKMIS00103</v>
      </c>
      <c r="C1014" s="7" t="s">
        <v>195</v>
      </c>
      <c r="D1014" s="7" t="s">
        <v>196</v>
      </c>
      <c r="E1014" s="7" t="str">
        <f t="shared" si="168"/>
        <v>PRESHIT UTTAM</v>
      </c>
      <c r="F1014" s="7" t="s">
        <v>15</v>
      </c>
      <c r="G1014" s="22">
        <v>42424</v>
      </c>
      <c r="H1014" s="8">
        <v>89625</v>
      </c>
      <c r="I1014" s="7" t="str">
        <f t="shared" si="169"/>
        <v>preshit.uttam@mi.utm.ba</v>
      </c>
      <c r="J1014" s="6" t="s">
        <v>1539</v>
      </c>
      <c r="K1014" s="6">
        <v>49</v>
      </c>
      <c r="L1014" s="7" t="str">
        <f t="shared" si="170"/>
        <v>mi.utm.ba</v>
      </c>
      <c r="M1014" s="7" t="str">
        <f t="shared" si="171"/>
        <v>U.Preshit</v>
      </c>
      <c r="N1014" s="6">
        <f t="shared" si="177"/>
        <v>3</v>
      </c>
      <c r="O1014" s="6">
        <f t="shared" si="176"/>
        <v>0</v>
      </c>
      <c r="P1014" s="6" t="str">
        <f t="shared" si="172"/>
        <v>N</v>
      </c>
      <c r="Q1014" s="6">
        <f t="shared" si="173"/>
        <v>12</v>
      </c>
      <c r="R1014" s="6" t="str">
        <f t="shared" si="174"/>
        <v>2016</v>
      </c>
      <c r="S1014" s="6" t="str">
        <f t="shared" si="175"/>
        <v>Feb</v>
      </c>
    </row>
    <row r="1015" spans="1:19" x14ac:dyDescent="0.25">
      <c r="A1015" s="6">
        <v>106</v>
      </c>
      <c r="B1015" s="6" t="str">
        <f t="shared" si="167"/>
        <v>NIKMIS00106</v>
      </c>
      <c r="C1015" s="7" t="s">
        <v>19</v>
      </c>
      <c r="D1015" s="7" t="s">
        <v>199</v>
      </c>
      <c r="E1015" s="7" t="str">
        <f t="shared" si="168"/>
        <v>AMIT BHATT</v>
      </c>
      <c r="F1015" s="7" t="s">
        <v>15</v>
      </c>
      <c r="G1015" s="22">
        <v>42450</v>
      </c>
      <c r="H1015" s="8">
        <v>53605</v>
      </c>
      <c r="I1015" s="7" t="str">
        <f t="shared" si="169"/>
        <v>amit.bhatt@mi.bht.ba</v>
      </c>
      <c r="J1015" s="6" t="s">
        <v>1534</v>
      </c>
      <c r="K1015" s="6">
        <v>86</v>
      </c>
      <c r="L1015" s="7" t="str">
        <f t="shared" si="170"/>
        <v>mi.bht.ba</v>
      </c>
      <c r="M1015" s="7" t="str">
        <f t="shared" si="171"/>
        <v>B.Amit</v>
      </c>
      <c r="N1015" s="6">
        <f t="shared" si="177"/>
        <v>0</v>
      </c>
      <c r="O1015" s="6">
        <f t="shared" si="176"/>
        <v>0</v>
      </c>
      <c r="P1015" s="6" t="str">
        <f t="shared" si="172"/>
        <v>N</v>
      </c>
      <c r="Q1015" s="6">
        <f t="shared" si="173"/>
        <v>9</v>
      </c>
      <c r="R1015" s="6" t="str">
        <f t="shared" si="174"/>
        <v>2016</v>
      </c>
      <c r="S1015" s="6" t="str">
        <f t="shared" si="175"/>
        <v>Mar</v>
      </c>
    </row>
    <row r="1016" spans="1:19" x14ac:dyDescent="0.25">
      <c r="A1016" s="6">
        <v>117</v>
      </c>
      <c r="B1016" s="6" t="str">
        <f t="shared" si="167"/>
        <v>NIKMIS00117</v>
      </c>
      <c r="C1016" s="7" t="s">
        <v>209</v>
      </c>
      <c r="D1016" s="7" t="s">
        <v>167</v>
      </c>
      <c r="E1016" s="7" t="str">
        <f t="shared" si="168"/>
        <v>GAURAV ARORA</v>
      </c>
      <c r="F1016" s="7" t="s">
        <v>15</v>
      </c>
      <c r="G1016" s="22">
        <v>42552</v>
      </c>
      <c r="H1016" s="8">
        <v>97738</v>
      </c>
      <c r="I1016" s="7" t="str">
        <f t="shared" si="169"/>
        <v>gaurav.arora@mi.ara.ba</v>
      </c>
      <c r="J1016" s="6" t="s">
        <v>1539</v>
      </c>
      <c r="K1016" s="6">
        <v>49</v>
      </c>
      <c r="L1016" s="7" t="str">
        <f t="shared" si="170"/>
        <v>mi.ara.ba</v>
      </c>
      <c r="M1016" s="7" t="str">
        <f t="shared" si="171"/>
        <v>A.Gaurav</v>
      </c>
      <c r="N1016" s="6">
        <f t="shared" si="177"/>
        <v>0</v>
      </c>
      <c r="O1016" s="6">
        <f t="shared" si="176"/>
        <v>0</v>
      </c>
      <c r="P1016" s="6" t="str">
        <f t="shared" si="172"/>
        <v>N</v>
      </c>
      <c r="Q1016" s="6">
        <f t="shared" si="173"/>
        <v>11</v>
      </c>
      <c r="R1016" s="6" t="str">
        <f t="shared" si="174"/>
        <v>2016</v>
      </c>
      <c r="S1016" s="6" t="str">
        <f t="shared" si="175"/>
        <v>Jul</v>
      </c>
    </row>
    <row r="1017" spans="1:19" x14ac:dyDescent="0.25">
      <c r="A1017" s="6">
        <v>125</v>
      </c>
      <c r="B1017" s="6" t="str">
        <f t="shared" si="167"/>
        <v>NIKMIS00125</v>
      </c>
      <c r="C1017" s="7" t="s">
        <v>224</v>
      </c>
      <c r="D1017" s="7" t="s">
        <v>225</v>
      </c>
      <c r="E1017" s="7" t="str">
        <f t="shared" si="168"/>
        <v>JITENDRA NANA</v>
      </c>
      <c r="F1017" s="7" t="s">
        <v>15</v>
      </c>
      <c r="G1017" s="22">
        <v>42614</v>
      </c>
      <c r="H1017" s="8">
        <v>28665</v>
      </c>
      <c r="I1017" s="7" t="str">
        <f t="shared" si="169"/>
        <v>jitendra.nana@mi.naa.ba</v>
      </c>
      <c r="J1017" s="6" t="s">
        <v>1551</v>
      </c>
      <c r="K1017" s="6">
        <v>45</v>
      </c>
      <c r="L1017" s="7" t="str">
        <f t="shared" si="170"/>
        <v>mi.naa.ba</v>
      </c>
      <c r="M1017" s="7" t="str">
        <f t="shared" si="171"/>
        <v>N.Jitendra</v>
      </c>
      <c r="N1017" s="6">
        <f t="shared" si="177"/>
        <v>4</v>
      </c>
      <c r="O1017" s="6">
        <f t="shared" si="176"/>
        <v>0</v>
      </c>
      <c r="P1017" s="6" t="str">
        <f t="shared" si="172"/>
        <v>N</v>
      </c>
      <c r="Q1017" s="6">
        <f t="shared" si="173"/>
        <v>12</v>
      </c>
      <c r="R1017" s="6" t="str">
        <f t="shared" si="174"/>
        <v>2016</v>
      </c>
      <c r="S1017" s="6" t="str">
        <f t="shared" si="175"/>
        <v>Sep</v>
      </c>
    </row>
    <row r="1018" spans="1:19" x14ac:dyDescent="0.25">
      <c r="A1018" s="6">
        <v>128</v>
      </c>
      <c r="B1018" s="6" t="str">
        <f t="shared" si="167"/>
        <v>NIKMIS00128</v>
      </c>
      <c r="C1018" s="7" t="s">
        <v>229</v>
      </c>
      <c r="D1018" s="7" t="s">
        <v>230</v>
      </c>
      <c r="E1018" s="7" t="str">
        <f t="shared" si="168"/>
        <v>ZUBAIR AHMAD</v>
      </c>
      <c r="F1018" s="7" t="s">
        <v>15</v>
      </c>
      <c r="G1018" s="22">
        <v>42644</v>
      </c>
      <c r="H1018" s="8">
        <v>52035</v>
      </c>
      <c r="I1018" s="7" t="str">
        <f t="shared" si="169"/>
        <v>zubair.ahmad@mi.ahd.ba</v>
      </c>
      <c r="J1018" s="6" t="s">
        <v>1539</v>
      </c>
      <c r="K1018" s="6">
        <v>41</v>
      </c>
      <c r="L1018" s="7" t="str">
        <f t="shared" si="170"/>
        <v>mi.ahd.ba</v>
      </c>
      <c r="M1018" s="7" t="str">
        <f t="shared" si="171"/>
        <v>A.Zubair</v>
      </c>
      <c r="N1018" s="6">
        <f t="shared" si="177"/>
        <v>0</v>
      </c>
      <c r="O1018" s="6">
        <f t="shared" si="176"/>
        <v>0</v>
      </c>
      <c r="P1018" s="6" t="str">
        <f t="shared" si="172"/>
        <v>N</v>
      </c>
      <c r="Q1018" s="6">
        <f t="shared" si="173"/>
        <v>11</v>
      </c>
      <c r="R1018" s="6" t="str">
        <f t="shared" si="174"/>
        <v>2016</v>
      </c>
      <c r="S1018" s="6" t="str">
        <f t="shared" si="175"/>
        <v>Oct</v>
      </c>
    </row>
    <row r="1019" spans="1:19" x14ac:dyDescent="0.25">
      <c r="A1019" s="6">
        <v>134</v>
      </c>
      <c r="B1019" s="6" t="str">
        <f t="shared" si="167"/>
        <v>NIKMIS00134</v>
      </c>
      <c r="C1019" s="7" t="s">
        <v>240</v>
      </c>
      <c r="D1019" s="7" t="s">
        <v>55</v>
      </c>
      <c r="E1019" s="7" t="str">
        <f t="shared" si="168"/>
        <v>GOKULENDRA SHARMA</v>
      </c>
      <c r="F1019" s="7" t="s">
        <v>15</v>
      </c>
      <c r="G1019" s="22">
        <v>42679</v>
      </c>
      <c r="H1019" s="8">
        <v>59609</v>
      </c>
      <c r="I1019" s="7" t="str">
        <f t="shared" si="169"/>
        <v>gokulendra.sharma@mi.sha.ba</v>
      </c>
      <c r="J1019" s="6" t="s">
        <v>1542</v>
      </c>
      <c r="K1019" s="6">
        <v>49</v>
      </c>
      <c r="L1019" s="7" t="str">
        <f t="shared" si="170"/>
        <v>mi.sha.ba</v>
      </c>
      <c r="M1019" s="7" t="str">
        <f t="shared" si="171"/>
        <v>S.Gokulendra</v>
      </c>
      <c r="N1019" s="6">
        <f t="shared" si="177"/>
        <v>6</v>
      </c>
      <c r="O1019" s="6">
        <f t="shared" si="176"/>
        <v>0</v>
      </c>
      <c r="P1019" s="6" t="str">
        <f t="shared" si="172"/>
        <v>N</v>
      </c>
      <c r="Q1019" s="6">
        <f t="shared" si="173"/>
        <v>16</v>
      </c>
      <c r="R1019" s="6" t="str">
        <f t="shared" si="174"/>
        <v>2016</v>
      </c>
      <c r="S1019" s="6" t="str">
        <f t="shared" si="175"/>
        <v>Nov</v>
      </c>
    </row>
    <row r="1020" spans="1:19" x14ac:dyDescent="0.25">
      <c r="A1020" s="6">
        <v>141</v>
      </c>
      <c r="B1020" s="6" t="str">
        <f t="shared" si="167"/>
        <v>NIKMIS00141</v>
      </c>
      <c r="C1020" s="7" t="s">
        <v>250</v>
      </c>
      <c r="D1020" s="7" t="s">
        <v>54</v>
      </c>
      <c r="E1020" s="7" t="str">
        <f t="shared" si="168"/>
        <v>TUSHAR GANESH</v>
      </c>
      <c r="F1020" s="7" t="s">
        <v>15</v>
      </c>
      <c r="G1020" s="22">
        <v>42753</v>
      </c>
      <c r="H1020" s="8">
        <v>89095</v>
      </c>
      <c r="I1020" s="7" t="str">
        <f t="shared" si="169"/>
        <v>tushar.ganesh@mi.gah.ba</v>
      </c>
      <c r="J1020" s="6" t="s">
        <v>1536</v>
      </c>
      <c r="K1020" s="6">
        <v>70</v>
      </c>
      <c r="L1020" s="7" t="str">
        <f t="shared" si="170"/>
        <v>mi.gah.ba</v>
      </c>
      <c r="M1020" s="7" t="str">
        <f t="shared" si="171"/>
        <v>G.Tushar</v>
      </c>
      <c r="N1020" s="6">
        <f t="shared" si="177"/>
        <v>0</v>
      </c>
      <c r="O1020" s="6">
        <f t="shared" si="176"/>
        <v>4</v>
      </c>
      <c r="P1020" s="6" t="str">
        <f t="shared" si="172"/>
        <v>N</v>
      </c>
      <c r="Q1020" s="6">
        <f t="shared" si="173"/>
        <v>12</v>
      </c>
      <c r="R1020" s="6" t="str">
        <f t="shared" si="174"/>
        <v>2017</v>
      </c>
      <c r="S1020" s="6" t="str">
        <f t="shared" si="175"/>
        <v>Jan</v>
      </c>
    </row>
    <row r="1021" spans="1:19" x14ac:dyDescent="0.25">
      <c r="A1021" s="6">
        <v>144</v>
      </c>
      <c r="B1021" s="6" t="str">
        <f t="shared" si="167"/>
        <v>NIKMIS00144</v>
      </c>
      <c r="C1021" s="7" t="s">
        <v>32</v>
      </c>
      <c r="D1021" s="7" t="s">
        <v>68</v>
      </c>
      <c r="E1021" s="7" t="str">
        <f t="shared" si="168"/>
        <v>SUSHIL KUMAR</v>
      </c>
      <c r="F1021" s="7" t="s">
        <v>15</v>
      </c>
      <c r="G1021" s="22">
        <v>42767</v>
      </c>
      <c r="H1021" s="8">
        <v>34891</v>
      </c>
      <c r="I1021" s="7" t="str">
        <f t="shared" si="169"/>
        <v>sushil.kumar@mi.kur.ba</v>
      </c>
      <c r="J1021" s="6" t="s">
        <v>1546</v>
      </c>
      <c r="K1021" s="6">
        <v>66</v>
      </c>
      <c r="L1021" s="7" t="str">
        <f t="shared" si="170"/>
        <v>mi.kur.ba</v>
      </c>
      <c r="M1021" s="7" t="str">
        <f t="shared" si="171"/>
        <v>K.Sushil</v>
      </c>
      <c r="N1021" s="6">
        <f t="shared" si="177"/>
        <v>0</v>
      </c>
      <c r="O1021" s="6">
        <f t="shared" si="176"/>
        <v>0</v>
      </c>
      <c r="P1021" s="6" t="str">
        <f t="shared" si="172"/>
        <v>N</v>
      </c>
      <c r="Q1021" s="6">
        <f t="shared" si="173"/>
        <v>11</v>
      </c>
      <c r="R1021" s="6" t="str">
        <f t="shared" si="174"/>
        <v>2017</v>
      </c>
      <c r="S1021" s="6" t="str">
        <f t="shared" si="175"/>
        <v>Feb</v>
      </c>
    </row>
    <row r="1022" spans="1:19" x14ac:dyDescent="0.25">
      <c r="A1022" s="6">
        <v>147</v>
      </c>
      <c r="B1022" s="6" t="str">
        <f t="shared" si="167"/>
        <v>NIKMIS00147</v>
      </c>
      <c r="C1022" s="7" t="s">
        <v>65</v>
      </c>
      <c r="D1022" s="7" t="s">
        <v>79</v>
      </c>
      <c r="E1022" s="7" t="str">
        <f t="shared" si="168"/>
        <v>RAHUL TYAGI</v>
      </c>
      <c r="F1022" s="7" t="s">
        <v>15</v>
      </c>
      <c r="G1022" s="22">
        <v>42831</v>
      </c>
      <c r="H1022" s="8">
        <v>41310</v>
      </c>
      <c r="I1022" s="7" t="str">
        <f t="shared" si="169"/>
        <v>rahul.tyagi@mi.tyi.ba</v>
      </c>
      <c r="J1022" s="6" t="s">
        <v>1544</v>
      </c>
      <c r="K1022" s="6">
        <v>65</v>
      </c>
      <c r="L1022" s="7" t="str">
        <f t="shared" si="170"/>
        <v>mi.tyi.ba</v>
      </c>
      <c r="M1022" s="7" t="str">
        <f t="shared" si="171"/>
        <v>T.Rahul</v>
      </c>
      <c r="N1022" s="6">
        <f t="shared" si="177"/>
        <v>0</v>
      </c>
      <c r="O1022" s="6">
        <f t="shared" si="176"/>
        <v>0</v>
      </c>
      <c r="P1022" s="6" t="str">
        <f t="shared" si="172"/>
        <v>N</v>
      </c>
      <c r="Q1022" s="6">
        <f t="shared" si="173"/>
        <v>10</v>
      </c>
      <c r="R1022" s="6" t="str">
        <f t="shared" si="174"/>
        <v>2017</v>
      </c>
      <c r="S1022" s="6" t="str">
        <f t="shared" si="175"/>
        <v>Apr</v>
      </c>
    </row>
    <row r="1023" spans="1:19" x14ac:dyDescent="0.25">
      <c r="A1023" s="6">
        <v>163</v>
      </c>
      <c r="B1023" s="6" t="str">
        <f t="shared" si="167"/>
        <v>NIKMIS00163</v>
      </c>
      <c r="C1023" s="7" t="s">
        <v>101</v>
      </c>
      <c r="D1023" s="7" t="s">
        <v>273</v>
      </c>
      <c r="E1023" s="7" t="str">
        <f t="shared" si="168"/>
        <v>RAKESH SHRAVAN</v>
      </c>
      <c r="F1023" s="7" t="s">
        <v>15</v>
      </c>
      <c r="G1023" s="22">
        <v>43147</v>
      </c>
      <c r="H1023" s="8">
        <v>82429</v>
      </c>
      <c r="I1023" s="7" t="str">
        <f t="shared" si="169"/>
        <v>rakesh.shravan@mi.shn.ba</v>
      </c>
      <c r="J1023" s="6" t="s">
        <v>1536</v>
      </c>
      <c r="K1023" s="6">
        <v>54</v>
      </c>
      <c r="L1023" s="7" t="str">
        <f t="shared" si="170"/>
        <v>mi.shn.ba</v>
      </c>
      <c r="M1023" s="7" t="str">
        <f t="shared" si="171"/>
        <v>S.Rakesh</v>
      </c>
      <c r="N1023" s="6">
        <f t="shared" si="177"/>
        <v>4</v>
      </c>
      <c r="O1023" s="6">
        <f t="shared" si="176"/>
        <v>0</v>
      </c>
      <c r="P1023" s="6" t="str">
        <f t="shared" si="172"/>
        <v>N</v>
      </c>
      <c r="Q1023" s="6">
        <f t="shared" si="173"/>
        <v>13</v>
      </c>
      <c r="R1023" s="6" t="str">
        <f t="shared" si="174"/>
        <v>2018</v>
      </c>
      <c r="S1023" s="6" t="str">
        <f t="shared" si="175"/>
        <v>Feb</v>
      </c>
    </row>
    <row r="1024" spans="1:19" x14ac:dyDescent="0.25">
      <c r="A1024" s="6">
        <v>186</v>
      </c>
      <c r="B1024" s="6" t="str">
        <f t="shared" si="167"/>
        <v>NIKMIS00186</v>
      </c>
      <c r="C1024" s="7" t="s">
        <v>299</v>
      </c>
      <c r="D1024" s="7" t="s">
        <v>300</v>
      </c>
      <c r="E1024" s="7" t="str">
        <f t="shared" si="168"/>
        <v>GIREESH CHATURVEDI</v>
      </c>
      <c r="F1024" s="7" t="s">
        <v>15</v>
      </c>
      <c r="G1024" s="22">
        <v>43693</v>
      </c>
      <c r="H1024" s="8">
        <v>66318</v>
      </c>
      <c r="I1024" s="7" t="str">
        <f t="shared" si="169"/>
        <v>gireesh.chaturvedi@mi.chi.ba</v>
      </c>
      <c r="J1024" s="6" t="s">
        <v>1547</v>
      </c>
      <c r="K1024" s="6">
        <v>77</v>
      </c>
      <c r="L1024" s="7" t="str">
        <f t="shared" si="170"/>
        <v>mi.chi.ba</v>
      </c>
      <c r="M1024" s="7" t="str">
        <f t="shared" si="171"/>
        <v>C.Gireesh</v>
      </c>
      <c r="N1024" s="6">
        <f t="shared" si="177"/>
        <v>4</v>
      </c>
      <c r="O1024" s="6">
        <f t="shared" si="176"/>
        <v>8</v>
      </c>
      <c r="P1024" s="6" t="str">
        <f t="shared" si="172"/>
        <v>Y</v>
      </c>
      <c r="Q1024" s="6">
        <f t="shared" si="173"/>
        <v>17</v>
      </c>
      <c r="R1024" s="6" t="str">
        <f t="shared" si="174"/>
        <v>2019</v>
      </c>
      <c r="S1024" s="6" t="str">
        <f t="shared" si="175"/>
        <v>Aug</v>
      </c>
    </row>
    <row r="1025" spans="1:19" x14ac:dyDescent="0.25">
      <c r="A1025" s="6">
        <v>199</v>
      </c>
      <c r="B1025" s="6" t="str">
        <f t="shared" si="167"/>
        <v>NIKMIS00199</v>
      </c>
      <c r="C1025" s="7" t="s">
        <v>317</v>
      </c>
      <c r="D1025" s="7" t="s">
        <v>70</v>
      </c>
      <c r="E1025" s="7" t="str">
        <f t="shared" si="168"/>
        <v>VENUS SINGH</v>
      </c>
      <c r="F1025" s="7" t="s">
        <v>15</v>
      </c>
      <c r="G1025" s="22">
        <v>44168</v>
      </c>
      <c r="H1025" s="8">
        <v>72451</v>
      </c>
      <c r="I1025" s="7" t="str">
        <f t="shared" si="169"/>
        <v>venus.singh@mi.sih.ba</v>
      </c>
      <c r="J1025" s="6" t="s">
        <v>1534</v>
      </c>
      <c r="K1025" s="6">
        <v>86</v>
      </c>
      <c r="L1025" s="7" t="str">
        <f t="shared" si="170"/>
        <v>mi.sih.ba</v>
      </c>
      <c r="M1025" s="7" t="str">
        <f t="shared" si="171"/>
        <v>S.Venus</v>
      </c>
      <c r="N1025" s="6">
        <f t="shared" si="177"/>
        <v>2</v>
      </c>
      <c r="O1025" s="6">
        <f t="shared" si="176"/>
        <v>0</v>
      </c>
      <c r="P1025" s="6" t="str">
        <f t="shared" si="172"/>
        <v>N</v>
      </c>
      <c r="Q1025" s="6">
        <f t="shared" si="173"/>
        <v>10</v>
      </c>
      <c r="R1025" s="6" t="str">
        <f t="shared" si="174"/>
        <v>2020</v>
      </c>
      <c r="S1025" s="6" t="str">
        <f t="shared" si="175"/>
        <v>Dec</v>
      </c>
    </row>
    <row r="1026" spans="1:19" x14ac:dyDescent="0.25">
      <c r="A1026" s="6">
        <v>207</v>
      </c>
      <c r="B1026" s="6" t="str">
        <f t="shared" ref="B1026:B1089" si="178">_xlfn.TEXTJOIN("",TRUE,"NIK",UPPER(LEFT(SUBSTITUTE(SUBSTITUTE(F1026," ",""),"&amp;",""),3)),TEXT(A1026,"00000"))</f>
        <v>NIKMIS00207</v>
      </c>
      <c r="C1026" s="7" t="s">
        <v>328</v>
      </c>
      <c r="D1026" s="7" t="s">
        <v>124</v>
      </c>
      <c r="E1026" s="7" t="str">
        <f t="shared" ref="E1026:E1089" si="179">_xlfn.TEXTJOIN(" ",TRUE,C1026,D1026)</f>
        <v>TARUN SHUKLA</v>
      </c>
      <c r="F1026" s="7" t="s">
        <v>15</v>
      </c>
      <c r="G1026" s="22">
        <v>44298</v>
      </c>
      <c r="H1026" s="8">
        <v>36881</v>
      </c>
      <c r="I1026" s="7" t="str">
        <f t="shared" ref="I1026:I1089" si="180">LOWER(C1026&amp;"."&amp;D1026&amp;"@"&amp;LEFT(SUBSTITUTE(F1026," ",""),2))&amp;LOWER("."&amp;LEFT(D1026,2))&amp;LOWER(RIGHT(D1026,1))&amp;".ba"</f>
        <v>tarun.shukla@mi.sha.ba</v>
      </c>
      <c r="J1026" s="6" t="s">
        <v>1551</v>
      </c>
      <c r="K1026" s="6">
        <v>71</v>
      </c>
      <c r="L1026" s="7" t="str">
        <f t="shared" ref="L1026:L1089" si="181">RIGHT(I1026,LEN(I1026)-FIND("@",I1026))</f>
        <v>mi.sha.ba</v>
      </c>
      <c r="M1026" s="7" t="str">
        <f t="shared" ref="M1026:M1089" si="182">UPPER(LEFT(D1026,1))&amp;"."&amp;PROPER(C1026)</f>
        <v>S.Tarun</v>
      </c>
      <c r="N1026" s="6">
        <f t="shared" si="177"/>
        <v>0</v>
      </c>
      <c r="O1026" s="6">
        <f t="shared" si="176"/>
        <v>0</v>
      </c>
      <c r="P1026" s="6" t="str">
        <f t="shared" ref="P1026:P1089" si="183">IF(AND(N1026&gt;=1,O1026&gt;=1),"Y","N")</f>
        <v>N</v>
      </c>
      <c r="Q1026" s="6">
        <f t="shared" ref="Q1026:Q1089" si="184">LEN(SUBSTITUTE(E1026, " ", ""))</f>
        <v>11</v>
      </c>
      <c r="R1026" s="6" t="str">
        <f t="shared" ref="R1026:R1089" si="185">TEXT(G1026,"YYYY")</f>
        <v>2021</v>
      </c>
      <c r="S1026" s="6" t="str">
        <f t="shared" ref="S1026:S1089" si="186">TEXT(G1026,"MMM")</f>
        <v>Apr</v>
      </c>
    </row>
    <row r="1027" spans="1:19" x14ac:dyDescent="0.25">
      <c r="A1027" s="6">
        <v>218</v>
      </c>
      <c r="B1027" s="6" t="str">
        <f t="shared" si="178"/>
        <v>NIKMIS00218</v>
      </c>
      <c r="C1027" s="7" t="s">
        <v>342</v>
      </c>
      <c r="D1027" s="7" t="s">
        <v>260</v>
      </c>
      <c r="E1027" s="7" t="str">
        <f t="shared" si="179"/>
        <v>USAT YADAV</v>
      </c>
      <c r="F1027" s="7" t="s">
        <v>15</v>
      </c>
      <c r="G1027" s="22">
        <v>44440</v>
      </c>
      <c r="H1027" s="8">
        <v>28641</v>
      </c>
      <c r="I1027" s="7" t="str">
        <f t="shared" si="180"/>
        <v>usat.yadav@mi.yav.ba</v>
      </c>
      <c r="J1027" s="6" t="s">
        <v>1545</v>
      </c>
      <c r="K1027" s="6">
        <v>40</v>
      </c>
      <c r="L1027" s="7" t="str">
        <f t="shared" si="181"/>
        <v>mi.yav.ba</v>
      </c>
      <c r="M1027" s="7" t="str">
        <f t="shared" si="182"/>
        <v>Y.Usat</v>
      </c>
      <c r="N1027" s="6">
        <f t="shared" si="177"/>
        <v>0</v>
      </c>
      <c r="O1027" s="6">
        <f t="shared" si="176"/>
        <v>0</v>
      </c>
      <c r="P1027" s="6" t="str">
        <f t="shared" si="183"/>
        <v>N</v>
      </c>
      <c r="Q1027" s="6">
        <f t="shared" si="184"/>
        <v>9</v>
      </c>
      <c r="R1027" s="6" t="str">
        <f t="shared" si="185"/>
        <v>2021</v>
      </c>
      <c r="S1027" s="6" t="str">
        <f t="shared" si="186"/>
        <v>Sep</v>
      </c>
    </row>
    <row r="1028" spans="1:19" x14ac:dyDescent="0.25">
      <c r="A1028" s="6">
        <v>225</v>
      </c>
      <c r="B1028" s="6" t="str">
        <f t="shared" si="178"/>
        <v>NIKMIS00225</v>
      </c>
      <c r="C1028" s="7" t="s">
        <v>40</v>
      </c>
      <c r="D1028" s="7" t="s">
        <v>283</v>
      </c>
      <c r="E1028" s="7" t="str">
        <f t="shared" si="179"/>
        <v>SHUBHAM PRASAD</v>
      </c>
      <c r="F1028" s="7" t="s">
        <v>15</v>
      </c>
      <c r="G1028" s="22">
        <v>44515</v>
      </c>
      <c r="H1028" s="8">
        <v>38989</v>
      </c>
      <c r="I1028" s="7" t="str">
        <f t="shared" si="180"/>
        <v>shubham.prasad@mi.prd.ba</v>
      </c>
      <c r="J1028" s="6" t="s">
        <v>1550</v>
      </c>
      <c r="K1028" s="6">
        <v>41</v>
      </c>
      <c r="L1028" s="7" t="str">
        <f t="shared" si="181"/>
        <v>mi.prd.ba</v>
      </c>
      <c r="M1028" s="7" t="str">
        <f t="shared" si="182"/>
        <v>P.Shubham</v>
      </c>
      <c r="N1028" s="6">
        <f t="shared" si="177"/>
        <v>0</v>
      </c>
      <c r="O1028" s="6">
        <f t="shared" si="176"/>
        <v>0</v>
      </c>
      <c r="P1028" s="6" t="str">
        <f t="shared" si="183"/>
        <v>N</v>
      </c>
      <c r="Q1028" s="6">
        <f t="shared" si="184"/>
        <v>13</v>
      </c>
      <c r="R1028" s="6" t="str">
        <f t="shared" si="185"/>
        <v>2021</v>
      </c>
      <c r="S1028" s="6" t="str">
        <f t="shared" si="186"/>
        <v>Nov</v>
      </c>
    </row>
    <row r="1029" spans="1:19" x14ac:dyDescent="0.25">
      <c r="A1029" s="6">
        <v>228</v>
      </c>
      <c r="B1029" s="6" t="str">
        <f t="shared" si="178"/>
        <v>NIKMIS00228</v>
      </c>
      <c r="C1029" s="7" t="s">
        <v>350</v>
      </c>
      <c r="D1029" s="7" t="s">
        <v>351</v>
      </c>
      <c r="E1029" s="7" t="str">
        <f t="shared" si="179"/>
        <v>DEEPSHIKHA .</v>
      </c>
      <c r="F1029" s="7" t="s">
        <v>15</v>
      </c>
      <c r="G1029" s="22">
        <v>44520</v>
      </c>
      <c r="H1029" s="8">
        <v>55539</v>
      </c>
      <c r="I1029" s="7" t="str">
        <f t="shared" si="180"/>
        <v>deepshikha..@mi....ba</v>
      </c>
      <c r="J1029" s="6" t="s">
        <v>1542</v>
      </c>
      <c r="K1029" s="6">
        <v>54</v>
      </c>
      <c r="L1029" s="7" t="str">
        <f t="shared" si="181"/>
        <v>mi....ba</v>
      </c>
      <c r="M1029" s="7" t="str">
        <f t="shared" si="182"/>
        <v>..Deepshikha</v>
      </c>
      <c r="N1029" s="6">
        <f t="shared" si="177"/>
        <v>2</v>
      </c>
      <c r="O1029" s="6">
        <f t="shared" si="176"/>
        <v>0</v>
      </c>
      <c r="P1029" s="6" t="str">
        <f t="shared" si="183"/>
        <v>N</v>
      </c>
      <c r="Q1029" s="6">
        <f t="shared" si="184"/>
        <v>11</v>
      </c>
      <c r="R1029" s="6" t="str">
        <f t="shared" si="185"/>
        <v>2021</v>
      </c>
      <c r="S1029" s="6" t="str">
        <f t="shared" si="186"/>
        <v>Nov</v>
      </c>
    </row>
    <row r="1030" spans="1:19" x14ac:dyDescent="0.25">
      <c r="A1030" s="6">
        <v>233</v>
      </c>
      <c r="B1030" s="6" t="str">
        <f t="shared" si="178"/>
        <v>NIKMIS00233</v>
      </c>
      <c r="C1030" s="7" t="s">
        <v>146</v>
      </c>
      <c r="D1030" s="7" t="s">
        <v>358</v>
      </c>
      <c r="E1030" s="7" t="str">
        <f t="shared" si="179"/>
        <v>ANKIT TAMHANE</v>
      </c>
      <c r="F1030" s="7" t="s">
        <v>15</v>
      </c>
      <c r="G1030" s="22">
        <v>44543</v>
      </c>
      <c r="H1030" s="8">
        <v>52142</v>
      </c>
      <c r="I1030" s="7" t="str">
        <f t="shared" si="180"/>
        <v>ankit.tamhane@mi.tae.ba</v>
      </c>
      <c r="J1030" s="6" t="s">
        <v>1543</v>
      </c>
      <c r="K1030" s="6">
        <v>70</v>
      </c>
      <c r="L1030" s="7" t="str">
        <f t="shared" si="181"/>
        <v>mi.tae.ba</v>
      </c>
      <c r="M1030" s="7" t="str">
        <f t="shared" si="182"/>
        <v>T.Ankit</v>
      </c>
      <c r="N1030" s="6">
        <f t="shared" si="177"/>
        <v>0</v>
      </c>
      <c r="O1030" s="6">
        <f t="shared" si="176"/>
        <v>7</v>
      </c>
      <c r="P1030" s="6" t="str">
        <f t="shared" si="183"/>
        <v>N</v>
      </c>
      <c r="Q1030" s="6">
        <f t="shared" si="184"/>
        <v>12</v>
      </c>
      <c r="R1030" s="6" t="str">
        <f t="shared" si="185"/>
        <v>2021</v>
      </c>
      <c r="S1030" s="6" t="str">
        <f t="shared" si="186"/>
        <v>Dec</v>
      </c>
    </row>
    <row r="1031" spans="1:19" x14ac:dyDescent="0.25">
      <c r="A1031" s="6">
        <v>235</v>
      </c>
      <c r="B1031" s="6" t="str">
        <f t="shared" si="178"/>
        <v>NIKMIS00235</v>
      </c>
      <c r="C1031" s="7" t="s">
        <v>360</v>
      </c>
      <c r="D1031" s="7" t="s">
        <v>361</v>
      </c>
      <c r="E1031" s="7" t="str">
        <f t="shared" si="179"/>
        <v>RINKU CHITTARA</v>
      </c>
      <c r="F1031" s="7" t="s">
        <v>15</v>
      </c>
      <c r="G1031" s="22">
        <v>44543</v>
      </c>
      <c r="H1031" s="8">
        <v>104584</v>
      </c>
      <c r="I1031" s="7" t="str">
        <f t="shared" si="180"/>
        <v>rinku.chittara@mi.cha.ba</v>
      </c>
      <c r="J1031" s="6" t="s">
        <v>1535</v>
      </c>
      <c r="K1031" s="6">
        <v>36</v>
      </c>
      <c r="L1031" s="7" t="str">
        <f t="shared" si="181"/>
        <v>mi.cha.ba</v>
      </c>
      <c r="M1031" s="7" t="str">
        <f t="shared" si="182"/>
        <v>C.Rinku</v>
      </c>
      <c r="N1031" s="6">
        <f t="shared" si="177"/>
        <v>0</v>
      </c>
      <c r="O1031" s="6">
        <f t="shared" si="176"/>
        <v>0</v>
      </c>
      <c r="P1031" s="6" t="str">
        <f t="shared" si="183"/>
        <v>N</v>
      </c>
      <c r="Q1031" s="6">
        <f t="shared" si="184"/>
        <v>13</v>
      </c>
      <c r="R1031" s="6" t="str">
        <f t="shared" si="185"/>
        <v>2021</v>
      </c>
      <c r="S1031" s="6" t="str">
        <f t="shared" si="186"/>
        <v>Dec</v>
      </c>
    </row>
    <row r="1032" spans="1:19" x14ac:dyDescent="0.25">
      <c r="A1032" s="6">
        <v>239</v>
      </c>
      <c r="B1032" s="6" t="str">
        <f t="shared" si="178"/>
        <v>NIKMIS00239</v>
      </c>
      <c r="C1032" s="7" t="s">
        <v>365</v>
      </c>
      <c r="D1032" s="7" t="s">
        <v>366</v>
      </c>
      <c r="E1032" s="7" t="str">
        <f t="shared" si="179"/>
        <v>SHYAM BIHARI</v>
      </c>
      <c r="F1032" s="7" t="s">
        <v>15</v>
      </c>
      <c r="G1032" s="22">
        <v>44593</v>
      </c>
      <c r="H1032" s="8">
        <v>30496</v>
      </c>
      <c r="I1032" s="7" t="str">
        <f t="shared" si="180"/>
        <v>shyam.bihari@mi.bii.ba</v>
      </c>
      <c r="J1032" s="6" t="s">
        <v>1540</v>
      </c>
      <c r="K1032" s="6">
        <v>43</v>
      </c>
      <c r="L1032" s="7" t="str">
        <f t="shared" si="181"/>
        <v>mi.bii.ba</v>
      </c>
      <c r="M1032" s="7" t="str">
        <f t="shared" si="182"/>
        <v>B.Shyam</v>
      </c>
      <c r="N1032" s="6">
        <f t="shared" si="177"/>
        <v>0</v>
      </c>
      <c r="O1032" s="6">
        <f t="shared" si="176"/>
        <v>0</v>
      </c>
      <c r="P1032" s="6" t="str">
        <f t="shared" si="183"/>
        <v>N</v>
      </c>
      <c r="Q1032" s="6">
        <f t="shared" si="184"/>
        <v>11</v>
      </c>
      <c r="R1032" s="6" t="str">
        <f t="shared" si="185"/>
        <v>2022</v>
      </c>
      <c r="S1032" s="6" t="str">
        <f t="shared" si="186"/>
        <v>Feb</v>
      </c>
    </row>
    <row r="1033" spans="1:19" x14ac:dyDescent="0.25">
      <c r="A1033" s="6">
        <v>243</v>
      </c>
      <c r="B1033" s="6" t="str">
        <f t="shared" si="178"/>
        <v>NIKMIS00243</v>
      </c>
      <c r="C1033" s="7" t="s">
        <v>373</v>
      </c>
      <c r="D1033" s="7" t="s">
        <v>374</v>
      </c>
      <c r="E1033" s="7" t="str">
        <f t="shared" si="179"/>
        <v>AKSHU MEHRA</v>
      </c>
      <c r="F1033" s="7" t="s">
        <v>15</v>
      </c>
      <c r="G1033" s="22">
        <v>44622</v>
      </c>
      <c r="H1033" s="8">
        <v>55948</v>
      </c>
      <c r="I1033" s="7" t="str">
        <f t="shared" si="180"/>
        <v>akshu.mehra@mi.mea.ba</v>
      </c>
      <c r="J1033" s="6" t="s">
        <v>1542</v>
      </c>
      <c r="K1033" s="6">
        <v>74</v>
      </c>
      <c r="L1033" s="7" t="str">
        <f t="shared" si="181"/>
        <v>mi.mea.ba</v>
      </c>
      <c r="M1033" s="7" t="str">
        <f t="shared" si="182"/>
        <v>M.Akshu</v>
      </c>
      <c r="N1033" s="6">
        <f t="shared" si="177"/>
        <v>0</v>
      </c>
      <c r="O1033" s="6">
        <f t="shared" si="176"/>
        <v>2</v>
      </c>
      <c r="P1033" s="6" t="str">
        <f t="shared" si="183"/>
        <v>N</v>
      </c>
      <c r="Q1033" s="6">
        <f t="shared" si="184"/>
        <v>10</v>
      </c>
      <c r="R1033" s="6" t="str">
        <f t="shared" si="185"/>
        <v>2022</v>
      </c>
      <c r="S1033" s="6" t="str">
        <f t="shared" si="186"/>
        <v>Mar</v>
      </c>
    </row>
    <row r="1034" spans="1:19" x14ac:dyDescent="0.25">
      <c r="A1034" s="6">
        <v>262</v>
      </c>
      <c r="B1034" s="6" t="str">
        <f t="shared" si="178"/>
        <v>NIKMIS00262</v>
      </c>
      <c r="C1034" s="7" t="s">
        <v>71</v>
      </c>
      <c r="D1034" s="7" t="s">
        <v>396</v>
      </c>
      <c r="E1034" s="7" t="str">
        <f t="shared" si="179"/>
        <v>ARUN K</v>
      </c>
      <c r="F1034" s="7" t="s">
        <v>15</v>
      </c>
      <c r="G1034" s="22">
        <v>44743</v>
      </c>
      <c r="H1034" s="8">
        <v>28621</v>
      </c>
      <c r="I1034" s="7" t="str">
        <f t="shared" si="180"/>
        <v>arun.k@mi.kk.ba</v>
      </c>
      <c r="J1034" s="6" t="s">
        <v>1550</v>
      </c>
      <c r="K1034" s="6">
        <v>52</v>
      </c>
      <c r="L1034" s="7" t="str">
        <f t="shared" si="181"/>
        <v>mi.kk.ba</v>
      </c>
      <c r="M1034" s="7" t="str">
        <f t="shared" si="182"/>
        <v>K.Arun</v>
      </c>
      <c r="N1034" s="6">
        <f t="shared" si="177"/>
        <v>0</v>
      </c>
      <c r="O1034" s="6">
        <f t="shared" si="176"/>
        <v>0</v>
      </c>
      <c r="P1034" s="6" t="str">
        <f t="shared" si="183"/>
        <v>N</v>
      </c>
      <c r="Q1034" s="6">
        <f t="shared" si="184"/>
        <v>5</v>
      </c>
      <c r="R1034" s="6" t="str">
        <f t="shared" si="185"/>
        <v>2022</v>
      </c>
      <c r="S1034" s="6" t="str">
        <f t="shared" si="186"/>
        <v>Jul</v>
      </c>
    </row>
    <row r="1035" spans="1:19" x14ac:dyDescent="0.25">
      <c r="A1035" s="6">
        <v>267</v>
      </c>
      <c r="B1035" s="6" t="str">
        <f t="shared" si="178"/>
        <v>NIKMIS00267</v>
      </c>
      <c r="C1035" s="7" t="s">
        <v>401</v>
      </c>
      <c r="D1035" s="7" t="s">
        <v>402</v>
      </c>
      <c r="E1035" s="7" t="str">
        <f t="shared" si="179"/>
        <v>SHIVAM GROVER</v>
      </c>
      <c r="F1035" s="7" t="s">
        <v>15</v>
      </c>
      <c r="G1035" s="22">
        <v>44789</v>
      </c>
      <c r="H1035" s="8">
        <v>51627</v>
      </c>
      <c r="I1035" s="7" t="str">
        <f t="shared" si="180"/>
        <v>shivam.grover@mi.grr.ba</v>
      </c>
      <c r="J1035" s="6" t="s">
        <v>1548</v>
      </c>
      <c r="K1035" s="6">
        <v>66</v>
      </c>
      <c r="L1035" s="7" t="str">
        <f t="shared" si="181"/>
        <v>mi.grr.ba</v>
      </c>
      <c r="M1035" s="7" t="str">
        <f t="shared" si="182"/>
        <v>G.Shivam</v>
      </c>
      <c r="N1035" s="6">
        <f t="shared" si="177"/>
        <v>0</v>
      </c>
      <c r="O1035" s="6">
        <f t="shared" si="176"/>
        <v>5</v>
      </c>
      <c r="P1035" s="6" t="str">
        <f t="shared" si="183"/>
        <v>N</v>
      </c>
      <c r="Q1035" s="6">
        <f t="shared" si="184"/>
        <v>12</v>
      </c>
      <c r="R1035" s="6" t="str">
        <f t="shared" si="185"/>
        <v>2022</v>
      </c>
      <c r="S1035" s="6" t="str">
        <f t="shared" si="186"/>
        <v>Aug</v>
      </c>
    </row>
    <row r="1036" spans="1:19" x14ac:dyDescent="0.25">
      <c r="A1036" s="6">
        <v>275</v>
      </c>
      <c r="B1036" s="6" t="str">
        <f t="shared" si="178"/>
        <v>NIKMIS00275</v>
      </c>
      <c r="C1036" s="7" t="s">
        <v>336</v>
      </c>
      <c r="D1036" s="7" t="s">
        <v>68</v>
      </c>
      <c r="E1036" s="7" t="str">
        <f t="shared" si="179"/>
        <v>SHAILESH KUMAR</v>
      </c>
      <c r="F1036" s="7" t="s">
        <v>15</v>
      </c>
      <c r="G1036" s="22">
        <v>44835</v>
      </c>
      <c r="H1036" s="8">
        <v>34007</v>
      </c>
      <c r="I1036" s="7" t="str">
        <f t="shared" si="180"/>
        <v>shailesh.kumar@mi.kur.ba</v>
      </c>
      <c r="J1036" s="6" t="s">
        <v>1536</v>
      </c>
      <c r="K1036" s="6">
        <v>55</v>
      </c>
      <c r="L1036" s="7" t="str">
        <f t="shared" si="181"/>
        <v>mi.kur.ba</v>
      </c>
      <c r="M1036" s="7" t="str">
        <f t="shared" si="182"/>
        <v>K.Shailesh</v>
      </c>
      <c r="N1036" s="6">
        <f t="shared" si="177"/>
        <v>6</v>
      </c>
      <c r="O1036" s="6">
        <f t="shared" si="176"/>
        <v>0</v>
      </c>
      <c r="P1036" s="6" t="str">
        <f t="shared" si="183"/>
        <v>N</v>
      </c>
      <c r="Q1036" s="6">
        <f t="shared" si="184"/>
        <v>13</v>
      </c>
      <c r="R1036" s="6" t="str">
        <f t="shared" si="185"/>
        <v>2022</v>
      </c>
      <c r="S1036" s="6" t="str">
        <f t="shared" si="186"/>
        <v>Oct</v>
      </c>
    </row>
    <row r="1037" spans="1:19" x14ac:dyDescent="0.25">
      <c r="A1037" s="6">
        <v>285</v>
      </c>
      <c r="B1037" s="6" t="str">
        <f t="shared" si="178"/>
        <v>NIKMIS00285</v>
      </c>
      <c r="C1037" s="7" t="s">
        <v>423</v>
      </c>
      <c r="D1037" s="7" t="s">
        <v>424</v>
      </c>
      <c r="E1037" s="7" t="str">
        <f t="shared" si="179"/>
        <v>SIDDHESH VILAS</v>
      </c>
      <c r="F1037" s="7" t="s">
        <v>15</v>
      </c>
      <c r="G1037" s="22">
        <v>44866</v>
      </c>
      <c r="H1037" s="8">
        <v>62111</v>
      </c>
      <c r="I1037" s="7" t="str">
        <f t="shared" si="180"/>
        <v>siddhesh.vilas@mi.vis.ba</v>
      </c>
      <c r="J1037" s="6" t="s">
        <v>1537</v>
      </c>
      <c r="K1037" s="6">
        <v>84</v>
      </c>
      <c r="L1037" s="7" t="str">
        <f t="shared" si="181"/>
        <v>mi.vis.ba</v>
      </c>
      <c r="M1037" s="7" t="str">
        <f t="shared" si="182"/>
        <v>V.Siddhesh</v>
      </c>
      <c r="N1037" s="6">
        <f t="shared" si="177"/>
        <v>6</v>
      </c>
      <c r="O1037" s="6">
        <f t="shared" si="176"/>
        <v>0</v>
      </c>
      <c r="P1037" s="6" t="str">
        <f t="shared" si="183"/>
        <v>N</v>
      </c>
      <c r="Q1037" s="6">
        <f t="shared" si="184"/>
        <v>13</v>
      </c>
      <c r="R1037" s="6" t="str">
        <f t="shared" si="185"/>
        <v>2022</v>
      </c>
      <c r="S1037" s="6" t="str">
        <f t="shared" si="186"/>
        <v>Nov</v>
      </c>
    </row>
    <row r="1038" spans="1:19" x14ac:dyDescent="0.25">
      <c r="A1038" s="6">
        <v>287</v>
      </c>
      <c r="B1038" s="6" t="str">
        <f t="shared" si="178"/>
        <v>NIKMIS00287</v>
      </c>
      <c r="C1038" s="7" t="s">
        <v>427</v>
      </c>
      <c r="D1038" s="7" t="s">
        <v>428</v>
      </c>
      <c r="E1038" s="7" t="str">
        <f t="shared" si="179"/>
        <v>DEVILAL LOHAR</v>
      </c>
      <c r="F1038" s="7" t="s">
        <v>15</v>
      </c>
      <c r="G1038" s="22">
        <v>44908</v>
      </c>
      <c r="H1038" s="8">
        <v>46119</v>
      </c>
      <c r="I1038" s="7" t="str">
        <f t="shared" si="180"/>
        <v>devilal.lohar@mi.lor.ba</v>
      </c>
      <c r="J1038" s="6" t="s">
        <v>1535</v>
      </c>
      <c r="K1038" s="6">
        <v>41</v>
      </c>
      <c r="L1038" s="7" t="str">
        <f t="shared" si="181"/>
        <v>mi.lor.ba</v>
      </c>
      <c r="M1038" s="7" t="str">
        <f t="shared" si="182"/>
        <v>L.Devilal</v>
      </c>
      <c r="N1038" s="6">
        <f t="shared" si="177"/>
        <v>2</v>
      </c>
      <c r="O1038" s="6">
        <f t="shared" si="176"/>
        <v>0</v>
      </c>
      <c r="P1038" s="6" t="str">
        <f t="shared" si="183"/>
        <v>N</v>
      </c>
      <c r="Q1038" s="6">
        <f t="shared" si="184"/>
        <v>12</v>
      </c>
      <c r="R1038" s="6" t="str">
        <f t="shared" si="185"/>
        <v>2022</v>
      </c>
      <c r="S1038" s="6" t="str">
        <f t="shared" si="186"/>
        <v>Dec</v>
      </c>
    </row>
    <row r="1039" spans="1:19" x14ac:dyDescent="0.25">
      <c r="A1039" s="6">
        <v>290</v>
      </c>
      <c r="B1039" s="6" t="str">
        <f t="shared" si="178"/>
        <v>NIKMIS00290</v>
      </c>
      <c r="C1039" s="7" t="s">
        <v>432</v>
      </c>
      <c r="D1039" s="7" t="s">
        <v>433</v>
      </c>
      <c r="E1039" s="7" t="str">
        <f t="shared" si="179"/>
        <v>CHHAVI SAHAI</v>
      </c>
      <c r="F1039" s="7" t="s">
        <v>15</v>
      </c>
      <c r="G1039" s="22">
        <v>44928</v>
      </c>
      <c r="H1039" s="8">
        <v>34586</v>
      </c>
      <c r="I1039" s="7" t="str">
        <f t="shared" si="180"/>
        <v>chhavi.sahai@mi.sai.ba</v>
      </c>
      <c r="J1039" s="6" t="s">
        <v>1550</v>
      </c>
      <c r="K1039" s="6">
        <v>76</v>
      </c>
      <c r="L1039" s="7" t="str">
        <f t="shared" si="181"/>
        <v>mi.sai.ba</v>
      </c>
      <c r="M1039" s="7" t="str">
        <f t="shared" si="182"/>
        <v>S.Chhavi</v>
      </c>
      <c r="N1039" s="6">
        <f t="shared" si="177"/>
        <v>0</v>
      </c>
      <c r="O1039" s="6">
        <f t="shared" si="176"/>
        <v>0</v>
      </c>
      <c r="P1039" s="6" t="str">
        <f t="shared" si="183"/>
        <v>N</v>
      </c>
      <c r="Q1039" s="6">
        <f t="shared" si="184"/>
        <v>11</v>
      </c>
      <c r="R1039" s="6" t="str">
        <f t="shared" si="185"/>
        <v>2023</v>
      </c>
      <c r="S1039" s="6" t="str">
        <f t="shared" si="186"/>
        <v>Jan</v>
      </c>
    </row>
    <row r="1040" spans="1:19" x14ac:dyDescent="0.25">
      <c r="A1040" s="6">
        <v>303</v>
      </c>
      <c r="B1040" s="6" t="str">
        <f t="shared" si="178"/>
        <v>NIKMIS00303</v>
      </c>
      <c r="C1040" s="7" t="s">
        <v>451</v>
      </c>
      <c r="D1040" s="7" t="s">
        <v>452</v>
      </c>
      <c r="E1040" s="7" t="str">
        <f t="shared" si="179"/>
        <v>TRUPTI LATPATE</v>
      </c>
      <c r="F1040" s="7" t="s">
        <v>15</v>
      </c>
      <c r="G1040" s="22">
        <v>44958</v>
      </c>
      <c r="H1040" s="8">
        <v>90604</v>
      </c>
      <c r="I1040" s="7" t="str">
        <f t="shared" si="180"/>
        <v>trupti.latpate@mi.lae.ba</v>
      </c>
      <c r="J1040" s="6" t="s">
        <v>1532</v>
      </c>
      <c r="K1040" s="6">
        <v>46</v>
      </c>
      <c r="L1040" s="7" t="str">
        <f t="shared" si="181"/>
        <v>mi.lae.ba</v>
      </c>
      <c r="M1040" s="7" t="str">
        <f t="shared" si="182"/>
        <v>L.Trupti</v>
      </c>
      <c r="N1040" s="6">
        <f t="shared" si="177"/>
        <v>0</v>
      </c>
      <c r="O1040" s="6">
        <f t="shared" si="176"/>
        <v>7</v>
      </c>
      <c r="P1040" s="6" t="str">
        <f t="shared" si="183"/>
        <v>N</v>
      </c>
      <c r="Q1040" s="6">
        <f t="shared" si="184"/>
        <v>13</v>
      </c>
      <c r="R1040" s="6" t="str">
        <f t="shared" si="185"/>
        <v>2023</v>
      </c>
      <c r="S1040" s="6" t="str">
        <f t="shared" si="186"/>
        <v>Feb</v>
      </c>
    </row>
    <row r="1041" spans="1:19" x14ac:dyDescent="0.25">
      <c r="A1041" s="6">
        <v>310</v>
      </c>
      <c r="B1041" s="6" t="str">
        <f t="shared" si="178"/>
        <v>NIKMIS00310</v>
      </c>
      <c r="C1041" s="7" t="s">
        <v>460</v>
      </c>
      <c r="D1041" s="7" t="s">
        <v>461</v>
      </c>
      <c r="E1041" s="7" t="str">
        <f t="shared" si="179"/>
        <v>KALYANI OMKAR</v>
      </c>
      <c r="F1041" s="7" t="s">
        <v>15</v>
      </c>
      <c r="G1041" s="22">
        <v>45019</v>
      </c>
      <c r="H1041" s="8">
        <v>81497</v>
      </c>
      <c r="I1041" s="7" t="str">
        <f t="shared" si="180"/>
        <v>kalyani.omkar@mi.omr.ba</v>
      </c>
      <c r="J1041" s="6" t="s">
        <v>1551</v>
      </c>
      <c r="K1041" s="6">
        <v>65</v>
      </c>
      <c r="L1041" s="7" t="str">
        <f t="shared" si="181"/>
        <v>mi.omr.ba</v>
      </c>
      <c r="M1041" s="7" t="str">
        <f t="shared" si="182"/>
        <v>O.Kalyani</v>
      </c>
      <c r="N1041" s="6">
        <f t="shared" si="177"/>
        <v>0</v>
      </c>
      <c r="O1041" s="6">
        <f t="shared" si="176"/>
        <v>0</v>
      </c>
      <c r="P1041" s="6" t="str">
        <f t="shared" si="183"/>
        <v>N</v>
      </c>
      <c r="Q1041" s="6">
        <f t="shared" si="184"/>
        <v>12</v>
      </c>
      <c r="R1041" s="6" t="str">
        <f t="shared" si="185"/>
        <v>2023</v>
      </c>
      <c r="S1041" s="6" t="str">
        <f t="shared" si="186"/>
        <v>Apr</v>
      </c>
    </row>
    <row r="1042" spans="1:19" x14ac:dyDescent="0.25">
      <c r="A1042" s="6">
        <v>322</v>
      </c>
      <c r="B1042" s="6" t="str">
        <f t="shared" si="178"/>
        <v>NIKMIS00322</v>
      </c>
      <c r="C1042" s="7" t="s">
        <v>477</v>
      </c>
      <c r="D1042" s="7" t="s">
        <v>478</v>
      </c>
      <c r="E1042" s="7" t="str">
        <f t="shared" si="179"/>
        <v>ANISH MATHEW</v>
      </c>
      <c r="F1042" s="7" t="s">
        <v>15</v>
      </c>
      <c r="G1042" s="22">
        <v>45065</v>
      </c>
      <c r="H1042" s="8">
        <v>56985</v>
      </c>
      <c r="I1042" s="7" t="str">
        <f t="shared" si="180"/>
        <v>anish.mathew@mi.maw.ba</v>
      </c>
      <c r="J1042" s="6" t="s">
        <v>1533</v>
      </c>
      <c r="K1042" s="6">
        <v>50</v>
      </c>
      <c r="L1042" s="7" t="str">
        <f t="shared" si="181"/>
        <v>mi.maw.ba</v>
      </c>
      <c r="M1042" s="7" t="str">
        <f t="shared" si="182"/>
        <v>M.Anish</v>
      </c>
      <c r="N1042" s="6">
        <f t="shared" si="177"/>
        <v>0</v>
      </c>
      <c r="O1042" s="6">
        <f t="shared" si="176"/>
        <v>5</v>
      </c>
      <c r="P1042" s="6" t="str">
        <f t="shared" si="183"/>
        <v>N</v>
      </c>
      <c r="Q1042" s="6">
        <f t="shared" si="184"/>
        <v>11</v>
      </c>
      <c r="R1042" s="6" t="str">
        <f t="shared" si="185"/>
        <v>2023</v>
      </c>
      <c r="S1042" s="6" t="str">
        <f t="shared" si="186"/>
        <v>May</v>
      </c>
    </row>
    <row r="1043" spans="1:19" x14ac:dyDescent="0.25">
      <c r="A1043" s="6">
        <v>325</v>
      </c>
      <c r="B1043" s="6" t="str">
        <f t="shared" si="178"/>
        <v>NIKMIS00325</v>
      </c>
      <c r="C1043" s="7" t="s">
        <v>481</v>
      </c>
      <c r="D1043" s="7" t="s">
        <v>482</v>
      </c>
      <c r="E1043" s="7" t="str">
        <f t="shared" si="179"/>
        <v>VISHWESH KAVERSHE</v>
      </c>
      <c r="F1043" s="7" t="s">
        <v>15</v>
      </c>
      <c r="G1043" s="22">
        <v>45084</v>
      </c>
      <c r="H1043" s="8">
        <v>85022</v>
      </c>
      <c r="I1043" s="7" t="str">
        <f t="shared" si="180"/>
        <v>vishwesh.kavershe@mi.kae.ba</v>
      </c>
      <c r="J1043" s="6" t="s">
        <v>1537</v>
      </c>
      <c r="K1043" s="6">
        <v>82</v>
      </c>
      <c r="L1043" s="7" t="str">
        <f t="shared" si="181"/>
        <v>mi.kae.ba</v>
      </c>
      <c r="M1043" s="7" t="str">
        <f t="shared" si="182"/>
        <v>K.Vishwesh</v>
      </c>
      <c r="N1043" s="6">
        <f t="shared" si="177"/>
        <v>6</v>
      </c>
      <c r="O1043" s="6">
        <f t="shared" si="176"/>
        <v>4</v>
      </c>
      <c r="P1043" s="6" t="str">
        <f t="shared" si="183"/>
        <v>Y</v>
      </c>
      <c r="Q1043" s="6">
        <f t="shared" si="184"/>
        <v>16</v>
      </c>
      <c r="R1043" s="6" t="str">
        <f t="shared" si="185"/>
        <v>2023</v>
      </c>
      <c r="S1043" s="6" t="str">
        <f t="shared" si="186"/>
        <v>Jun</v>
      </c>
    </row>
    <row r="1044" spans="1:19" x14ac:dyDescent="0.25">
      <c r="A1044" s="6">
        <v>332</v>
      </c>
      <c r="B1044" s="6" t="str">
        <f t="shared" si="178"/>
        <v>NIKMIS00332</v>
      </c>
      <c r="C1044" s="7" t="s">
        <v>491</v>
      </c>
      <c r="D1044" s="7" t="s">
        <v>492</v>
      </c>
      <c r="E1044" s="7" t="str">
        <f t="shared" si="179"/>
        <v>HIRVA SANJIV</v>
      </c>
      <c r="F1044" s="7" t="s">
        <v>15</v>
      </c>
      <c r="G1044" s="22">
        <v>45108</v>
      </c>
      <c r="H1044" s="8">
        <v>108975</v>
      </c>
      <c r="I1044" s="7" t="str">
        <f t="shared" si="180"/>
        <v>hirva.sanjiv@mi.sav.ba</v>
      </c>
      <c r="J1044" s="6" t="s">
        <v>1532</v>
      </c>
      <c r="K1044" s="6">
        <v>89</v>
      </c>
      <c r="L1044" s="7" t="str">
        <f t="shared" si="181"/>
        <v>mi.sav.ba</v>
      </c>
      <c r="M1044" s="7" t="str">
        <f t="shared" si="182"/>
        <v>S.Hirva</v>
      </c>
      <c r="N1044" s="6">
        <f t="shared" si="177"/>
        <v>0</v>
      </c>
      <c r="O1044" s="6">
        <f t="shared" si="176"/>
        <v>0</v>
      </c>
      <c r="P1044" s="6" t="str">
        <f t="shared" si="183"/>
        <v>N</v>
      </c>
      <c r="Q1044" s="6">
        <f t="shared" si="184"/>
        <v>11</v>
      </c>
      <c r="R1044" s="6" t="str">
        <f t="shared" si="185"/>
        <v>2023</v>
      </c>
      <c r="S1044" s="6" t="str">
        <f t="shared" si="186"/>
        <v>Jul</v>
      </c>
    </row>
    <row r="1045" spans="1:19" x14ac:dyDescent="0.25">
      <c r="A1045" s="6">
        <v>333</v>
      </c>
      <c r="B1045" s="6" t="str">
        <f t="shared" si="178"/>
        <v>NIKMIS00333</v>
      </c>
      <c r="C1045" s="7" t="s">
        <v>493</v>
      </c>
      <c r="D1045" s="7" t="s">
        <v>107</v>
      </c>
      <c r="E1045" s="7" t="str">
        <f t="shared" si="179"/>
        <v>BHANU PRATAP</v>
      </c>
      <c r="F1045" s="7" t="s">
        <v>15</v>
      </c>
      <c r="G1045" s="22">
        <v>45110</v>
      </c>
      <c r="H1045" s="8">
        <v>62063</v>
      </c>
      <c r="I1045" s="7" t="str">
        <f t="shared" si="180"/>
        <v>bhanu.pratap@mi.prp.ba</v>
      </c>
      <c r="J1045" s="6" t="s">
        <v>1535</v>
      </c>
      <c r="K1045" s="6">
        <v>76</v>
      </c>
      <c r="L1045" s="7" t="str">
        <f t="shared" si="181"/>
        <v>mi.prp.ba</v>
      </c>
      <c r="M1045" s="7" t="str">
        <f t="shared" si="182"/>
        <v>P.Bhanu</v>
      </c>
      <c r="N1045" s="6">
        <f t="shared" si="177"/>
        <v>0</v>
      </c>
      <c r="O1045" s="6">
        <f t="shared" si="176"/>
        <v>0</v>
      </c>
      <c r="P1045" s="6" t="str">
        <f t="shared" si="183"/>
        <v>N</v>
      </c>
      <c r="Q1045" s="6">
        <f t="shared" si="184"/>
        <v>11</v>
      </c>
      <c r="R1045" s="6" t="str">
        <f t="shared" si="185"/>
        <v>2023</v>
      </c>
      <c r="S1045" s="6" t="str">
        <f t="shared" si="186"/>
        <v>Jul</v>
      </c>
    </row>
    <row r="1046" spans="1:19" x14ac:dyDescent="0.25">
      <c r="A1046" s="6">
        <v>341</v>
      </c>
      <c r="B1046" s="6" t="str">
        <f t="shared" si="178"/>
        <v>NIKMIS00341</v>
      </c>
      <c r="C1046" s="7" t="s">
        <v>141</v>
      </c>
      <c r="D1046" s="7" t="s">
        <v>503</v>
      </c>
      <c r="E1046" s="7" t="str">
        <f t="shared" si="179"/>
        <v>SAURABH LALBAHADUR</v>
      </c>
      <c r="F1046" s="7" t="s">
        <v>15</v>
      </c>
      <c r="G1046" s="22">
        <v>45122</v>
      </c>
      <c r="H1046" s="8">
        <v>53818</v>
      </c>
      <c r="I1046" s="7" t="str">
        <f t="shared" si="180"/>
        <v>saurabh.lalbahadur@mi.lar.ba</v>
      </c>
      <c r="J1046" s="6" t="s">
        <v>1544</v>
      </c>
      <c r="K1046" s="6">
        <v>64</v>
      </c>
      <c r="L1046" s="7" t="str">
        <f t="shared" si="181"/>
        <v>mi.lar.ba</v>
      </c>
      <c r="M1046" s="7" t="str">
        <f t="shared" si="182"/>
        <v>L.Saurabh</v>
      </c>
      <c r="N1046" s="6">
        <f t="shared" si="177"/>
        <v>0</v>
      </c>
      <c r="O1046" s="6">
        <f t="shared" si="176"/>
        <v>0</v>
      </c>
      <c r="P1046" s="6" t="str">
        <f t="shared" si="183"/>
        <v>N</v>
      </c>
      <c r="Q1046" s="6">
        <f t="shared" si="184"/>
        <v>17</v>
      </c>
      <c r="R1046" s="6" t="str">
        <f t="shared" si="185"/>
        <v>2023</v>
      </c>
      <c r="S1046" s="6" t="str">
        <f t="shared" si="186"/>
        <v>Jul</v>
      </c>
    </row>
    <row r="1047" spans="1:19" x14ac:dyDescent="0.25">
      <c r="A1047" s="6">
        <v>342</v>
      </c>
      <c r="B1047" s="6" t="str">
        <f t="shared" si="178"/>
        <v>NIKMIS00342</v>
      </c>
      <c r="C1047" s="7" t="s">
        <v>504</v>
      </c>
      <c r="D1047" s="7" t="s">
        <v>84</v>
      </c>
      <c r="E1047" s="7" t="str">
        <f t="shared" si="179"/>
        <v>HEENA PRAKASH</v>
      </c>
      <c r="F1047" s="7" t="s">
        <v>15</v>
      </c>
      <c r="G1047" s="22">
        <v>45126</v>
      </c>
      <c r="H1047" s="8">
        <v>65828</v>
      </c>
      <c r="I1047" s="7" t="str">
        <f t="shared" si="180"/>
        <v>heena.prakash@mi.prh.ba</v>
      </c>
      <c r="J1047" s="6" t="s">
        <v>1547</v>
      </c>
      <c r="K1047" s="6">
        <v>81</v>
      </c>
      <c r="L1047" s="7" t="str">
        <f t="shared" si="181"/>
        <v>mi.prh.ba</v>
      </c>
      <c r="M1047" s="7" t="str">
        <f t="shared" si="182"/>
        <v>P.Heena</v>
      </c>
      <c r="N1047" s="6">
        <f t="shared" si="177"/>
        <v>2</v>
      </c>
      <c r="O1047" s="6">
        <f t="shared" si="176"/>
        <v>0</v>
      </c>
      <c r="P1047" s="6" t="str">
        <f t="shared" si="183"/>
        <v>N</v>
      </c>
      <c r="Q1047" s="6">
        <f t="shared" si="184"/>
        <v>12</v>
      </c>
      <c r="R1047" s="6" t="str">
        <f t="shared" si="185"/>
        <v>2023</v>
      </c>
      <c r="S1047" s="6" t="str">
        <f t="shared" si="186"/>
        <v>Jul</v>
      </c>
    </row>
    <row r="1048" spans="1:19" x14ac:dyDescent="0.25">
      <c r="A1048" s="6">
        <v>344</v>
      </c>
      <c r="B1048" s="6" t="str">
        <f t="shared" si="178"/>
        <v>NIKMIS00344</v>
      </c>
      <c r="C1048" s="7" t="s">
        <v>23</v>
      </c>
      <c r="D1048" s="7" t="s">
        <v>507</v>
      </c>
      <c r="E1048" s="7" t="str">
        <f t="shared" si="179"/>
        <v>ROHIT PADIA</v>
      </c>
      <c r="F1048" s="7" t="s">
        <v>15</v>
      </c>
      <c r="G1048" s="22">
        <v>45139</v>
      </c>
      <c r="H1048" s="8">
        <v>81144</v>
      </c>
      <c r="I1048" s="7" t="str">
        <f t="shared" si="180"/>
        <v>rohit.padia@mi.paa.ba</v>
      </c>
      <c r="J1048" s="6" t="s">
        <v>1540</v>
      </c>
      <c r="K1048" s="6">
        <v>77</v>
      </c>
      <c r="L1048" s="7" t="str">
        <f t="shared" si="181"/>
        <v>mi.paa.ba</v>
      </c>
      <c r="M1048" s="7" t="str">
        <f t="shared" si="182"/>
        <v>P.Rohit</v>
      </c>
      <c r="N1048" s="6">
        <f t="shared" si="177"/>
        <v>0</v>
      </c>
      <c r="O1048" s="6">
        <f t="shared" si="176"/>
        <v>0</v>
      </c>
      <c r="P1048" s="6" t="str">
        <f t="shared" si="183"/>
        <v>N</v>
      </c>
      <c r="Q1048" s="6">
        <f t="shared" si="184"/>
        <v>10</v>
      </c>
      <c r="R1048" s="6" t="str">
        <f t="shared" si="185"/>
        <v>2023</v>
      </c>
      <c r="S1048" s="6" t="str">
        <f t="shared" si="186"/>
        <v>Aug</v>
      </c>
    </row>
    <row r="1049" spans="1:19" x14ac:dyDescent="0.25">
      <c r="A1049" s="6">
        <v>350</v>
      </c>
      <c r="B1049" s="6" t="str">
        <f t="shared" si="178"/>
        <v>NIKMIS00350</v>
      </c>
      <c r="C1049" s="7" t="s">
        <v>513</v>
      </c>
      <c r="D1049" s="7" t="s">
        <v>514</v>
      </c>
      <c r="E1049" s="7" t="str">
        <f t="shared" si="179"/>
        <v>MEDHAVIK DAVE</v>
      </c>
      <c r="F1049" s="7" t="s">
        <v>15</v>
      </c>
      <c r="G1049" s="22">
        <v>45154</v>
      </c>
      <c r="H1049" s="8">
        <v>79085</v>
      </c>
      <c r="I1049" s="7" t="str">
        <f t="shared" si="180"/>
        <v>medhavik.dave@mi.dae.ba</v>
      </c>
      <c r="J1049" s="6" t="s">
        <v>1547</v>
      </c>
      <c r="K1049" s="6">
        <v>70</v>
      </c>
      <c r="L1049" s="7" t="str">
        <f t="shared" si="181"/>
        <v>mi.dae.ba</v>
      </c>
      <c r="M1049" s="7" t="str">
        <f t="shared" si="182"/>
        <v>D.Medhavik</v>
      </c>
      <c r="N1049" s="6">
        <f t="shared" si="177"/>
        <v>2</v>
      </c>
      <c r="O1049" s="6">
        <f t="shared" si="176"/>
        <v>4</v>
      </c>
      <c r="P1049" s="6" t="str">
        <f t="shared" si="183"/>
        <v>Y</v>
      </c>
      <c r="Q1049" s="6">
        <f t="shared" si="184"/>
        <v>12</v>
      </c>
      <c r="R1049" s="6" t="str">
        <f t="shared" si="185"/>
        <v>2023</v>
      </c>
      <c r="S1049" s="6" t="str">
        <f t="shared" si="186"/>
        <v>Aug</v>
      </c>
    </row>
    <row r="1050" spans="1:19" x14ac:dyDescent="0.25">
      <c r="A1050" s="6">
        <v>364</v>
      </c>
      <c r="B1050" s="6" t="str">
        <f t="shared" si="178"/>
        <v>NIKMIS00364</v>
      </c>
      <c r="C1050" s="7" t="s">
        <v>529</v>
      </c>
      <c r="D1050" s="7" t="s">
        <v>530</v>
      </c>
      <c r="E1050" s="7" t="str">
        <f t="shared" si="179"/>
        <v>RIYA KHURANA</v>
      </c>
      <c r="F1050" s="7" t="s">
        <v>15</v>
      </c>
      <c r="G1050" s="22">
        <v>45278</v>
      </c>
      <c r="H1050" s="8">
        <v>87772</v>
      </c>
      <c r="I1050" s="7" t="str">
        <f t="shared" si="180"/>
        <v>riya.khurana@mi.kha.ba</v>
      </c>
      <c r="J1050" s="6" t="s">
        <v>1549</v>
      </c>
      <c r="K1050" s="6">
        <v>88</v>
      </c>
      <c r="L1050" s="7" t="str">
        <f t="shared" si="181"/>
        <v>mi.kha.ba</v>
      </c>
      <c r="M1050" s="7" t="str">
        <f t="shared" si="182"/>
        <v>K.Riya</v>
      </c>
      <c r="N1050" s="6">
        <f t="shared" si="177"/>
        <v>0</v>
      </c>
      <c r="O1050" s="6">
        <f t="shared" si="176"/>
        <v>0</v>
      </c>
      <c r="P1050" s="6" t="str">
        <f t="shared" si="183"/>
        <v>N</v>
      </c>
      <c r="Q1050" s="6">
        <f t="shared" si="184"/>
        <v>11</v>
      </c>
      <c r="R1050" s="6" t="str">
        <f t="shared" si="185"/>
        <v>2023</v>
      </c>
      <c r="S1050" s="6" t="str">
        <f t="shared" si="186"/>
        <v>Dec</v>
      </c>
    </row>
    <row r="1051" spans="1:19" x14ac:dyDescent="0.25">
      <c r="A1051" s="6">
        <v>368</v>
      </c>
      <c r="B1051" s="6" t="str">
        <f t="shared" si="178"/>
        <v>NIKMIS00368</v>
      </c>
      <c r="C1051" s="7" t="s">
        <v>392</v>
      </c>
      <c r="D1051" s="7" t="s">
        <v>536</v>
      </c>
      <c r="E1051" s="7" t="str">
        <f t="shared" si="179"/>
        <v>AKSHAY RAJESHKUMAR</v>
      </c>
      <c r="F1051" s="7" t="s">
        <v>15</v>
      </c>
      <c r="G1051" s="22">
        <v>45293</v>
      </c>
      <c r="H1051" s="8">
        <v>54812</v>
      </c>
      <c r="I1051" s="7" t="str">
        <f t="shared" si="180"/>
        <v>akshay.rajeshkumar@mi.rar.ba</v>
      </c>
      <c r="J1051" s="6" t="s">
        <v>1538</v>
      </c>
      <c r="K1051" s="6">
        <v>53</v>
      </c>
      <c r="L1051" s="7" t="str">
        <f t="shared" si="181"/>
        <v>mi.rar.ba</v>
      </c>
      <c r="M1051" s="7" t="str">
        <f t="shared" si="182"/>
        <v>R.Akshay</v>
      </c>
      <c r="N1051" s="6">
        <f t="shared" si="177"/>
        <v>0</v>
      </c>
      <c r="O1051" s="6">
        <f t="shared" si="176"/>
        <v>4</v>
      </c>
      <c r="P1051" s="6" t="str">
        <f t="shared" si="183"/>
        <v>N</v>
      </c>
      <c r="Q1051" s="6">
        <f t="shared" si="184"/>
        <v>17</v>
      </c>
      <c r="R1051" s="6" t="str">
        <f t="shared" si="185"/>
        <v>2024</v>
      </c>
      <c r="S1051" s="6" t="str">
        <f t="shared" si="186"/>
        <v>Jan</v>
      </c>
    </row>
    <row r="1052" spans="1:19" x14ac:dyDescent="0.25">
      <c r="A1052" s="6">
        <v>387</v>
      </c>
      <c r="B1052" s="6" t="str">
        <f t="shared" si="178"/>
        <v>NIKMIS00387</v>
      </c>
      <c r="C1052" s="7" t="s">
        <v>558</v>
      </c>
      <c r="D1052" s="7" t="s">
        <v>559</v>
      </c>
      <c r="E1052" s="7" t="str">
        <f t="shared" si="179"/>
        <v>PRIYA SHINDE</v>
      </c>
      <c r="F1052" s="7" t="s">
        <v>15</v>
      </c>
      <c r="G1052" s="22">
        <v>45383</v>
      </c>
      <c r="H1052" s="8">
        <v>95191</v>
      </c>
      <c r="I1052" s="7" t="str">
        <f t="shared" si="180"/>
        <v>priya.shinde@mi.she.ba</v>
      </c>
      <c r="J1052" s="6" t="s">
        <v>1535</v>
      </c>
      <c r="K1052" s="6">
        <v>46</v>
      </c>
      <c r="L1052" s="7" t="str">
        <f t="shared" si="181"/>
        <v>mi.she.ba</v>
      </c>
      <c r="M1052" s="7" t="str">
        <f t="shared" si="182"/>
        <v>S.Priya</v>
      </c>
      <c r="N1052" s="6">
        <f t="shared" si="177"/>
        <v>0</v>
      </c>
      <c r="O1052" s="6">
        <f t="shared" si="176"/>
        <v>6</v>
      </c>
      <c r="P1052" s="6" t="str">
        <f t="shared" si="183"/>
        <v>N</v>
      </c>
      <c r="Q1052" s="6">
        <f t="shared" si="184"/>
        <v>11</v>
      </c>
      <c r="R1052" s="6" t="str">
        <f t="shared" si="185"/>
        <v>2024</v>
      </c>
      <c r="S1052" s="6" t="str">
        <f t="shared" si="186"/>
        <v>Apr</v>
      </c>
    </row>
    <row r="1053" spans="1:19" x14ac:dyDescent="0.25">
      <c r="A1053" s="6">
        <v>389</v>
      </c>
      <c r="B1053" s="6" t="str">
        <f t="shared" si="178"/>
        <v>NIKMIS00389</v>
      </c>
      <c r="C1053" s="7" t="s">
        <v>24</v>
      </c>
      <c r="D1053" s="7" t="s">
        <v>561</v>
      </c>
      <c r="E1053" s="7" t="str">
        <f t="shared" si="179"/>
        <v>RAVI GURJAR</v>
      </c>
      <c r="F1053" s="7" t="s">
        <v>15</v>
      </c>
      <c r="G1053" s="22">
        <v>45384</v>
      </c>
      <c r="H1053" s="8">
        <v>55055</v>
      </c>
      <c r="I1053" s="7" t="str">
        <f t="shared" si="180"/>
        <v>ravi.gurjar@mi.gur.ba</v>
      </c>
      <c r="J1053" s="6" t="s">
        <v>1549</v>
      </c>
      <c r="K1053" s="6">
        <v>40</v>
      </c>
      <c r="L1053" s="7" t="str">
        <f t="shared" si="181"/>
        <v>mi.gur.ba</v>
      </c>
      <c r="M1053" s="7" t="str">
        <f t="shared" si="182"/>
        <v>G.Ravi</v>
      </c>
      <c r="N1053" s="6">
        <f t="shared" si="177"/>
        <v>0</v>
      </c>
      <c r="O1053" s="6">
        <f t="shared" si="176"/>
        <v>0</v>
      </c>
      <c r="P1053" s="6" t="str">
        <f t="shared" si="183"/>
        <v>N</v>
      </c>
      <c r="Q1053" s="6">
        <f t="shared" si="184"/>
        <v>10</v>
      </c>
      <c r="R1053" s="6" t="str">
        <f t="shared" si="185"/>
        <v>2024</v>
      </c>
      <c r="S1053" s="6" t="str">
        <f t="shared" si="186"/>
        <v>Apr</v>
      </c>
    </row>
    <row r="1054" spans="1:19" x14ac:dyDescent="0.25">
      <c r="A1054" s="6">
        <v>394</v>
      </c>
      <c r="B1054" s="6" t="str">
        <f t="shared" si="178"/>
        <v>NIKMIS00394</v>
      </c>
      <c r="C1054" s="7" t="s">
        <v>564</v>
      </c>
      <c r="D1054" s="7" t="s">
        <v>565</v>
      </c>
      <c r="E1054" s="7" t="str">
        <f t="shared" si="179"/>
        <v>AJAYSINH KISHORSINH</v>
      </c>
      <c r="F1054" s="7" t="s">
        <v>15</v>
      </c>
      <c r="G1054" s="22">
        <v>45397</v>
      </c>
      <c r="H1054" s="8">
        <v>107500</v>
      </c>
      <c r="I1054" s="7" t="str">
        <f t="shared" si="180"/>
        <v>ajaysinh.kishorsinh@mi.kih.ba</v>
      </c>
      <c r="J1054" s="6" t="s">
        <v>1551</v>
      </c>
      <c r="K1054" s="6">
        <v>56</v>
      </c>
      <c r="L1054" s="7" t="str">
        <f t="shared" si="181"/>
        <v>mi.kih.ba</v>
      </c>
      <c r="M1054" s="7" t="str">
        <f t="shared" si="182"/>
        <v>K.Ajaysinh</v>
      </c>
      <c r="N1054" s="6">
        <f t="shared" si="177"/>
        <v>0</v>
      </c>
      <c r="O1054" s="6">
        <f t="shared" si="176"/>
        <v>0</v>
      </c>
      <c r="P1054" s="6" t="str">
        <f t="shared" si="183"/>
        <v>N</v>
      </c>
      <c r="Q1054" s="6">
        <f t="shared" si="184"/>
        <v>18</v>
      </c>
      <c r="R1054" s="6" t="str">
        <f t="shared" si="185"/>
        <v>2024</v>
      </c>
      <c r="S1054" s="6" t="str">
        <f t="shared" si="186"/>
        <v>Apr</v>
      </c>
    </row>
    <row r="1055" spans="1:19" x14ac:dyDescent="0.25">
      <c r="A1055" s="6">
        <v>400</v>
      </c>
      <c r="B1055" s="6" t="str">
        <f t="shared" si="178"/>
        <v>NIKMIS00400</v>
      </c>
      <c r="C1055" s="7" t="s">
        <v>573</v>
      </c>
      <c r="D1055" s="7" t="s">
        <v>574</v>
      </c>
      <c r="E1055" s="7" t="str">
        <f t="shared" si="179"/>
        <v>MOUSUMI DIYASI</v>
      </c>
      <c r="F1055" s="7" t="s">
        <v>15</v>
      </c>
      <c r="G1055" s="22">
        <v>45418</v>
      </c>
      <c r="H1055" s="8">
        <v>26927</v>
      </c>
      <c r="I1055" s="7" t="str">
        <f t="shared" si="180"/>
        <v>mousumi.diyasi@mi.dii.ba</v>
      </c>
      <c r="J1055" s="6" t="s">
        <v>1538</v>
      </c>
      <c r="K1055" s="6">
        <v>41</v>
      </c>
      <c r="L1055" s="7" t="str">
        <f t="shared" si="181"/>
        <v>mi.dii.ba</v>
      </c>
      <c r="M1055" s="7" t="str">
        <f t="shared" si="182"/>
        <v>D.Mousumi</v>
      </c>
      <c r="N1055" s="6">
        <f t="shared" si="177"/>
        <v>0</v>
      </c>
      <c r="O1055" s="6">
        <f t="shared" si="176"/>
        <v>0</v>
      </c>
      <c r="P1055" s="6" t="str">
        <f t="shared" si="183"/>
        <v>N</v>
      </c>
      <c r="Q1055" s="6">
        <f t="shared" si="184"/>
        <v>13</v>
      </c>
      <c r="R1055" s="6" t="str">
        <f t="shared" si="185"/>
        <v>2024</v>
      </c>
      <c r="S1055" s="6" t="str">
        <f t="shared" si="186"/>
        <v>May</v>
      </c>
    </row>
    <row r="1056" spans="1:19" x14ac:dyDescent="0.25">
      <c r="A1056" s="6">
        <v>411</v>
      </c>
      <c r="B1056" s="6" t="str">
        <f t="shared" si="178"/>
        <v>NIKMIS00411</v>
      </c>
      <c r="C1056" s="7" t="s">
        <v>320</v>
      </c>
      <c r="D1056" s="7" t="s">
        <v>588</v>
      </c>
      <c r="E1056" s="7" t="str">
        <f t="shared" si="179"/>
        <v>VISHAL CHORDIA</v>
      </c>
      <c r="F1056" s="7" t="s">
        <v>15</v>
      </c>
      <c r="G1056" s="22">
        <v>45461</v>
      </c>
      <c r="H1056" s="8">
        <v>107949</v>
      </c>
      <c r="I1056" s="7" t="str">
        <f t="shared" si="180"/>
        <v>vishal.chordia@mi.cha.ba</v>
      </c>
      <c r="J1056" s="6" t="s">
        <v>1542</v>
      </c>
      <c r="K1056" s="6">
        <v>76</v>
      </c>
      <c r="L1056" s="7" t="str">
        <f t="shared" si="181"/>
        <v>mi.cha.ba</v>
      </c>
      <c r="M1056" s="7" t="str">
        <f t="shared" si="182"/>
        <v>C.Vishal</v>
      </c>
      <c r="N1056" s="6">
        <f t="shared" si="177"/>
        <v>0</v>
      </c>
      <c r="O1056" s="6">
        <f t="shared" si="176"/>
        <v>0</v>
      </c>
      <c r="P1056" s="6" t="str">
        <f t="shared" si="183"/>
        <v>N</v>
      </c>
      <c r="Q1056" s="6">
        <f t="shared" si="184"/>
        <v>13</v>
      </c>
      <c r="R1056" s="6" t="str">
        <f t="shared" si="185"/>
        <v>2024</v>
      </c>
      <c r="S1056" s="6" t="str">
        <f t="shared" si="186"/>
        <v>Jun</v>
      </c>
    </row>
    <row r="1057" spans="1:19" x14ac:dyDescent="0.25">
      <c r="A1057" s="6">
        <v>422</v>
      </c>
      <c r="B1057" s="6" t="str">
        <f t="shared" si="178"/>
        <v>NIKMIS00422</v>
      </c>
      <c r="C1057" s="7" t="s">
        <v>599</v>
      </c>
      <c r="D1057" s="7" t="s">
        <v>600</v>
      </c>
      <c r="E1057" s="7" t="str">
        <f t="shared" si="179"/>
        <v>KUNAL MUDGAL</v>
      </c>
      <c r="F1057" s="7" t="s">
        <v>15</v>
      </c>
      <c r="G1057" s="22">
        <v>45488</v>
      </c>
      <c r="H1057" s="8">
        <v>107103</v>
      </c>
      <c r="I1057" s="7" t="str">
        <f t="shared" si="180"/>
        <v>kunal.mudgal@mi.mul.ba</v>
      </c>
      <c r="J1057" s="6" t="s">
        <v>1540</v>
      </c>
      <c r="K1057" s="6">
        <v>82</v>
      </c>
      <c r="L1057" s="7" t="str">
        <f t="shared" si="181"/>
        <v>mi.mul.ba</v>
      </c>
      <c r="M1057" s="7" t="str">
        <f t="shared" si="182"/>
        <v>M.Kunal</v>
      </c>
      <c r="N1057" s="6">
        <f t="shared" si="177"/>
        <v>0</v>
      </c>
      <c r="O1057" s="6">
        <f t="shared" si="176"/>
        <v>0</v>
      </c>
      <c r="P1057" s="6" t="str">
        <f t="shared" si="183"/>
        <v>N</v>
      </c>
      <c r="Q1057" s="6">
        <f t="shared" si="184"/>
        <v>11</v>
      </c>
      <c r="R1057" s="6" t="str">
        <f t="shared" si="185"/>
        <v>2024</v>
      </c>
      <c r="S1057" s="6" t="str">
        <f t="shared" si="186"/>
        <v>Jul</v>
      </c>
    </row>
    <row r="1058" spans="1:19" x14ac:dyDescent="0.25">
      <c r="A1058" s="6">
        <v>434</v>
      </c>
      <c r="B1058" s="6" t="str">
        <f t="shared" si="178"/>
        <v>NIKMIS00434</v>
      </c>
      <c r="C1058" s="7" t="s">
        <v>611</v>
      </c>
      <c r="D1058" s="7" t="s">
        <v>142</v>
      </c>
      <c r="E1058" s="7" t="str">
        <f t="shared" si="179"/>
        <v>PRITHVI RAJ</v>
      </c>
      <c r="F1058" s="7" t="s">
        <v>15</v>
      </c>
      <c r="G1058" s="22">
        <v>45520</v>
      </c>
      <c r="H1058" s="8">
        <v>68423</v>
      </c>
      <c r="I1058" s="7" t="str">
        <f t="shared" si="180"/>
        <v>prithvi.raj@mi.raj.ba</v>
      </c>
      <c r="J1058" s="6" t="s">
        <v>1551</v>
      </c>
      <c r="K1058" s="6">
        <v>90</v>
      </c>
      <c r="L1058" s="7" t="str">
        <f t="shared" si="181"/>
        <v>mi.raj.ba</v>
      </c>
      <c r="M1058" s="7" t="str">
        <f t="shared" si="182"/>
        <v>R.Prithvi</v>
      </c>
      <c r="N1058" s="6">
        <f t="shared" si="177"/>
        <v>0</v>
      </c>
      <c r="O1058" s="6">
        <f t="shared" si="176"/>
        <v>0</v>
      </c>
      <c r="P1058" s="6" t="str">
        <f t="shared" si="183"/>
        <v>N</v>
      </c>
      <c r="Q1058" s="6">
        <f t="shared" si="184"/>
        <v>10</v>
      </c>
      <c r="R1058" s="6" t="str">
        <f t="shared" si="185"/>
        <v>2024</v>
      </c>
      <c r="S1058" s="6" t="str">
        <f t="shared" si="186"/>
        <v>Aug</v>
      </c>
    </row>
    <row r="1059" spans="1:19" x14ac:dyDescent="0.25">
      <c r="A1059" s="6">
        <v>437</v>
      </c>
      <c r="B1059" s="6" t="str">
        <f t="shared" si="178"/>
        <v>NIKMIS00437</v>
      </c>
      <c r="C1059" s="7" t="s">
        <v>614</v>
      </c>
      <c r="D1059" s="7" t="s">
        <v>615</v>
      </c>
      <c r="E1059" s="7" t="str">
        <f t="shared" si="179"/>
        <v>VAIDEHI DEVANG</v>
      </c>
      <c r="F1059" s="7" t="s">
        <v>15</v>
      </c>
      <c r="G1059" s="22">
        <v>45537</v>
      </c>
      <c r="H1059" s="8">
        <v>106259</v>
      </c>
      <c r="I1059" s="7" t="str">
        <f t="shared" si="180"/>
        <v>vaidehi.devang@mi.deg.ba</v>
      </c>
      <c r="J1059" s="6" t="s">
        <v>1550</v>
      </c>
      <c r="K1059" s="6">
        <v>79</v>
      </c>
      <c r="L1059" s="7" t="str">
        <f t="shared" si="181"/>
        <v>mi.deg.ba</v>
      </c>
      <c r="M1059" s="7" t="str">
        <f t="shared" si="182"/>
        <v>D.Vaidehi</v>
      </c>
      <c r="N1059" s="6">
        <f t="shared" si="177"/>
        <v>5</v>
      </c>
      <c r="O1059" s="6">
        <f t="shared" si="176"/>
        <v>2</v>
      </c>
      <c r="P1059" s="6" t="str">
        <f t="shared" si="183"/>
        <v>Y</v>
      </c>
      <c r="Q1059" s="6">
        <f t="shared" si="184"/>
        <v>13</v>
      </c>
      <c r="R1059" s="6" t="str">
        <f t="shared" si="185"/>
        <v>2024</v>
      </c>
      <c r="S1059" s="6" t="str">
        <f t="shared" si="186"/>
        <v>Sep</v>
      </c>
    </row>
    <row r="1060" spans="1:19" x14ac:dyDescent="0.25">
      <c r="A1060" s="6">
        <v>444</v>
      </c>
      <c r="B1060" s="6" t="str">
        <f t="shared" si="178"/>
        <v>NIKMIS00444</v>
      </c>
      <c r="C1060" s="7" t="s">
        <v>624</v>
      </c>
      <c r="D1060" s="7" t="s">
        <v>124</v>
      </c>
      <c r="E1060" s="7" t="str">
        <f t="shared" si="179"/>
        <v>KUNIKA SHUKLA</v>
      </c>
      <c r="F1060" s="7" t="s">
        <v>15</v>
      </c>
      <c r="G1060" s="22">
        <v>45544</v>
      </c>
      <c r="H1060" s="8">
        <v>55867</v>
      </c>
      <c r="I1060" s="7" t="str">
        <f t="shared" si="180"/>
        <v>kunika.shukla@mi.sha.ba</v>
      </c>
      <c r="J1060" s="6" t="s">
        <v>1548</v>
      </c>
      <c r="K1060" s="6">
        <v>73</v>
      </c>
      <c r="L1060" s="7" t="str">
        <f t="shared" si="181"/>
        <v>mi.sha.ba</v>
      </c>
      <c r="M1060" s="7" t="str">
        <f t="shared" si="182"/>
        <v>S.Kunika</v>
      </c>
      <c r="N1060" s="6">
        <f t="shared" si="177"/>
        <v>0</v>
      </c>
      <c r="O1060" s="6">
        <f t="shared" si="176"/>
        <v>0</v>
      </c>
      <c r="P1060" s="6" t="str">
        <f t="shared" si="183"/>
        <v>N</v>
      </c>
      <c r="Q1060" s="6">
        <f t="shared" si="184"/>
        <v>12</v>
      </c>
      <c r="R1060" s="6" t="str">
        <f t="shared" si="185"/>
        <v>2024</v>
      </c>
      <c r="S1060" s="6" t="str">
        <f t="shared" si="186"/>
        <v>Sep</v>
      </c>
    </row>
    <row r="1061" spans="1:19" x14ac:dyDescent="0.25">
      <c r="A1061" s="6">
        <v>446</v>
      </c>
      <c r="B1061" s="6" t="str">
        <f t="shared" si="178"/>
        <v>NIKMIS00446</v>
      </c>
      <c r="C1061" s="7" t="s">
        <v>626</v>
      </c>
      <c r="D1061" s="7" t="s">
        <v>627</v>
      </c>
      <c r="E1061" s="7" t="str">
        <f t="shared" si="179"/>
        <v>MEHAK MADAAN</v>
      </c>
      <c r="F1061" s="7" t="s">
        <v>15</v>
      </c>
      <c r="G1061" s="22">
        <v>45551</v>
      </c>
      <c r="H1061" s="8">
        <v>96791</v>
      </c>
      <c r="I1061" s="7" t="str">
        <f t="shared" si="180"/>
        <v>mehak.madaan@mi.man.ba</v>
      </c>
      <c r="J1061" s="6" t="s">
        <v>1543</v>
      </c>
      <c r="K1061" s="6">
        <v>56</v>
      </c>
      <c r="L1061" s="7" t="str">
        <f t="shared" si="181"/>
        <v>mi.man.ba</v>
      </c>
      <c r="M1061" s="7" t="str">
        <f t="shared" si="182"/>
        <v>M.Mehak</v>
      </c>
      <c r="N1061" s="6">
        <f t="shared" si="177"/>
        <v>2</v>
      </c>
      <c r="O1061" s="6">
        <f t="shared" si="176"/>
        <v>0</v>
      </c>
      <c r="P1061" s="6" t="str">
        <f t="shared" si="183"/>
        <v>N</v>
      </c>
      <c r="Q1061" s="6">
        <f t="shared" si="184"/>
        <v>11</v>
      </c>
      <c r="R1061" s="6" t="str">
        <f t="shared" si="185"/>
        <v>2024</v>
      </c>
      <c r="S1061" s="6" t="str">
        <f t="shared" si="186"/>
        <v>Sep</v>
      </c>
    </row>
    <row r="1062" spans="1:19" x14ac:dyDescent="0.25">
      <c r="A1062" s="6">
        <v>455</v>
      </c>
      <c r="B1062" s="6" t="str">
        <f t="shared" si="178"/>
        <v>NIKMIS00455</v>
      </c>
      <c r="C1062" s="7" t="s">
        <v>65</v>
      </c>
      <c r="D1062" s="7" t="s">
        <v>260</v>
      </c>
      <c r="E1062" s="7" t="str">
        <f t="shared" si="179"/>
        <v>RAHUL YADAV</v>
      </c>
      <c r="F1062" s="7" t="s">
        <v>15</v>
      </c>
      <c r="G1062" s="22">
        <v>45572</v>
      </c>
      <c r="H1062" s="8">
        <v>38188</v>
      </c>
      <c r="I1062" s="7" t="str">
        <f t="shared" si="180"/>
        <v>rahul.yadav@mi.yav.ba</v>
      </c>
      <c r="J1062" s="6" t="s">
        <v>1534</v>
      </c>
      <c r="K1062" s="6">
        <v>40</v>
      </c>
      <c r="L1062" s="7" t="str">
        <f t="shared" si="181"/>
        <v>mi.yav.ba</v>
      </c>
      <c r="M1062" s="7" t="str">
        <f t="shared" si="182"/>
        <v>Y.Rahul</v>
      </c>
      <c r="N1062" s="6">
        <f t="shared" si="177"/>
        <v>0</v>
      </c>
      <c r="O1062" s="6">
        <f t="shared" si="176"/>
        <v>0</v>
      </c>
      <c r="P1062" s="6" t="str">
        <f t="shared" si="183"/>
        <v>N</v>
      </c>
      <c r="Q1062" s="6">
        <f t="shared" si="184"/>
        <v>10</v>
      </c>
      <c r="R1062" s="6" t="str">
        <f t="shared" si="185"/>
        <v>2024</v>
      </c>
      <c r="S1062" s="6" t="str">
        <f t="shared" si="186"/>
        <v>Oct</v>
      </c>
    </row>
    <row r="1063" spans="1:19" x14ac:dyDescent="0.25">
      <c r="A1063" s="6">
        <v>468</v>
      </c>
      <c r="B1063" s="6" t="str">
        <f t="shared" si="178"/>
        <v>NIKMIS00468</v>
      </c>
      <c r="C1063" s="7" t="s">
        <v>649</v>
      </c>
      <c r="D1063" s="7" t="s">
        <v>526</v>
      </c>
      <c r="E1063" s="7" t="str">
        <f t="shared" si="179"/>
        <v>AMRIT SINHA</v>
      </c>
      <c r="F1063" s="7" t="s">
        <v>15</v>
      </c>
      <c r="G1063" s="22">
        <v>45609</v>
      </c>
      <c r="H1063" s="8">
        <v>54553</v>
      </c>
      <c r="I1063" s="7" t="str">
        <f t="shared" si="180"/>
        <v>amrit.sinha@mi.sia.ba</v>
      </c>
      <c r="J1063" s="6" t="s">
        <v>1533</v>
      </c>
      <c r="K1063" s="6">
        <v>83</v>
      </c>
      <c r="L1063" s="7" t="str">
        <f t="shared" si="181"/>
        <v>mi.sia.ba</v>
      </c>
      <c r="M1063" s="7" t="str">
        <f t="shared" si="182"/>
        <v>S.Amrit</v>
      </c>
      <c r="N1063" s="6">
        <f t="shared" si="177"/>
        <v>0</v>
      </c>
      <c r="O1063" s="6">
        <f t="shared" si="176"/>
        <v>0</v>
      </c>
      <c r="P1063" s="6" t="str">
        <f t="shared" si="183"/>
        <v>N</v>
      </c>
      <c r="Q1063" s="6">
        <f t="shared" si="184"/>
        <v>10</v>
      </c>
      <c r="R1063" s="6" t="str">
        <f t="shared" si="185"/>
        <v>2024</v>
      </c>
      <c r="S1063" s="6" t="str">
        <f t="shared" si="186"/>
        <v>Nov</v>
      </c>
    </row>
    <row r="1064" spans="1:19" x14ac:dyDescent="0.25">
      <c r="A1064" s="6">
        <v>471</v>
      </c>
      <c r="B1064" s="6" t="str">
        <f t="shared" si="178"/>
        <v>NIKMIS00471</v>
      </c>
      <c r="C1064" s="7" t="s">
        <v>68</v>
      </c>
      <c r="D1064" s="7" t="s">
        <v>652</v>
      </c>
      <c r="E1064" s="7" t="str">
        <f t="shared" si="179"/>
        <v>KUMAR KAUTUK</v>
      </c>
      <c r="F1064" s="7" t="s">
        <v>15</v>
      </c>
      <c r="G1064" s="22">
        <v>45628</v>
      </c>
      <c r="H1064" s="8">
        <v>87731</v>
      </c>
      <c r="I1064" s="7" t="str">
        <f t="shared" si="180"/>
        <v>kumar.kautuk@mi.kak.ba</v>
      </c>
      <c r="J1064" s="6" t="s">
        <v>1534</v>
      </c>
      <c r="K1064" s="6">
        <v>81</v>
      </c>
      <c r="L1064" s="7" t="str">
        <f t="shared" si="181"/>
        <v>mi.kak.ba</v>
      </c>
      <c r="M1064" s="7" t="str">
        <f t="shared" si="182"/>
        <v>K.Kumar</v>
      </c>
      <c r="N1064" s="6">
        <f t="shared" si="177"/>
        <v>0</v>
      </c>
      <c r="O1064" s="6">
        <f t="shared" si="176"/>
        <v>0</v>
      </c>
      <c r="P1064" s="6" t="str">
        <f t="shared" si="183"/>
        <v>N</v>
      </c>
      <c r="Q1064" s="6">
        <f t="shared" si="184"/>
        <v>11</v>
      </c>
      <c r="R1064" s="6" t="str">
        <f t="shared" si="185"/>
        <v>2024</v>
      </c>
      <c r="S1064" s="6" t="str">
        <f t="shared" si="186"/>
        <v>Dec</v>
      </c>
    </row>
    <row r="1065" spans="1:19" x14ac:dyDescent="0.25">
      <c r="A1065" s="6">
        <v>487</v>
      </c>
      <c r="B1065" s="6" t="str">
        <f t="shared" si="178"/>
        <v>NIKMIS00487</v>
      </c>
      <c r="C1065" s="7" t="s">
        <v>671</v>
      </c>
      <c r="D1065" s="7" t="s">
        <v>404</v>
      </c>
      <c r="E1065" s="7" t="str">
        <f t="shared" si="179"/>
        <v>STUTI BHATNAGAR</v>
      </c>
      <c r="F1065" s="7" t="s">
        <v>15</v>
      </c>
      <c r="G1065" s="22">
        <v>42826</v>
      </c>
      <c r="H1065" s="8">
        <v>98882</v>
      </c>
      <c r="I1065" s="7" t="str">
        <f t="shared" si="180"/>
        <v>stuti.bhatnagar@mi.bhr.ba</v>
      </c>
      <c r="J1065" s="6" t="s">
        <v>1542</v>
      </c>
      <c r="K1065" s="6">
        <v>81</v>
      </c>
      <c r="L1065" s="7" t="str">
        <f t="shared" si="181"/>
        <v>mi.bhr.ba</v>
      </c>
      <c r="M1065" s="7" t="str">
        <f t="shared" si="182"/>
        <v>B.Stuti</v>
      </c>
      <c r="N1065" s="6">
        <f t="shared" si="177"/>
        <v>0</v>
      </c>
      <c r="O1065" s="6">
        <f t="shared" si="176"/>
        <v>0</v>
      </c>
      <c r="P1065" s="6" t="str">
        <f t="shared" si="183"/>
        <v>N</v>
      </c>
      <c r="Q1065" s="6">
        <f t="shared" si="184"/>
        <v>14</v>
      </c>
      <c r="R1065" s="6" t="str">
        <f t="shared" si="185"/>
        <v>2017</v>
      </c>
      <c r="S1065" s="6" t="str">
        <f t="shared" si="186"/>
        <v>Apr</v>
      </c>
    </row>
    <row r="1066" spans="1:19" x14ac:dyDescent="0.25">
      <c r="A1066" s="6">
        <v>489</v>
      </c>
      <c r="B1066" s="6" t="str">
        <f t="shared" si="178"/>
        <v>NIKMIS00489</v>
      </c>
      <c r="C1066" s="7" t="s">
        <v>674</v>
      </c>
      <c r="D1066" s="7" t="s">
        <v>84</v>
      </c>
      <c r="E1066" s="7" t="str">
        <f t="shared" si="179"/>
        <v>NAVAL PRAKASH</v>
      </c>
      <c r="F1066" s="7" t="s">
        <v>15</v>
      </c>
      <c r="G1066" s="22">
        <v>42625</v>
      </c>
      <c r="H1066" s="8">
        <v>40434</v>
      </c>
      <c r="I1066" s="7" t="str">
        <f t="shared" si="180"/>
        <v>naval.prakash@mi.prh.ba</v>
      </c>
      <c r="J1066" s="6" t="s">
        <v>1545</v>
      </c>
      <c r="K1066" s="6">
        <v>40</v>
      </c>
      <c r="L1066" s="7" t="str">
        <f t="shared" si="181"/>
        <v>mi.prh.ba</v>
      </c>
      <c r="M1066" s="7" t="str">
        <f t="shared" si="182"/>
        <v>P.Naval</v>
      </c>
      <c r="N1066" s="6">
        <f t="shared" si="177"/>
        <v>0</v>
      </c>
      <c r="O1066" s="6">
        <f t="shared" si="176"/>
        <v>0</v>
      </c>
      <c r="P1066" s="6" t="str">
        <f t="shared" si="183"/>
        <v>N</v>
      </c>
      <c r="Q1066" s="6">
        <f t="shared" si="184"/>
        <v>12</v>
      </c>
      <c r="R1066" s="6" t="str">
        <f t="shared" si="185"/>
        <v>2016</v>
      </c>
      <c r="S1066" s="6" t="str">
        <f t="shared" si="186"/>
        <v>Sep</v>
      </c>
    </row>
    <row r="1067" spans="1:19" x14ac:dyDescent="0.25">
      <c r="A1067" s="6">
        <v>502</v>
      </c>
      <c r="B1067" s="6" t="str">
        <f t="shared" si="178"/>
        <v>NIKMIS00502</v>
      </c>
      <c r="C1067" s="7" t="s">
        <v>248</v>
      </c>
      <c r="D1067" s="7" t="s">
        <v>55</v>
      </c>
      <c r="E1067" s="7" t="str">
        <f t="shared" si="179"/>
        <v>PRIYANKA SHARMA</v>
      </c>
      <c r="F1067" s="7" t="s">
        <v>15</v>
      </c>
      <c r="G1067" s="22">
        <v>42599</v>
      </c>
      <c r="H1067" s="8">
        <v>99823</v>
      </c>
      <c r="I1067" s="7" t="str">
        <f t="shared" si="180"/>
        <v>priyanka.sharma@mi.sha.ba</v>
      </c>
      <c r="J1067" s="6" t="s">
        <v>1539</v>
      </c>
      <c r="K1067" s="6">
        <v>46</v>
      </c>
      <c r="L1067" s="7" t="str">
        <f t="shared" si="181"/>
        <v>mi.sha.ba</v>
      </c>
      <c r="M1067" s="7" t="str">
        <f t="shared" si="182"/>
        <v>S.Priyanka</v>
      </c>
      <c r="N1067" s="6">
        <f t="shared" si="177"/>
        <v>0</v>
      </c>
      <c r="O1067" s="6">
        <f t="shared" si="176"/>
        <v>0</v>
      </c>
      <c r="P1067" s="6" t="str">
        <f t="shared" si="183"/>
        <v>N</v>
      </c>
      <c r="Q1067" s="6">
        <f t="shared" si="184"/>
        <v>14</v>
      </c>
      <c r="R1067" s="6" t="str">
        <f t="shared" si="185"/>
        <v>2016</v>
      </c>
      <c r="S1067" s="6" t="str">
        <f t="shared" si="186"/>
        <v>Aug</v>
      </c>
    </row>
    <row r="1068" spans="1:19" x14ac:dyDescent="0.25">
      <c r="A1068" s="6">
        <v>513</v>
      </c>
      <c r="B1068" s="6" t="str">
        <f t="shared" si="178"/>
        <v>NIKMIS00513</v>
      </c>
      <c r="C1068" s="7" t="s">
        <v>508</v>
      </c>
      <c r="D1068" s="7" t="s">
        <v>698</v>
      </c>
      <c r="E1068" s="7" t="str">
        <f t="shared" si="179"/>
        <v>KIRTI YOGRAJ</v>
      </c>
      <c r="F1068" s="7" t="s">
        <v>15</v>
      </c>
      <c r="G1068" s="22">
        <v>42590</v>
      </c>
      <c r="H1068" s="8">
        <v>63569</v>
      </c>
      <c r="I1068" s="7" t="str">
        <f t="shared" si="180"/>
        <v>kirti.yograj@mi.yoj.ba</v>
      </c>
      <c r="J1068" s="6" t="s">
        <v>1542</v>
      </c>
      <c r="K1068" s="6">
        <v>55</v>
      </c>
      <c r="L1068" s="7" t="str">
        <f t="shared" si="181"/>
        <v>mi.yoj.ba</v>
      </c>
      <c r="M1068" s="7" t="str">
        <f t="shared" si="182"/>
        <v>Y.Kirti</v>
      </c>
      <c r="N1068" s="6">
        <f t="shared" si="177"/>
        <v>0</v>
      </c>
      <c r="O1068" s="6">
        <f t="shared" ref="O1068:O1131" si="187">IFERROR(SEARCH("e",D1068),0)</f>
        <v>0</v>
      </c>
      <c r="P1068" s="6" t="str">
        <f t="shared" si="183"/>
        <v>N</v>
      </c>
      <c r="Q1068" s="6">
        <f t="shared" si="184"/>
        <v>11</v>
      </c>
      <c r="R1068" s="6" t="str">
        <f t="shared" si="185"/>
        <v>2016</v>
      </c>
      <c r="S1068" s="6" t="str">
        <f t="shared" si="186"/>
        <v>Aug</v>
      </c>
    </row>
    <row r="1069" spans="1:19" x14ac:dyDescent="0.25">
      <c r="A1069" s="6">
        <v>522</v>
      </c>
      <c r="B1069" s="6" t="str">
        <f t="shared" si="178"/>
        <v>NIKMIS00522</v>
      </c>
      <c r="C1069" s="7" t="s">
        <v>705</v>
      </c>
      <c r="D1069" s="7" t="s">
        <v>706</v>
      </c>
      <c r="E1069" s="7" t="str">
        <f t="shared" si="179"/>
        <v>DRASHTI ALKESH</v>
      </c>
      <c r="F1069" s="7" t="s">
        <v>15</v>
      </c>
      <c r="G1069" s="22">
        <v>42562</v>
      </c>
      <c r="H1069" s="8">
        <v>50061</v>
      </c>
      <c r="I1069" s="7" t="str">
        <f t="shared" si="180"/>
        <v>drashti.alkesh@mi.alh.ba</v>
      </c>
      <c r="J1069" s="6" t="s">
        <v>1535</v>
      </c>
      <c r="K1069" s="6">
        <v>75</v>
      </c>
      <c r="L1069" s="7" t="str">
        <f t="shared" si="181"/>
        <v>mi.alh.ba</v>
      </c>
      <c r="M1069" s="7" t="str">
        <f t="shared" si="182"/>
        <v>A.Drashti</v>
      </c>
      <c r="N1069" s="6">
        <f t="shared" si="177"/>
        <v>0</v>
      </c>
      <c r="O1069" s="6">
        <f t="shared" si="187"/>
        <v>4</v>
      </c>
      <c r="P1069" s="6" t="str">
        <f t="shared" si="183"/>
        <v>N</v>
      </c>
      <c r="Q1069" s="6">
        <f t="shared" si="184"/>
        <v>13</v>
      </c>
      <c r="R1069" s="6" t="str">
        <f t="shared" si="185"/>
        <v>2016</v>
      </c>
      <c r="S1069" s="6" t="str">
        <f t="shared" si="186"/>
        <v>Jul</v>
      </c>
    </row>
    <row r="1070" spans="1:19" x14ac:dyDescent="0.25">
      <c r="A1070" s="6">
        <v>536</v>
      </c>
      <c r="B1070" s="6" t="str">
        <f t="shared" si="178"/>
        <v>NIKMIS00536</v>
      </c>
      <c r="C1070" s="7" t="s">
        <v>272</v>
      </c>
      <c r="D1070" s="7" t="s">
        <v>61</v>
      </c>
      <c r="E1070" s="7" t="str">
        <f t="shared" si="179"/>
        <v>SUNIT MEHTA</v>
      </c>
      <c r="F1070" s="7" t="s">
        <v>15</v>
      </c>
      <c r="G1070" s="22">
        <v>41880</v>
      </c>
      <c r="H1070" s="8">
        <v>79088</v>
      </c>
      <c r="I1070" s="7" t="str">
        <f t="shared" si="180"/>
        <v>sunit.mehta@mi.mea.ba</v>
      </c>
      <c r="J1070" s="6" t="s">
        <v>1539</v>
      </c>
      <c r="K1070" s="6">
        <v>71</v>
      </c>
      <c r="L1070" s="7" t="str">
        <f t="shared" si="181"/>
        <v>mi.mea.ba</v>
      </c>
      <c r="M1070" s="7" t="str">
        <f t="shared" si="182"/>
        <v>M.Sunit</v>
      </c>
      <c r="N1070" s="6">
        <f t="shared" ref="N1070:N1133" si="188">IFERROR(SEARCH("e",C1070),0)</f>
        <v>0</v>
      </c>
      <c r="O1070" s="6">
        <f t="shared" si="187"/>
        <v>2</v>
      </c>
      <c r="P1070" s="6" t="str">
        <f t="shared" si="183"/>
        <v>N</v>
      </c>
      <c r="Q1070" s="6">
        <f t="shared" si="184"/>
        <v>10</v>
      </c>
      <c r="R1070" s="6" t="str">
        <f t="shared" si="185"/>
        <v>2014</v>
      </c>
      <c r="S1070" s="6" t="str">
        <f t="shared" si="186"/>
        <v>Aug</v>
      </c>
    </row>
    <row r="1071" spans="1:19" x14ac:dyDescent="0.25">
      <c r="A1071" s="6">
        <v>541</v>
      </c>
      <c r="B1071" s="6" t="str">
        <f t="shared" si="178"/>
        <v>NIKMIS00541</v>
      </c>
      <c r="C1071" s="7" t="s">
        <v>114</v>
      </c>
      <c r="D1071" s="7" t="s">
        <v>68</v>
      </c>
      <c r="E1071" s="7" t="str">
        <f t="shared" si="179"/>
        <v>SUNIL KUMAR</v>
      </c>
      <c r="F1071" s="7" t="s">
        <v>15</v>
      </c>
      <c r="G1071" s="22">
        <v>42767</v>
      </c>
      <c r="H1071" s="8">
        <v>101708</v>
      </c>
      <c r="I1071" s="7" t="str">
        <f t="shared" si="180"/>
        <v>sunil.kumar@mi.kur.ba</v>
      </c>
      <c r="J1071" s="6" t="s">
        <v>1541</v>
      </c>
      <c r="K1071" s="6">
        <v>46</v>
      </c>
      <c r="L1071" s="7" t="str">
        <f t="shared" si="181"/>
        <v>mi.kur.ba</v>
      </c>
      <c r="M1071" s="7" t="str">
        <f t="shared" si="182"/>
        <v>K.Sunil</v>
      </c>
      <c r="N1071" s="6">
        <f t="shared" si="188"/>
        <v>0</v>
      </c>
      <c r="O1071" s="6">
        <f t="shared" si="187"/>
        <v>0</v>
      </c>
      <c r="P1071" s="6" t="str">
        <f t="shared" si="183"/>
        <v>N</v>
      </c>
      <c r="Q1071" s="6">
        <f t="shared" si="184"/>
        <v>10</v>
      </c>
      <c r="R1071" s="6" t="str">
        <f t="shared" si="185"/>
        <v>2017</v>
      </c>
      <c r="S1071" s="6" t="str">
        <f t="shared" si="186"/>
        <v>Feb</v>
      </c>
    </row>
    <row r="1072" spans="1:19" x14ac:dyDescent="0.25">
      <c r="A1072" s="6">
        <v>558</v>
      </c>
      <c r="B1072" s="6" t="str">
        <f t="shared" si="178"/>
        <v>NIKMIS00558</v>
      </c>
      <c r="C1072" s="7" t="s">
        <v>737</v>
      </c>
      <c r="D1072" s="7" t="s">
        <v>738</v>
      </c>
      <c r="E1072" s="7" t="str">
        <f t="shared" si="179"/>
        <v>MANASI CHACHAD</v>
      </c>
      <c r="F1072" s="7" t="s">
        <v>15</v>
      </c>
      <c r="G1072" s="22">
        <v>41806</v>
      </c>
      <c r="H1072" s="8">
        <v>92051</v>
      </c>
      <c r="I1072" s="7" t="str">
        <f t="shared" si="180"/>
        <v>manasi.chachad@mi.chd.ba</v>
      </c>
      <c r="J1072" s="6" t="s">
        <v>1549</v>
      </c>
      <c r="K1072" s="6">
        <v>48</v>
      </c>
      <c r="L1072" s="7" t="str">
        <f t="shared" si="181"/>
        <v>mi.chd.ba</v>
      </c>
      <c r="M1072" s="7" t="str">
        <f t="shared" si="182"/>
        <v>C.Manasi</v>
      </c>
      <c r="N1072" s="6">
        <f t="shared" si="188"/>
        <v>0</v>
      </c>
      <c r="O1072" s="6">
        <f t="shared" si="187"/>
        <v>0</v>
      </c>
      <c r="P1072" s="6" t="str">
        <f t="shared" si="183"/>
        <v>N</v>
      </c>
      <c r="Q1072" s="6">
        <f t="shared" si="184"/>
        <v>13</v>
      </c>
      <c r="R1072" s="6" t="str">
        <f t="shared" si="185"/>
        <v>2014</v>
      </c>
      <c r="S1072" s="6" t="str">
        <f t="shared" si="186"/>
        <v>Jun</v>
      </c>
    </row>
    <row r="1073" spans="1:19" x14ac:dyDescent="0.25">
      <c r="A1073" s="6">
        <v>563</v>
      </c>
      <c r="B1073" s="6" t="str">
        <f t="shared" si="178"/>
        <v>NIKMIS00563</v>
      </c>
      <c r="C1073" s="7" t="s">
        <v>174</v>
      </c>
      <c r="D1073" s="7" t="s">
        <v>741</v>
      </c>
      <c r="E1073" s="7" t="str">
        <f t="shared" si="179"/>
        <v>PRIYANK BORAWAR</v>
      </c>
      <c r="F1073" s="7" t="s">
        <v>15</v>
      </c>
      <c r="G1073" s="22">
        <v>42217</v>
      </c>
      <c r="H1073" s="8">
        <v>83770</v>
      </c>
      <c r="I1073" s="7" t="str">
        <f t="shared" si="180"/>
        <v>priyank.borawar@mi.bor.ba</v>
      </c>
      <c r="J1073" s="6" t="s">
        <v>1532</v>
      </c>
      <c r="K1073" s="6">
        <v>62</v>
      </c>
      <c r="L1073" s="7" t="str">
        <f t="shared" si="181"/>
        <v>mi.bor.ba</v>
      </c>
      <c r="M1073" s="7" t="str">
        <f t="shared" si="182"/>
        <v>B.Priyank</v>
      </c>
      <c r="N1073" s="6">
        <f t="shared" si="188"/>
        <v>0</v>
      </c>
      <c r="O1073" s="6">
        <f t="shared" si="187"/>
        <v>0</v>
      </c>
      <c r="P1073" s="6" t="str">
        <f t="shared" si="183"/>
        <v>N</v>
      </c>
      <c r="Q1073" s="6">
        <f t="shared" si="184"/>
        <v>14</v>
      </c>
      <c r="R1073" s="6" t="str">
        <f t="shared" si="185"/>
        <v>2015</v>
      </c>
      <c r="S1073" s="6" t="str">
        <f t="shared" si="186"/>
        <v>Aug</v>
      </c>
    </row>
    <row r="1074" spans="1:19" x14ac:dyDescent="0.25">
      <c r="A1074" s="6">
        <v>574</v>
      </c>
      <c r="B1074" s="6" t="str">
        <f t="shared" si="178"/>
        <v>NIKMIS00574</v>
      </c>
      <c r="C1074" s="7" t="s">
        <v>754</v>
      </c>
      <c r="D1074" s="7" t="s">
        <v>755</v>
      </c>
      <c r="E1074" s="7" t="str">
        <f t="shared" si="179"/>
        <v>ABHAY DOOMRA</v>
      </c>
      <c r="F1074" s="7" t="s">
        <v>15</v>
      </c>
      <c r="G1074" s="22">
        <v>42352</v>
      </c>
      <c r="H1074" s="8">
        <v>100149</v>
      </c>
      <c r="I1074" s="7" t="str">
        <f t="shared" si="180"/>
        <v>abhay.doomra@mi.doa.ba</v>
      </c>
      <c r="J1074" s="6" t="s">
        <v>1547</v>
      </c>
      <c r="K1074" s="6">
        <v>41</v>
      </c>
      <c r="L1074" s="7" t="str">
        <f t="shared" si="181"/>
        <v>mi.doa.ba</v>
      </c>
      <c r="M1074" s="7" t="str">
        <f t="shared" si="182"/>
        <v>D.Abhay</v>
      </c>
      <c r="N1074" s="6">
        <f t="shared" si="188"/>
        <v>0</v>
      </c>
      <c r="O1074" s="6">
        <f t="shared" si="187"/>
        <v>0</v>
      </c>
      <c r="P1074" s="6" t="str">
        <f t="shared" si="183"/>
        <v>N</v>
      </c>
      <c r="Q1074" s="6">
        <f t="shared" si="184"/>
        <v>11</v>
      </c>
      <c r="R1074" s="6" t="str">
        <f t="shared" si="185"/>
        <v>2015</v>
      </c>
      <c r="S1074" s="6" t="str">
        <f t="shared" si="186"/>
        <v>Dec</v>
      </c>
    </row>
    <row r="1075" spans="1:19" x14ac:dyDescent="0.25">
      <c r="A1075" s="6">
        <v>581</v>
      </c>
      <c r="B1075" s="6" t="str">
        <f t="shared" si="178"/>
        <v>NIKMIS00581</v>
      </c>
      <c r="C1075" s="7" t="s">
        <v>620</v>
      </c>
      <c r="D1075" s="7" t="s">
        <v>111</v>
      </c>
      <c r="E1075" s="7" t="str">
        <f t="shared" si="179"/>
        <v>KARISHMA BHARAT</v>
      </c>
      <c r="F1075" s="7" t="s">
        <v>15</v>
      </c>
      <c r="G1075" s="22">
        <v>42583</v>
      </c>
      <c r="H1075" s="8">
        <v>91864</v>
      </c>
      <c r="I1075" s="7" t="str">
        <f t="shared" si="180"/>
        <v>karishma.bharat@mi.bht.ba</v>
      </c>
      <c r="J1075" s="6" t="s">
        <v>1546</v>
      </c>
      <c r="K1075" s="6">
        <v>60</v>
      </c>
      <c r="L1075" s="7" t="str">
        <f t="shared" si="181"/>
        <v>mi.bht.ba</v>
      </c>
      <c r="M1075" s="7" t="str">
        <f t="shared" si="182"/>
        <v>B.Karishma</v>
      </c>
      <c r="N1075" s="6">
        <f t="shared" si="188"/>
        <v>0</v>
      </c>
      <c r="O1075" s="6">
        <f t="shared" si="187"/>
        <v>0</v>
      </c>
      <c r="P1075" s="6" t="str">
        <f t="shared" si="183"/>
        <v>N</v>
      </c>
      <c r="Q1075" s="6">
        <f t="shared" si="184"/>
        <v>14</v>
      </c>
      <c r="R1075" s="6" t="str">
        <f t="shared" si="185"/>
        <v>2016</v>
      </c>
      <c r="S1075" s="6" t="str">
        <f t="shared" si="186"/>
        <v>Aug</v>
      </c>
    </row>
    <row r="1076" spans="1:19" x14ac:dyDescent="0.25">
      <c r="A1076" s="6">
        <v>592</v>
      </c>
      <c r="B1076" s="6" t="str">
        <f t="shared" si="178"/>
        <v>NIKMIS00592</v>
      </c>
      <c r="C1076" s="7" t="s">
        <v>251</v>
      </c>
      <c r="D1076" s="7" t="s">
        <v>774</v>
      </c>
      <c r="E1076" s="7" t="str">
        <f t="shared" si="179"/>
        <v>HIMANSHU PARASHAR</v>
      </c>
      <c r="F1076" s="7" t="s">
        <v>15</v>
      </c>
      <c r="G1076" s="22">
        <v>42870</v>
      </c>
      <c r="H1076" s="8">
        <v>102506</v>
      </c>
      <c r="I1076" s="7" t="str">
        <f t="shared" si="180"/>
        <v>himanshu.parashar@mi.par.ba</v>
      </c>
      <c r="J1076" s="6" t="s">
        <v>1547</v>
      </c>
      <c r="K1076" s="6">
        <v>74</v>
      </c>
      <c r="L1076" s="7" t="str">
        <f t="shared" si="181"/>
        <v>mi.par.ba</v>
      </c>
      <c r="M1076" s="7" t="str">
        <f t="shared" si="182"/>
        <v>P.Himanshu</v>
      </c>
      <c r="N1076" s="6">
        <f t="shared" si="188"/>
        <v>0</v>
      </c>
      <c r="O1076" s="6">
        <f t="shared" si="187"/>
        <v>0</v>
      </c>
      <c r="P1076" s="6" t="str">
        <f t="shared" si="183"/>
        <v>N</v>
      </c>
      <c r="Q1076" s="6">
        <f t="shared" si="184"/>
        <v>16</v>
      </c>
      <c r="R1076" s="6" t="str">
        <f t="shared" si="185"/>
        <v>2017</v>
      </c>
      <c r="S1076" s="6" t="str">
        <f t="shared" si="186"/>
        <v>May</v>
      </c>
    </row>
    <row r="1077" spans="1:19" x14ac:dyDescent="0.25">
      <c r="A1077" s="6">
        <v>620</v>
      </c>
      <c r="B1077" s="6" t="str">
        <f t="shared" si="178"/>
        <v>NIKMIS00620</v>
      </c>
      <c r="C1077" s="7" t="s">
        <v>803</v>
      </c>
      <c r="D1077" s="7" t="s">
        <v>332</v>
      </c>
      <c r="E1077" s="7" t="str">
        <f t="shared" si="179"/>
        <v>YOGESH RAM</v>
      </c>
      <c r="F1077" s="7" t="s">
        <v>15</v>
      </c>
      <c r="G1077" s="22">
        <v>42590</v>
      </c>
      <c r="H1077" s="8">
        <v>91429</v>
      </c>
      <c r="I1077" s="7" t="str">
        <f t="shared" si="180"/>
        <v>yogesh.ram@mi.ram.ba</v>
      </c>
      <c r="J1077" s="6" t="s">
        <v>1543</v>
      </c>
      <c r="K1077" s="6">
        <v>36</v>
      </c>
      <c r="L1077" s="7" t="str">
        <f t="shared" si="181"/>
        <v>mi.ram.ba</v>
      </c>
      <c r="M1077" s="7" t="str">
        <f t="shared" si="182"/>
        <v>R.Yogesh</v>
      </c>
      <c r="N1077" s="6">
        <f t="shared" si="188"/>
        <v>4</v>
      </c>
      <c r="O1077" s="6">
        <f t="shared" si="187"/>
        <v>0</v>
      </c>
      <c r="P1077" s="6" t="str">
        <f t="shared" si="183"/>
        <v>N</v>
      </c>
      <c r="Q1077" s="6">
        <f t="shared" si="184"/>
        <v>9</v>
      </c>
      <c r="R1077" s="6" t="str">
        <f t="shared" si="185"/>
        <v>2016</v>
      </c>
      <c r="S1077" s="6" t="str">
        <f t="shared" si="186"/>
        <v>Aug</v>
      </c>
    </row>
    <row r="1078" spans="1:19" x14ac:dyDescent="0.25">
      <c r="A1078" s="6">
        <v>627</v>
      </c>
      <c r="B1078" s="6" t="str">
        <f t="shared" si="178"/>
        <v>NIKMIS00627</v>
      </c>
      <c r="C1078" s="7" t="s">
        <v>807</v>
      </c>
      <c r="D1078" s="7" t="s">
        <v>95</v>
      </c>
      <c r="E1078" s="7" t="str">
        <f t="shared" si="179"/>
        <v>MANTHAN JOSHI</v>
      </c>
      <c r="F1078" s="7" t="s">
        <v>15</v>
      </c>
      <c r="G1078" s="22">
        <v>42552</v>
      </c>
      <c r="H1078" s="8">
        <v>80378</v>
      </c>
      <c r="I1078" s="7" t="str">
        <f t="shared" si="180"/>
        <v>manthan.joshi@mi.joi.ba</v>
      </c>
      <c r="J1078" s="6" t="s">
        <v>1547</v>
      </c>
      <c r="K1078" s="6">
        <v>45</v>
      </c>
      <c r="L1078" s="7" t="str">
        <f t="shared" si="181"/>
        <v>mi.joi.ba</v>
      </c>
      <c r="M1078" s="7" t="str">
        <f t="shared" si="182"/>
        <v>J.Manthan</v>
      </c>
      <c r="N1078" s="6">
        <f t="shared" si="188"/>
        <v>0</v>
      </c>
      <c r="O1078" s="6">
        <f t="shared" si="187"/>
        <v>0</v>
      </c>
      <c r="P1078" s="6" t="str">
        <f t="shared" si="183"/>
        <v>N</v>
      </c>
      <c r="Q1078" s="6">
        <f t="shared" si="184"/>
        <v>12</v>
      </c>
      <c r="R1078" s="6" t="str">
        <f t="shared" si="185"/>
        <v>2016</v>
      </c>
      <c r="S1078" s="6" t="str">
        <f t="shared" si="186"/>
        <v>Jul</v>
      </c>
    </row>
    <row r="1079" spans="1:19" x14ac:dyDescent="0.25">
      <c r="A1079" s="6">
        <v>651</v>
      </c>
      <c r="B1079" s="6" t="str">
        <f t="shared" si="178"/>
        <v>NIKMIS00651</v>
      </c>
      <c r="C1079" s="7" t="s">
        <v>288</v>
      </c>
      <c r="D1079" s="7" t="s">
        <v>62</v>
      </c>
      <c r="E1079" s="7" t="str">
        <f t="shared" si="179"/>
        <v>PIYUSH JAIN</v>
      </c>
      <c r="F1079" s="7" t="s">
        <v>15</v>
      </c>
      <c r="G1079" s="22">
        <v>41983</v>
      </c>
      <c r="H1079" s="8">
        <v>89614</v>
      </c>
      <c r="I1079" s="7" t="str">
        <f t="shared" si="180"/>
        <v>piyush.jain@mi.jan.ba</v>
      </c>
      <c r="J1079" s="6" t="s">
        <v>1548</v>
      </c>
      <c r="K1079" s="6">
        <v>54</v>
      </c>
      <c r="L1079" s="7" t="str">
        <f t="shared" si="181"/>
        <v>mi.jan.ba</v>
      </c>
      <c r="M1079" s="7" t="str">
        <f t="shared" si="182"/>
        <v>J.Piyush</v>
      </c>
      <c r="N1079" s="6">
        <f t="shared" si="188"/>
        <v>0</v>
      </c>
      <c r="O1079" s="6">
        <f t="shared" si="187"/>
        <v>0</v>
      </c>
      <c r="P1079" s="6" t="str">
        <f t="shared" si="183"/>
        <v>N</v>
      </c>
      <c r="Q1079" s="6">
        <f t="shared" si="184"/>
        <v>10</v>
      </c>
      <c r="R1079" s="6" t="str">
        <f t="shared" si="185"/>
        <v>2014</v>
      </c>
      <c r="S1079" s="6" t="str">
        <f t="shared" si="186"/>
        <v>Dec</v>
      </c>
    </row>
    <row r="1080" spans="1:19" x14ac:dyDescent="0.25">
      <c r="A1080" s="6">
        <v>657</v>
      </c>
      <c r="B1080" s="6" t="str">
        <f t="shared" si="178"/>
        <v>NIKMIS00657</v>
      </c>
      <c r="C1080" s="7" t="s">
        <v>259</v>
      </c>
      <c r="D1080" s="7" t="s">
        <v>476</v>
      </c>
      <c r="E1080" s="7" t="str">
        <f t="shared" si="179"/>
        <v>ASHISH DWIVEDI</v>
      </c>
      <c r="F1080" s="7" t="s">
        <v>15</v>
      </c>
      <c r="G1080" s="22">
        <v>43012</v>
      </c>
      <c r="H1080" s="8">
        <v>55278</v>
      </c>
      <c r="I1080" s="7" t="str">
        <f t="shared" si="180"/>
        <v>ashish.dwivedi@mi.dwi.ba</v>
      </c>
      <c r="J1080" s="6" t="s">
        <v>1545</v>
      </c>
      <c r="K1080" s="6">
        <v>50</v>
      </c>
      <c r="L1080" s="7" t="str">
        <f t="shared" si="181"/>
        <v>mi.dwi.ba</v>
      </c>
      <c r="M1080" s="7" t="str">
        <f t="shared" si="182"/>
        <v>D.Ashish</v>
      </c>
      <c r="N1080" s="6">
        <f t="shared" si="188"/>
        <v>0</v>
      </c>
      <c r="O1080" s="6">
        <f t="shared" si="187"/>
        <v>5</v>
      </c>
      <c r="P1080" s="6" t="str">
        <f t="shared" si="183"/>
        <v>N</v>
      </c>
      <c r="Q1080" s="6">
        <f t="shared" si="184"/>
        <v>13</v>
      </c>
      <c r="R1080" s="6" t="str">
        <f t="shared" si="185"/>
        <v>2017</v>
      </c>
      <c r="S1080" s="6" t="str">
        <f t="shared" si="186"/>
        <v>Oct</v>
      </c>
    </row>
    <row r="1081" spans="1:19" x14ac:dyDescent="0.25">
      <c r="A1081" s="6">
        <v>658</v>
      </c>
      <c r="B1081" s="6" t="str">
        <f t="shared" si="178"/>
        <v>NIKMIS00658</v>
      </c>
      <c r="C1081" s="7" t="s">
        <v>836</v>
      </c>
      <c r="D1081" s="7" t="s">
        <v>837</v>
      </c>
      <c r="E1081" s="7" t="str">
        <f t="shared" si="179"/>
        <v>BHAVNEET KAUSHAL</v>
      </c>
      <c r="F1081" s="7" t="s">
        <v>15</v>
      </c>
      <c r="G1081" s="22">
        <v>42601</v>
      </c>
      <c r="H1081" s="8">
        <v>44539</v>
      </c>
      <c r="I1081" s="7" t="str">
        <f t="shared" si="180"/>
        <v>bhavneet.kaushal@mi.kal.ba</v>
      </c>
      <c r="J1081" s="6" t="s">
        <v>1540</v>
      </c>
      <c r="K1081" s="6">
        <v>40</v>
      </c>
      <c r="L1081" s="7" t="str">
        <f t="shared" si="181"/>
        <v>mi.kal.ba</v>
      </c>
      <c r="M1081" s="7" t="str">
        <f t="shared" si="182"/>
        <v>K.Bhavneet</v>
      </c>
      <c r="N1081" s="6">
        <f t="shared" si="188"/>
        <v>6</v>
      </c>
      <c r="O1081" s="6">
        <f t="shared" si="187"/>
        <v>0</v>
      </c>
      <c r="P1081" s="6" t="str">
        <f t="shared" si="183"/>
        <v>N</v>
      </c>
      <c r="Q1081" s="6">
        <f t="shared" si="184"/>
        <v>15</v>
      </c>
      <c r="R1081" s="6" t="str">
        <f t="shared" si="185"/>
        <v>2016</v>
      </c>
      <c r="S1081" s="6" t="str">
        <f t="shared" si="186"/>
        <v>Aug</v>
      </c>
    </row>
    <row r="1082" spans="1:19" x14ac:dyDescent="0.25">
      <c r="A1082" s="6">
        <v>662</v>
      </c>
      <c r="B1082" s="6" t="str">
        <f t="shared" si="178"/>
        <v>NIKMIS00662</v>
      </c>
      <c r="C1082" s="7" t="s">
        <v>841</v>
      </c>
      <c r="D1082" s="7" t="s">
        <v>465</v>
      </c>
      <c r="E1082" s="7" t="str">
        <f t="shared" si="179"/>
        <v>KAUSTUBH SURESH</v>
      </c>
      <c r="F1082" s="7" t="s">
        <v>15</v>
      </c>
      <c r="G1082" s="22">
        <v>42641</v>
      </c>
      <c r="H1082" s="8">
        <v>39425</v>
      </c>
      <c r="I1082" s="7" t="str">
        <f t="shared" si="180"/>
        <v>kaustubh.suresh@mi.suh.ba</v>
      </c>
      <c r="J1082" s="6" t="s">
        <v>1543</v>
      </c>
      <c r="K1082" s="6">
        <v>81</v>
      </c>
      <c r="L1082" s="7" t="str">
        <f t="shared" si="181"/>
        <v>mi.suh.ba</v>
      </c>
      <c r="M1082" s="7" t="str">
        <f t="shared" si="182"/>
        <v>S.Kaustubh</v>
      </c>
      <c r="N1082" s="6">
        <f t="shared" si="188"/>
        <v>0</v>
      </c>
      <c r="O1082" s="6">
        <f t="shared" si="187"/>
        <v>4</v>
      </c>
      <c r="P1082" s="6" t="str">
        <f t="shared" si="183"/>
        <v>N</v>
      </c>
      <c r="Q1082" s="6">
        <f t="shared" si="184"/>
        <v>14</v>
      </c>
      <c r="R1082" s="6" t="str">
        <f t="shared" si="185"/>
        <v>2016</v>
      </c>
      <c r="S1082" s="6" t="str">
        <f t="shared" si="186"/>
        <v>Sep</v>
      </c>
    </row>
    <row r="1083" spans="1:19" x14ac:dyDescent="0.25">
      <c r="A1083" s="6">
        <v>674</v>
      </c>
      <c r="B1083" s="6" t="str">
        <f t="shared" si="178"/>
        <v>NIKMIS00674</v>
      </c>
      <c r="C1083" s="7" t="s">
        <v>855</v>
      </c>
      <c r="D1083" s="7" t="s">
        <v>205</v>
      </c>
      <c r="E1083" s="7" t="str">
        <f t="shared" si="179"/>
        <v>JUHI VERMA</v>
      </c>
      <c r="F1083" s="7" t="s">
        <v>15</v>
      </c>
      <c r="G1083" s="22">
        <v>43047</v>
      </c>
      <c r="H1083" s="8">
        <v>46043</v>
      </c>
      <c r="I1083" s="7" t="str">
        <f t="shared" si="180"/>
        <v>juhi.verma@mi.vea.ba</v>
      </c>
      <c r="J1083" s="6" t="s">
        <v>1549</v>
      </c>
      <c r="K1083" s="6">
        <v>78</v>
      </c>
      <c r="L1083" s="7" t="str">
        <f t="shared" si="181"/>
        <v>mi.vea.ba</v>
      </c>
      <c r="M1083" s="7" t="str">
        <f t="shared" si="182"/>
        <v>V.Juhi</v>
      </c>
      <c r="N1083" s="6">
        <f t="shared" si="188"/>
        <v>0</v>
      </c>
      <c r="O1083" s="6">
        <f t="shared" si="187"/>
        <v>2</v>
      </c>
      <c r="P1083" s="6" t="str">
        <f t="shared" si="183"/>
        <v>N</v>
      </c>
      <c r="Q1083" s="6">
        <f t="shared" si="184"/>
        <v>9</v>
      </c>
      <c r="R1083" s="6" t="str">
        <f t="shared" si="185"/>
        <v>2017</v>
      </c>
      <c r="S1083" s="6" t="str">
        <f t="shared" si="186"/>
        <v>Nov</v>
      </c>
    </row>
    <row r="1084" spans="1:19" x14ac:dyDescent="0.25">
      <c r="A1084" s="6">
        <v>678</v>
      </c>
      <c r="B1084" s="6" t="str">
        <f t="shared" si="178"/>
        <v>NIKMIS00678</v>
      </c>
      <c r="C1084" s="7" t="s">
        <v>858</v>
      </c>
      <c r="D1084" s="7" t="s">
        <v>205</v>
      </c>
      <c r="E1084" s="7" t="str">
        <f t="shared" si="179"/>
        <v>SUMAN VERMA</v>
      </c>
      <c r="F1084" s="7" t="s">
        <v>15</v>
      </c>
      <c r="G1084" s="22">
        <v>43174</v>
      </c>
      <c r="H1084" s="8">
        <v>36452</v>
      </c>
      <c r="I1084" s="7" t="str">
        <f t="shared" si="180"/>
        <v>suman.verma@mi.vea.ba</v>
      </c>
      <c r="J1084" s="6" t="s">
        <v>1543</v>
      </c>
      <c r="K1084" s="6">
        <v>62</v>
      </c>
      <c r="L1084" s="7" t="str">
        <f t="shared" si="181"/>
        <v>mi.vea.ba</v>
      </c>
      <c r="M1084" s="7" t="str">
        <f t="shared" si="182"/>
        <v>V.Suman</v>
      </c>
      <c r="N1084" s="6">
        <f t="shared" si="188"/>
        <v>0</v>
      </c>
      <c r="O1084" s="6">
        <f t="shared" si="187"/>
        <v>2</v>
      </c>
      <c r="P1084" s="6" t="str">
        <f t="shared" si="183"/>
        <v>N</v>
      </c>
      <c r="Q1084" s="6">
        <f t="shared" si="184"/>
        <v>10</v>
      </c>
      <c r="R1084" s="6" t="str">
        <f t="shared" si="185"/>
        <v>2018</v>
      </c>
      <c r="S1084" s="6" t="str">
        <f t="shared" si="186"/>
        <v>Mar</v>
      </c>
    </row>
    <row r="1085" spans="1:19" x14ac:dyDescent="0.25">
      <c r="A1085" s="6">
        <v>685</v>
      </c>
      <c r="B1085" s="6" t="str">
        <f t="shared" si="178"/>
        <v>NIKMIS00685</v>
      </c>
      <c r="C1085" s="7" t="s">
        <v>864</v>
      </c>
      <c r="D1085" s="7" t="s">
        <v>68</v>
      </c>
      <c r="E1085" s="7" t="str">
        <f t="shared" si="179"/>
        <v>NAGENDRA KUMAR</v>
      </c>
      <c r="F1085" s="7" t="s">
        <v>15</v>
      </c>
      <c r="G1085" s="22">
        <v>41701</v>
      </c>
      <c r="H1085" s="8">
        <v>70954</v>
      </c>
      <c r="I1085" s="7" t="str">
        <f t="shared" si="180"/>
        <v>nagendra.kumar@mi.kur.ba</v>
      </c>
      <c r="J1085" s="6" t="s">
        <v>1538</v>
      </c>
      <c r="K1085" s="6">
        <v>59</v>
      </c>
      <c r="L1085" s="7" t="str">
        <f t="shared" si="181"/>
        <v>mi.kur.ba</v>
      </c>
      <c r="M1085" s="7" t="str">
        <f t="shared" si="182"/>
        <v>K.Nagendra</v>
      </c>
      <c r="N1085" s="6">
        <f t="shared" si="188"/>
        <v>4</v>
      </c>
      <c r="O1085" s="6">
        <f t="shared" si="187"/>
        <v>0</v>
      </c>
      <c r="P1085" s="6" t="str">
        <f t="shared" si="183"/>
        <v>N</v>
      </c>
      <c r="Q1085" s="6">
        <f t="shared" si="184"/>
        <v>13</v>
      </c>
      <c r="R1085" s="6" t="str">
        <f t="shared" si="185"/>
        <v>2014</v>
      </c>
      <c r="S1085" s="6" t="str">
        <f t="shared" si="186"/>
        <v>Mar</v>
      </c>
    </row>
    <row r="1086" spans="1:19" x14ac:dyDescent="0.25">
      <c r="A1086" s="6">
        <v>686</v>
      </c>
      <c r="B1086" s="6" t="str">
        <f t="shared" si="178"/>
        <v>NIKMIS00686</v>
      </c>
      <c r="C1086" s="7" t="s">
        <v>31</v>
      </c>
      <c r="D1086" s="7"/>
      <c r="E1086" s="7" t="str">
        <f t="shared" si="179"/>
        <v>JOHNY</v>
      </c>
      <c r="F1086" s="7" t="s">
        <v>15</v>
      </c>
      <c r="G1086" s="22">
        <v>42656</v>
      </c>
      <c r="H1086" s="8">
        <v>103418</v>
      </c>
      <c r="I1086" s="7" t="str">
        <f t="shared" si="180"/>
        <v>johny.@mi..ba</v>
      </c>
      <c r="J1086" s="6" t="s">
        <v>1537</v>
      </c>
      <c r="K1086" s="6">
        <v>78</v>
      </c>
      <c r="L1086" s="7" t="str">
        <f t="shared" si="181"/>
        <v>mi..ba</v>
      </c>
      <c r="M1086" s="7" t="str">
        <f t="shared" si="182"/>
        <v>.Johny</v>
      </c>
      <c r="N1086" s="6">
        <f t="shared" si="188"/>
        <v>0</v>
      </c>
      <c r="O1086" s="6">
        <f t="shared" si="187"/>
        <v>0</v>
      </c>
      <c r="P1086" s="6" t="str">
        <f t="shared" si="183"/>
        <v>N</v>
      </c>
      <c r="Q1086" s="6">
        <f t="shared" si="184"/>
        <v>5</v>
      </c>
      <c r="R1086" s="6" t="str">
        <f t="shared" si="185"/>
        <v>2016</v>
      </c>
      <c r="S1086" s="6" t="str">
        <f t="shared" si="186"/>
        <v>Oct</v>
      </c>
    </row>
    <row r="1087" spans="1:19" x14ac:dyDescent="0.25">
      <c r="A1087" s="6">
        <v>703</v>
      </c>
      <c r="B1087" s="6" t="str">
        <f t="shared" si="178"/>
        <v>NIKMIS00703</v>
      </c>
      <c r="C1087" s="7" t="s">
        <v>644</v>
      </c>
      <c r="D1087" s="7" t="s">
        <v>293</v>
      </c>
      <c r="E1087" s="7" t="str">
        <f t="shared" si="179"/>
        <v>NIKITA JAGDISH</v>
      </c>
      <c r="F1087" s="7" t="s">
        <v>15</v>
      </c>
      <c r="G1087" s="22">
        <v>42917</v>
      </c>
      <c r="H1087" s="8">
        <v>72684</v>
      </c>
      <c r="I1087" s="7" t="str">
        <f t="shared" si="180"/>
        <v>nikita.jagdish@mi.jah.ba</v>
      </c>
      <c r="J1087" s="6" t="s">
        <v>1551</v>
      </c>
      <c r="K1087" s="6">
        <v>64</v>
      </c>
      <c r="L1087" s="7" t="str">
        <f t="shared" si="181"/>
        <v>mi.jah.ba</v>
      </c>
      <c r="M1087" s="7" t="str">
        <f t="shared" si="182"/>
        <v>J.Nikita</v>
      </c>
      <c r="N1087" s="6">
        <f t="shared" si="188"/>
        <v>0</v>
      </c>
      <c r="O1087" s="6">
        <f t="shared" si="187"/>
        <v>0</v>
      </c>
      <c r="P1087" s="6" t="str">
        <f t="shared" si="183"/>
        <v>N</v>
      </c>
      <c r="Q1087" s="6">
        <f t="shared" si="184"/>
        <v>13</v>
      </c>
      <c r="R1087" s="6" t="str">
        <f t="shared" si="185"/>
        <v>2017</v>
      </c>
      <c r="S1087" s="6" t="str">
        <f t="shared" si="186"/>
        <v>Jul</v>
      </c>
    </row>
    <row r="1088" spans="1:19" x14ac:dyDescent="0.25">
      <c r="A1088" s="6">
        <v>718</v>
      </c>
      <c r="B1088" s="6" t="str">
        <f t="shared" si="178"/>
        <v>NIKMIS00718</v>
      </c>
      <c r="C1088" s="7" t="s">
        <v>895</v>
      </c>
      <c r="D1088" s="7" t="s">
        <v>488</v>
      </c>
      <c r="E1088" s="7" t="str">
        <f t="shared" si="179"/>
        <v>SHAISHVI KAMLESH</v>
      </c>
      <c r="F1088" s="7" t="s">
        <v>15</v>
      </c>
      <c r="G1088" s="22">
        <v>43012</v>
      </c>
      <c r="H1088" s="8">
        <v>41792</v>
      </c>
      <c r="I1088" s="7" t="str">
        <f t="shared" si="180"/>
        <v>shaishvi.kamlesh@mi.kah.ba</v>
      </c>
      <c r="J1088" s="6" t="s">
        <v>1532</v>
      </c>
      <c r="K1088" s="6">
        <v>39</v>
      </c>
      <c r="L1088" s="7" t="str">
        <f t="shared" si="181"/>
        <v>mi.kah.ba</v>
      </c>
      <c r="M1088" s="7" t="str">
        <f t="shared" si="182"/>
        <v>K.Shaishvi</v>
      </c>
      <c r="N1088" s="6">
        <f t="shared" si="188"/>
        <v>0</v>
      </c>
      <c r="O1088" s="6">
        <f t="shared" si="187"/>
        <v>5</v>
      </c>
      <c r="P1088" s="6" t="str">
        <f t="shared" si="183"/>
        <v>N</v>
      </c>
      <c r="Q1088" s="6">
        <f t="shared" si="184"/>
        <v>15</v>
      </c>
      <c r="R1088" s="6" t="str">
        <f t="shared" si="185"/>
        <v>2017</v>
      </c>
      <c r="S1088" s="6" t="str">
        <f t="shared" si="186"/>
        <v>Oct</v>
      </c>
    </row>
    <row r="1089" spans="1:19" x14ac:dyDescent="0.25">
      <c r="A1089" s="6">
        <v>730</v>
      </c>
      <c r="B1089" s="6" t="str">
        <f t="shared" si="178"/>
        <v>NIKMIS00730</v>
      </c>
      <c r="C1089" s="7" t="s">
        <v>517</v>
      </c>
      <c r="D1089" s="7" t="s">
        <v>97</v>
      </c>
      <c r="E1089" s="7" t="str">
        <f t="shared" si="179"/>
        <v>RAJENDER AGNIHOTRI</v>
      </c>
      <c r="F1089" s="7" t="s">
        <v>15</v>
      </c>
      <c r="G1089" s="22">
        <v>42922</v>
      </c>
      <c r="H1089" s="8">
        <v>33458</v>
      </c>
      <c r="I1089" s="7" t="str">
        <f t="shared" si="180"/>
        <v>rajender.agnihotri@mi.agi.ba</v>
      </c>
      <c r="J1089" s="6" t="s">
        <v>1543</v>
      </c>
      <c r="K1089" s="6">
        <v>65</v>
      </c>
      <c r="L1089" s="7" t="str">
        <f t="shared" si="181"/>
        <v>mi.agi.ba</v>
      </c>
      <c r="M1089" s="7" t="str">
        <f t="shared" si="182"/>
        <v>A.Rajender</v>
      </c>
      <c r="N1089" s="6">
        <f t="shared" si="188"/>
        <v>4</v>
      </c>
      <c r="O1089" s="6">
        <f t="shared" si="187"/>
        <v>0</v>
      </c>
      <c r="P1089" s="6" t="str">
        <f t="shared" si="183"/>
        <v>N</v>
      </c>
      <c r="Q1089" s="6">
        <f t="shared" si="184"/>
        <v>17</v>
      </c>
      <c r="R1089" s="6" t="str">
        <f t="shared" si="185"/>
        <v>2017</v>
      </c>
      <c r="S1089" s="6" t="str">
        <f t="shared" si="186"/>
        <v>Jul</v>
      </c>
    </row>
    <row r="1090" spans="1:19" x14ac:dyDescent="0.25">
      <c r="A1090" s="6">
        <v>734</v>
      </c>
      <c r="B1090" s="6" t="str">
        <f t="shared" ref="B1090:B1153" si="189">_xlfn.TEXTJOIN("",TRUE,"NIK",UPPER(LEFT(SUBSTITUTE(SUBSTITUTE(F1090," ",""),"&amp;",""),3)),TEXT(A1090,"00000"))</f>
        <v>NIKMIS00734</v>
      </c>
      <c r="C1090" s="7" t="s">
        <v>320</v>
      </c>
      <c r="D1090" s="7" t="s">
        <v>68</v>
      </c>
      <c r="E1090" s="7" t="str">
        <f t="shared" ref="E1090:E1153" si="190">_xlfn.TEXTJOIN(" ",TRUE,C1090,D1090)</f>
        <v>VISHAL KUMAR</v>
      </c>
      <c r="F1090" s="7" t="s">
        <v>15</v>
      </c>
      <c r="G1090" s="22">
        <v>42795</v>
      </c>
      <c r="H1090" s="8">
        <v>83935</v>
      </c>
      <c r="I1090" s="7" t="str">
        <f t="shared" ref="I1090:I1153" si="191">LOWER(C1090&amp;"."&amp;D1090&amp;"@"&amp;LEFT(SUBSTITUTE(F1090," ",""),2))&amp;LOWER("."&amp;LEFT(D1090,2))&amp;LOWER(RIGHT(D1090,1))&amp;".ba"</f>
        <v>vishal.kumar@mi.kur.ba</v>
      </c>
      <c r="J1090" s="6" t="s">
        <v>1546</v>
      </c>
      <c r="K1090" s="6">
        <v>45</v>
      </c>
      <c r="L1090" s="7" t="str">
        <f t="shared" ref="L1090:L1153" si="192">RIGHT(I1090,LEN(I1090)-FIND("@",I1090))</f>
        <v>mi.kur.ba</v>
      </c>
      <c r="M1090" s="7" t="str">
        <f t="shared" ref="M1090:M1153" si="193">UPPER(LEFT(D1090,1))&amp;"."&amp;PROPER(C1090)</f>
        <v>K.Vishal</v>
      </c>
      <c r="N1090" s="6">
        <f t="shared" si="188"/>
        <v>0</v>
      </c>
      <c r="O1090" s="6">
        <f t="shared" si="187"/>
        <v>0</v>
      </c>
      <c r="P1090" s="6" t="str">
        <f t="shared" ref="P1090:P1153" si="194">IF(AND(N1090&gt;=1,O1090&gt;=1),"Y","N")</f>
        <v>N</v>
      </c>
      <c r="Q1090" s="6">
        <f t="shared" ref="Q1090:Q1153" si="195">LEN(SUBSTITUTE(E1090, " ", ""))</f>
        <v>11</v>
      </c>
      <c r="R1090" s="6" t="str">
        <f t="shared" ref="R1090:R1153" si="196">TEXT(G1090,"YYYY")</f>
        <v>2017</v>
      </c>
      <c r="S1090" s="6" t="str">
        <f t="shared" ref="S1090:S1153" si="197">TEXT(G1090,"MMM")</f>
        <v>Mar</v>
      </c>
    </row>
    <row r="1091" spans="1:19" x14ac:dyDescent="0.25">
      <c r="A1091" s="6">
        <v>738</v>
      </c>
      <c r="B1091" s="6" t="str">
        <f t="shared" si="189"/>
        <v>NIKMIS00738</v>
      </c>
      <c r="C1091" s="7" t="s">
        <v>910</v>
      </c>
      <c r="D1091" s="7" t="s">
        <v>498</v>
      </c>
      <c r="E1091" s="7" t="str">
        <f t="shared" si="190"/>
        <v>GAURAVDEEP KAUR</v>
      </c>
      <c r="F1091" s="7" t="s">
        <v>15</v>
      </c>
      <c r="G1091" s="22">
        <v>43019</v>
      </c>
      <c r="H1091" s="8">
        <v>101374</v>
      </c>
      <c r="I1091" s="7" t="str">
        <f t="shared" si="191"/>
        <v>gauravdeep.kaur@mi.kar.ba</v>
      </c>
      <c r="J1091" s="6" t="s">
        <v>1540</v>
      </c>
      <c r="K1091" s="6">
        <v>79</v>
      </c>
      <c r="L1091" s="7" t="str">
        <f t="shared" si="192"/>
        <v>mi.kar.ba</v>
      </c>
      <c r="M1091" s="7" t="str">
        <f t="shared" si="193"/>
        <v>K.Gauravdeep</v>
      </c>
      <c r="N1091" s="6">
        <f t="shared" si="188"/>
        <v>8</v>
      </c>
      <c r="O1091" s="6">
        <f t="shared" si="187"/>
        <v>0</v>
      </c>
      <c r="P1091" s="6" t="str">
        <f t="shared" si="194"/>
        <v>N</v>
      </c>
      <c r="Q1091" s="6">
        <f t="shared" si="195"/>
        <v>14</v>
      </c>
      <c r="R1091" s="6" t="str">
        <f t="shared" si="196"/>
        <v>2017</v>
      </c>
      <c r="S1091" s="6" t="str">
        <f t="shared" si="197"/>
        <v>Oct</v>
      </c>
    </row>
    <row r="1092" spans="1:19" x14ac:dyDescent="0.25">
      <c r="A1092" s="6">
        <v>751</v>
      </c>
      <c r="B1092" s="6" t="str">
        <f t="shared" si="189"/>
        <v>NIKMIS00751</v>
      </c>
      <c r="C1092" s="7" t="s">
        <v>592</v>
      </c>
      <c r="D1092" s="7" t="s">
        <v>920</v>
      </c>
      <c r="E1092" s="7" t="str">
        <f t="shared" si="190"/>
        <v>DHWANI JADHAV</v>
      </c>
      <c r="F1092" s="7" t="s">
        <v>15</v>
      </c>
      <c r="G1092" s="22">
        <v>43057</v>
      </c>
      <c r="H1092" s="8">
        <v>44817</v>
      </c>
      <c r="I1092" s="7" t="str">
        <f t="shared" si="191"/>
        <v>dhwani.jadhav@mi.jav.ba</v>
      </c>
      <c r="J1092" s="6" t="s">
        <v>1536</v>
      </c>
      <c r="K1092" s="6">
        <v>37</v>
      </c>
      <c r="L1092" s="7" t="str">
        <f t="shared" si="192"/>
        <v>mi.jav.ba</v>
      </c>
      <c r="M1092" s="7" t="str">
        <f t="shared" si="193"/>
        <v>J.Dhwani</v>
      </c>
      <c r="N1092" s="6">
        <f t="shared" si="188"/>
        <v>0</v>
      </c>
      <c r="O1092" s="6">
        <f t="shared" si="187"/>
        <v>0</v>
      </c>
      <c r="P1092" s="6" t="str">
        <f t="shared" si="194"/>
        <v>N</v>
      </c>
      <c r="Q1092" s="6">
        <f t="shared" si="195"/>
        <v>12</v>
      </c>
      <c r="R1092" s="6" t="str">
        <f t="shared" si="196"/>
        <v>2017</v>
      </c>
      <c r="S1092" s="6" t="str">
        <f t="shared" si="197"/>
        <v>Nov</v>
      </c>
    </row>
    <row r="1093" spans="1:19" x14ac:dyDescent="0.25">
      <c r="A1093" s="6">
        <v>771</v>
      </c>
      <c r="B1093" s="6" t="str">
        <f t="shared" si="189"/>
        <v>NIKMIS00771</v>
      </c>
      <c r="C1093" s="7" t="s">
        <v>935</v>
      </c>
      <c r="D1093" s="7" t="s">
        <v>936</v>
      </c>
      <c r="E1093" s="7" t="str">
        <f t="shared" si="190"/>
        <v>ABHAYKUMAR DHANANJAY</v>
      </c>
      <c r="F1093" s="7" t="s">
        <v>15</v>
      </c>
      <c r="G1093" s="22">
        <v>43040</v>
      </c>
      <c r="H1093" s="8">
        <v>32411</v>
      </c>
      <c r="I1093" s="7" t="str">
        <f t="shared" si="191"/>
        <v>abhaykumar.dhananjay@mi.dhy.ba</v>
      </c>
      <c r="J1093" s="6" t="s">
        <v>1540</v>
      </c>
      <c r="K1093" s="6">
        <v>58</v>
      </c>
      <c r="L1093" s="7" t="str">
        <f t="shared" si="192"/>
        <v>mi.dhy.ba</v>
      </c>
      <c r="M1093" s="7" t="str">
        <f t="shared" si="193"/>
        <v>D.Abhaykumar</v>
      </c>
      <c r="N1093" s="6">
        <f t="shared" si="188"/>
        <v>0</v>
      </c>
      <c r="O1093" s="6">
        <f t="shared" si="187"/>
        <v>0</v>
      </c>
      <c r="P1093" s="6" t="str">
        <f t="shared" si="194"/>
        <v>N</v>
      </c>
      <c r="Q1093" s="6">
        <f t="shared" si="195"/>
        <v>19</v>
      </c>
      <c r="R1093" s="6" t="str">
        <f t="shared" si="196"/>
        <v>2017</v>
      </c>
      <c r="S1093" s="6" t="str">
        <f t="shared" si="197"/>
        <v>Nov</v>
      </c>
    </row>
    <row r="1094" spans="1:19" x14ac:dyDescent="0.25">
      <c r="A1094" s="6">
        <v>772</v>
      </c>
      <c r="B1094" s="6" t="str">
        <f t="shared" si="189"/>
        <v>NIKMIS00772</v>
      </c>
      <c r="C1094" s="7" t="s">
        <v>803</v>
      </c>
      <c r="D1094" s="7" t="s">
        <v>70</v>
      </c>
      <c r="E1094" s="7" t="str">
        <f t="shared" si="190"/>
        <v>YOGESH SINGH</v>
      </c>
      <c r="F1094" s="7" t="s">
        <v>15</v>
      </c>
      <c r="G1094" s="22">
        <v>43115</v>
      </c>
      <c r="H1094" s="8">
        <v>26390</v>
      </c>
      <c r="I1094" s="7" t="str">
        <f t="shared" si="191"/>
        <v>yogesh.singh@mi.sih.ba</v>
      </c>
      <c r="J1094" s="6" t="s">
        <v>1537</v>
      </c>
      <c r="K1094" s="6">
        <v>87</v>
      </c>
      <c r="L1094" s="7" t="str">
        <f t="shared" si="192"/>
        <v>mi.sih.ba</v>
      </c>
      <c r="M1094" s="7" t="str">
        <f t="shared" si="193"/>
        <v>S.Yogesh</v>
      </c>
      <c r="N1094" s="6">
        <f t="shared" si="188"/>
        <v>4</v>
      </c>
      <c r="O1094" s="6">
        <f t="shared" si="187"/>
        <v>0</v>
      </c>
      <c r="P1094" s="6" t="str">
        <f t="shared" si="194"/>
        <v>N</v>
      </c>
      <c r="Q1094" s="6">
        <f t="shared" si="195"/>
        <v>11</v>
      </c>
      <c r="R1094" s="6" t="str">
        <f t="shared" si="196"/>
        <v>2018</v>
      </c>
      <c r="S1094" s="6" t="str">
        <f t="shared" si="197"/>
        <v>Jan</v>
      </c>
    </row>
    <row r="1095" spans="1:19" x14ac:dyDescent="0.25">
      <c r="A1095" s="6">
        <v>798</v>
      </c>
      <c r="B1095" s="6" t="str">
        <f t="shared" si="189"/>
        <v>NIKMIS00798</v>
      </c>
      <c r="C1095" s="7" t="s">
        <v>798</v>
      </c>
      <c r="D1095" s="7" t="s">
        <v>62</v>
      </c>
      <c r="E1095" s="7" t="str">
        <f t="shared" si="190"/>
        <v>NIVESH JAIN</v>
      </c>
      <c r="F1095" s="7" t="s">
        <v>15</v>
      </c>
      <c r="G1095" s="22">
        <v>43283</v>
      </c>
      <c r="H1095" s="8">
        <v>58890</v>
      </c>
      <c r="I1095" s="7" t="str">
        <f t="shared" si="191"/>
        <v>nivesh.jain@mi.jan.ba</v>
      </c>
      <c r="J1095" s="6" t="s">
        <v>1538</v>
      </c>
      <c r="K1095" s="6">
        <v>85</v>
      </c>
      <c r="L1095" s="7" t="str">
        <f t="shared" si="192"/>
        <v>mi.jan.ba</v>
      </c>
      <c r="M1095" s="7" t="str">
        <f t="shared" si="193"/>
        <v>J.Nivesh</v>
      </c>
      <c r="N1095" s="6">
        <f t="shared" si="188"/>
        <v>4</v>
      </c>
      <c r="O1095" s="6">
        <f t="shared" si="187"/>
        <v>0</v>
      </c>
      <c r="P1095" s="6" t="str">
        <f t="shared" si="194"/>
        <v>N</v>
      </c>
      <c r="Q1095" s="6">
        <f t="shared" si="195"/>
        <v>10</v>
      </c>
      <c r="R1095" s="6" t="str">
        <f t="shared" si="196"/>
        <v>2018</v>
      </c>
      <c r="S1095" s="6" t="str">
        <f t="shared" si="197"/>
        <v>Jul</v>
      </c>
    </row>
    <row r="1096" spans="1:19" x14ac:dyDescent="0.25">
      <c r="A1096" s="6">
        <v>799</v>
      </c>
      <c r="B1096" s="6" t="str">
        <f t="shared" si="189"/>
        <v>NIKMIS00799</v>
      </c>
      <c r="C1096" s="7" t="s">
        <v>959</v>
      </c>
      <c r="D1096" s="7" t="s">
        <v>490</v>
      </c>
      <c r="E1096" s="7" t="str">
        <f t="shared" si="190"/>
        <v>GIRISH KANTILAL</v>
      </c>
      <c r="F1096" s="7" t="s">
        <v>15</v>
      </c>
      <c r="G1096" s="22">
        <v>43350</v>
      </c>
      <c r="H1096" s="8">
        <v>36206</v>
      </c>
      <c r="I1096" s="7" t="str">
        <f t="shared" si="191"/>
        <v>girish.kantilal@mi.kal.ba</v>
      </c>
      <c r="J1096" s="6" t="s">
        <v>1551</v>
      </c>
      <c r="K1096" s="6">
        <v>73</v>
      </c>
      <c r="L1096" s="7" t="str">
        <f t="shared" si="192"/>
        <v>mi.kal.ba</v>
      </c>
      <c r="M1096" s="7" t="str">
        <f t="shared" si="193"/>
        <v>K.Girish</v>
      </c>
      <c r="N1096" s="6">
        <f t="shared" si="188"/>
        <v>0</v>
      </c>
      <c r="O1096" s="6">
        <f t="shared" si="187"/>
        <v>0</v>
      </c>
      <c r="P1096" s="6" t="str">
        <f t="shared" si="194"/>
        <v>N</v>
      </c>
      <c r="Q1096" s="6">
        <f t="shared" si="195"/>
        <v>14</v>
      </c>
      <c r="R1096" s="6" t="str">
        <f t="shared" si="196"/>
        <v>2018</v>
      </c>
      <c r="S1096" s="6" t="str">
        <f t="shared" si="197"/>
        <v>Sep</v>
      </c>
    </row>
    <row r="1097" spans="1:19" x14ac:dyDescent="0.25">
      <c r="A1097" s="6">
        <v>804</v>
      </c>
      <c r="B1097" s="6" t="str">
        <f t="shared" si="189"/>
        <v>NIKMIS00804</v>
      </c>
      <c r="C1097" s="7" t="s">
        <v>261</v>
      </c>
      <c r="D1097" s="7" t="s">
        <v>271</v>
      </c>
      <c r="E1097" s="7" t="str">
        <f t="shared" si="190"/>
        <v>ADITYA AGRAWAL</v>
      </c>
      <c r="F1097" s="7" t="s">
        <v>15</v>
      </c>
      <c r="G1097" s="22">
        <v>43313</v>
      </c>
      <c r="H1097" s="8">
        <v>37402</v>
      </c>
      <c r="I1097" s="7" t="str">
        <f t="shared" si="191"/>
        <v>aditya.agrawal@mi.agl.ba</v>
      </c>
      <c r="J1097" s="6" t="s">
        <v>1549</v>
      </c>
      <c r="K1097" s="6">
        <v>40</v>
      </c>
      <c r="L1097" s="7" t="str">
        <f t="shared" si="192"/>
        <v>mi.agl.ba</v>
      </c>
      <c r="M1097" s="7" t="str">
        <f t="shared" si="193"/>
        <v>A.Aditya</v>
      </c>
      <c r="N1097" s="6">
        <f t="shared" si="188"/>
        <v>0</v>
      </c>
      <c r="O1097" s="6">
        <f t="shared" si="187"/>
        <v>0</v>
      </c>
      <c r="P1097" s="6" t="str">
        <f t="shared" si="194"/>
        <v>N</v>
      </c>
      <c r="Q1097" s="6">
        <f t="shared" si="195"/>
        <v>13</v>
      </c>
      <c r="R1097" s="6" t="str">
        <f t="shared" si="196"/>
        <v>2018</v>
      </c>
      <c r="S1097" s="6" t="str">
        <f t="shared" si="197"/>
        <v>Aug</v>
      </c>
    </row>
    <row r="1098" spans="1:19" x14ac:dyDescent="0.25">
      <c r="A1098" s="6">
        <v>813</v>
      </c>
      <c r="B1098" s="6" t="str">
        <f t="shared" si="189"/>
        <v>NIKMIS00813</v>
      </c>
      <c r="C1098" s="7" t="s">
        <v>250</v>
      </c>
      <c r="D1098" s="7" t="s">
        <v>976</v>
      </c>
      <c r="E1098" s="7" t="str">
        <f t="shared" si="190"/>
        <v>TUSHAR BALASAHEB</v>
      </c>
      <c r="F1098" s="7" t="s">
        <v>15</v>
      </c>
      <c r="G1098" s="22">
        <v>43591</v>
      </c>
      <c r="H1098" s="8">
        <v>37554</v>
      </c>
      <c r="I1098" s="7" t="str">
        <f t="shared" si="191"/>
        <v>tushar.balasaheb@mi.bab.ba</v>
      </c>
      <c r="J1098" s="6" t="s">
        <v>1538</v>
      </c>
      <c r="K1098" s="6">
        <v>37</v>
      </c>
      <c r="L1098" s="7" t="str">
        <f t="shared" si="192"/>
        <v>mi.bab.ba</v>
      </c>
      <c r="M1098" s="7" t="str">
        <f t="shared" si="193"/>
        <v>B.Tushar</v>
      </c>
      <c r="N1098" s="6">
        <f t="shared" si="188"/>
        <v>0</v>
      </c>
      <c r="O1098" s="6">
        <f t="shared" si="187"/>
        <v>8</v>
      </c>
      <c r="P1098" s="6" t="str">
        <f t="shared" si="194"/>
        <v>N</v>
      </c>
      <c r="Q1098" s="6">
        <f t="shared" si="195"/>
        <v>15</v>
      </c>
      <c r="R1098" s="6" t="str">
        <f t="shared" si="196"/>
        <v>2019</v>
      </c>
      <c r="S1098" s="6" t="str">
        <f t="shared" si="197"/>
        <v>May</v>
      </c>
    </row>
    <row r="1099" spans="1:19" x14ac:dyDescent="0.25">
      <c r="A1099" s="6">
        <v>818</v>
      </c>
      <c r="B1099" s="6" t="str">
        <f t="shared" si="189"/>
        <v>NIKMIS00818</v>
      </c>
      <c r="C1099" s="7" t="s">
        <v>979</v>
      </c>
      <c r="D1099" s="7" t="s">
        <v>980</v>
      </c>
      <c r="E1099" s="7" t="str">
        <f t="shared" si="190"/>
        <v>DHRUV CHOUDARY</v>
      </c>
      <c r="F1099" s="7" t="s">
        <v>15</v>
      </c>
      <c r="G1099" s="22">
        <v>43328</v>
      </c>
      <c r="H1099" s="8">
        <v>41737</v>
      </c>
      <c r="I1099" s="7" t="str">
        <f t="shared" si="191"/>
        <v>dhruv.choudary@mi.chy.ba</v>
      </c>
      <c r="J1099" s="6" t="s">
        <v>1542</v>
      </c>
      <c r="K1099" s="6">
        <v>44</v>
      </c>
      <c r="L1099" s="7" t="str">
        <f t="shared" si="192"/>
        <v>mi.chy.ba</v>
      </c>
      <c r="M1099" s="7" t="str">
        <f t="shared" si="193"/>
        <v>C.Dhruv</v>
      </c>
      <c r="N1099" s="6">
        <f t="shared" si="188"/>
        <v>0</v>
      </c>
      <c r="O1099" s="6">
        <f t="shared" si="187"/>
        <v>0</v>
      </c>
      <c r="P1099" s="6" t="str">
        <f t="shared" si="194"/>
        <v>N</v>
      </c>
      <c r="Q1099" s="6">
        <f t="shared" si="195"/>
        <v>13</v>
      </c>
      <c r="R1099" s="6" t="str">
        <f t="shared" si="196"/>
        <v>2018</v>
      </c>
      <c r="S1099" s="6" t="str">
        <f t="shared" si="197"/>
        <v>Aug</v>
      </c>
    </row>
    <row r="1100" spans="1:19" x14ac:dyDescent="0.25">
      <c r="A1100" s="6">
        <v>828</v>
      </c>
      <c r="B1100" s="6" t="str">
        <f t="shared" si="189"/>
        <v>NIKMIS00828</v>
      </c>
      <c r="C1100" s="7" t="s">
        <v>307</v>
      </c>
      <c r="D1100" s="7" t="s">
        <v>55</v>
      </c>
      <c r="E1100" s="7" t="str">
        <f t="shared" si="190"/>
        <v>HEMANT SHARMA</v>
      </c>
      <c r="F1100" s="7" t="s">
        <v>15</v>
      </c>
      <c r="G1100" s="22">
        <v>43556</v>
      </c>
      <c r="H1100" s="8">
        <v>74355</v>
      </c>
      <c r="I1100" s="7" t="str">
        <f t="shared" si="191"/>
        <v>hemant.sharma@mi.sha.ba</v>
      </c>
      <c r="J1100" s="6" t="s">
        <v>1533</v>
      </c>
      <c r="K1100" s="6">
        <v>57</v>
      </c>
      <c r="L1100" s="7" t="str">
        <f t="shared" si="192"/>
        <v>mi.sha.ba</v>
      </c>
      <c r="M1100" s="7" t="str">
        <f t="shared" si="193"/>
        <v>S.Hemant</v>
      </c>
      <c r="N1100" s="6">
        <f t="shared" si="188"/>
        <v>2</v>
      </c>
      <c r="O1100" s="6">
        <f t="shared" si="187"/>
        <v>0</v>
      </c>
      <c r="P1100" s="6" t="str">
        <f t="shared" si="194"/>
        <v>N</v>
      </c>
      <c r="Q1100" s="6">
        <f t="shared" si="195"/>
        <v>12</v>
      </c>
      <c r="R1100" s="6" t="str">
        <f t="shared" si="196"/>
        <v>2019</v>
      </c>
      <c r="S1100" s="6" t="str">
        <f t="shared" si="197"/>
        <v>Apr</v>
      </c>
    </row>
    <row r="1101" spans="1:19" x14ac:dyDescent="0.25">
      <c r="A1101" s="6">
        <v>831</v>
      </c>
      <c r="B1101" s="6" t="str">
        <f t="shared" si="189"/>
        <v>NIKMIS00831</v>
      </c>
      <c r="C1101" s="7" t="s">
        <v>922</v>
      </c>
      <c r="D1101" s="7" t="s">
        <v>890</v>
      </c>
      <c r="E1101" s="7" t="str">
        <f t="shared" si="190"/>
        <v>VASHISTHA VIJAYKUMAR</v>
      </c>
      <c r="F1101" s="7" t="s">
        <v>15</v>
      </c>
      <c r="G1101" s="22">
        <v>43162</v>
      </c>
      <c r="H1101" s="8">
        <v>57016</v>
      </c>
      <c r="I1101" s="7" t="str">
        <f t="shared" si="191"/>
        <v>vashistha.vijaykumar@mi.vir.ba</v>
      </c>
      <c r="J1101" s="6" t="s">
        <v>1534</v>
      </c>
      <c r="K1101" s="6">
        <v>85</v>
      </c>
      <c r="L1101" s="7" t="str">
        <f t="shared" si="192"/>
        <v>mi.vir.ba</v>
      </c>
      <c r="M1101" s="7" t="str">
        <f t="shared" si="193"/>
        <v>V.Vashistha</v>
      </c>
      <c r="N1101" s="6">
        <f t="shared" si="188"/>
        <v>0</v>
      </c>
      <c r="O1101" s="6">
        <f t="shared" si="187"/>
        <v>0</v>
      </c>
      <c r="P1101" s="6" t="str">
        <f t="shared" si="194"/>
        <v>N</v>
      </c>
      <c r="Q1101" s="6">
        <f t="shared" si="195"/>
        <v>19</v>
      </c>
      <c r="R1101" s="6" t="str">
        <f t="shared" si="196"/>
        <v>2018</v>
      </c>
      <c r="S1101" s="6" t="str">
        <f t="shared" si="197"/>
        <v>Mar</v>
      </c>
    </row>
    <row r="1102" spans="1:19" x14ac:dyDescent="0.25">
      <c r="A1102" s="6">
        <v>836</v>
      </c>
      <c r="B1102" s="6" t="str">
        <f t="shared" si="189"/>
        <v>NIKMIS00836</v>
      </c>
      <c r="C1102" s="7" t="s">
        <v>340</v>
      </c>
      <c r="D1102" s="7" t="s">
        <v>341</v>
      </c>
      <c r="E1102" s="7" t="str">
        <f t="shared" si="190"/>
        <v>LAEQUDDIN QURESHI</v>
      </c>
      <c r="F1102" s="7" t="s">
        <v>15</v>
      </c>
      <c r="G1102" s="22">
        <v>42254</v>
      </c>
      <c r="H1102" s="8">
        <v>49882</v>
      </c>
      <c r="I1102" s="7" t="str">
        <f t="shared" si="191"/>
        <v>laequddin.qureshi@mi.qui.ba</v>
      </c>
      <c r="J1102" s="6" t="s">
        <v>1541</v>
      </c>
      <c r="K1102" s="6">
        <v>37</v>
      </c>
      <c r="L1102" s="7" t="str">
        <f t="shared" si="192"/>
        <v>mi.qui.ba</v>
      </c>
      <c r="M1102" s="7" t="str">
        <f t="shared" si="193"/>
        <v>Q.Laequddin</v>
      </c>
      <c r="N1102" s="6">
        <f t="shared" si="188"/>
        <v>3</v>
      </c>
      <c r="O1102" s="6">
        <f t="shared" si="187"/>
        <v>4</v>
      </c>
      <c r="P1102" s="6" t="str">
        <f t="shared" si="194"/>
        <v>Y</v>
      </c>
      <c r="Q1102" s="6">
        <f t="shared" si="195"/>
        <v>16</v>
      </c>
      <c r="R1102" s="6" t="str">
        <f t="shared" si="196"/>
        <v>2015</v>
      </c>
      <c r="S1102" s="6" t="str">
        <f t="shared" si="197"/>
        <v>Sep</v>
      </c>
    </row>
    <row r="1103" spans="1:19" x14ac:dyDescent="0.25">
      <c r="A1103" s="6">
        <v>847</v>
      </c>
      <c r="B1103" s="6" t="str">
        <f t="shared" si="189"/>
        <v>NIKMIS00847</v>
      </c>
      <c r="C1103" s="7" t="s">
        <v>930</v>
      </c>
      <c r="D1103" s="7" t="s">
        <v>170</v>
      </c>
      <c r="E1103" s="7" t="str">
        <f t="shared" si="190"/>
        <v>SNEHAL VINOD</v>
      </c>
      <c r="F1103" s="7" t="s">
        <v>15</v>
      </c>
      <c r="G1103" s="22">
        <v>41445</v>
      </c>
      <c r="H1103" s="8">
        <v>102128</v>
      </c>
      <c r="I1103" s="7" t="str">
        <f t="shared" si="191"/>
        <v>snehal.vinod@mi.vid.ba</v>
      </c>
      <c r="J1103" s="6" t="s">
        <v>1543</v>
      </c>
      <c r="K1103" s="6">
        <v>79</v>
      </c>
      <c r="L1103" s="7" t="str">
        <f t="shared" si="192"/>
        <v>mi.vid.ba</v>
      </c>
      <c r="M1103" s="7" t="str">
        <f t="shared" si="193"/>
        <v>V.Snehal</v>
      </c>
      <c r="N1103" s="6">
        <f t="shared" si="188"/>
        <v>3</v>
      </c>
      <c r="O1103" s="6">
        <f t="shared" si="187"/>
        <v>0</v>
      </c>
      <c r="P1103" s="6" t="str">
        <f t="shared" si="194"/>
        <v>N</v>
      </c>
      <c r="Q1103" s="6">
        <f t="shared" si="195"/>
        <v>11</v>
      </c>
      <c r="R1103" s="6" t="str">
        <f t="shared" si="196"/>
        <v>2013</v>
      </c>
      <c r="S1103" s="6" t="str">
        <f t="shared" si="197"/>
        <v>Jun</v>
      </c>
    </row>
    <row r="1104" spans="1:19" x14ac:dyDescent="0.25">
      <c r="A1104" s="6">
        <v>851</v>
      </c>
      <c r="B1104" s="6" t="str">
        <f t="shared" si="189"/>
        <v>NIKMIS00851</v>
      </c>
      <c r="C1104" s="7" t="s">
        <v>369</v>
      </c>
      <c r="D1104" s="7" t="s">
        <v>370</v>
      </c>
      <c r="E1104" s="7" t="str">
        <f t="shared" si="190"/>
        <v>PALAK PARMAR</v>
      </c>
      <c r="F1104" s="7" t="s">
        <v>15</v>
      </c>
      <c r="G1104" s="22">
        <v>42979</v>
      </c>
      <c r="H1104" s="8">
        <v>104388</v>
      </c>
      <c r="I1104" s="7" t="str">
        <f t="shared" si="191"/>
        <v>palak.parmar@mi.par.ba</v>
      </c>
      <c r="J1104" s="6" t="s">
        <v>1538</v>
      </c>
      <c r="K1104" s="6">
        <v>56</v>
      </c>
      <c r="L1104" s="7" t="str">
        <f t="shared" si="192"/>
        <v>mi.par.ba</v>
      </c>
      <c r="M1104" s="7" t="str">
        <f t="shared" si="193"/>
        <v>P.Palak</v>
      </c>
      <c r="N1104" s="6">
        <f t="shared" si="188"/>
        <v>0</v>
      </c>
      <c r="O1104" s="6">
        <f t="shared" si="187"/>
        <v>0</v>
      </c>
      <c r="P1104" s="6" t="str">
        <f t="shared" si="194"/>
        <v>N</v>
      </c>
      <c r="Q1104" s="6">
        <f t="shared" si="195"/>
        <v>11</v>
      </c>
      <c r="R1104" s="6" t="str">
        <f t="shared" si="196"/>
        <v>2017</v>
      </c>
      <c r="S1104" s="6" t="str">
        <f t="shared" si="197"/>
        <v>Sep</v>
      </c>
    </row>
    <row r="1105" spans="1:19" x14ac:dyDescent="0.25">
      <c r="A1105" s="6">
        <v>862</v>
      </c>
      <c r="B1105" s="6" t="str">
        <f t="shared" si="189"/>
        <v>NIKMIS00862</v>
      </c>
      <c r="C1105" s="7" t="s">
        <v>709</v>
      </c>
      <c r="D1105" s="7" t="s">
        <v>675</v>
      </c>
      <c r="E1105" s="7" t="str">
        <f t="shared" si="190"/>
        <v>MAYANK DEV</v>
      </c>
      <c r="F1105" s="7" t="s">
        <v>15</v>
      </c>
      <c r="G1105" s="22">
        <v>42226</v>
      </c>
      <c r="H1105" s="8">
        <v>109789</v>
      </c>
      <c r="I1105" s="7" t="str">
        <f t="shared" si="191"/>
        <v>mayank.dev@mi.dev.ba</v>
      </c>
      <c r="J1105" s="6" t="s">
        <v>1546</v>
      </c>
      <c r="K1105" s="6">
        <v>64</v>
      </c>
      <c r="L1105" s="7" t="str">
        <f t="shared" si="192"/>
        <v>mi.dev.ba</v>
      </c>
      <c r="M1105" s="7" t="str">
        <f t="shared" si="193"/>
        <v>D.Mayank</v>
      </c>
      <c r="N1105" s="6">
        <f t="shared" si="188"/>
        <v>0</v>
      </c>
      <c r="O1105" s="6">
        <f t="shared" si="187"/>
        <v>2</v>
      </c>
      <c r="P1105" s="6" t="str">
        <f t="shared" si="194"/>
        <v>N</v>
      </c>
      <c r="Q1105" s="6">
        <f t="shared" si="195"/>
        <v>9</v>
      </c>
      <c r="R1105" s="6" t="str">
        <f t="shared" si="196"/>
        <v>2015</v>
      </c>
      <c r="S1105" s="6" t="str">
        <f t="shared" si="197"/>
        <v>Aug</v>
      </c>
    </row>
    <row r="1106" spans="1:19" x14ac:dyDescent="0.25">
      <c r="A1106" s="6">
        <v>886</v>
      </c>
      <c r="B1106" s="6" t="str">
        <f t="shared" si="189"/>
        <v>NIKMIS00886</v>
      </c>
      <c r="C1106" s="7" t="s">
        <v>1029</v>
      </c>
      <c r="D1106" s="7" t="s">
        <v>1030</v>
      </c>
      <c r="E1106" s="7" t="str">
        <f t="shared" si="190"/>
        <v>PRASENJEET BABURAO</v>
      </c>
      <c r="F1106" s="7" t="s">
        <v>15</v>
      </c>
      <c r="G1106" s="22">
        <v>43283</v>
      </c>
      <c r="H1106" s="8">
        <v>77769</v>
      </c>
      <c r="I1106" s="7" t="str">
        <f t="shared" si="191"/>
        <v>prasenjeet.baburao@mi.bao.ba</v>
      </c>
      <c r="J1106" s="6" t="s">
        <v>1544</v>
      </c>
      <c r="K1106" s="6">
        <v>36</v>
      </c>
      <c r="L1106" s="7" t="str">
        <f t="shared" si="192"/>
        <v>mi.bao.ba</v>
      </c>
      <c r="M1106" s="7" t="str">
        <f t="shared" si="193"/>
        <v>B.Prasenjeet</v>
      </c>
      <c r="N1106" s="6">
        <f t="shared" si="188"/>
        <v>5</v>
      </c>
      <c r="O1106" s="6">
        <f t="shared" si="187"/>
        <v>0</v>
      </c>
      <c r="P1106" s="6" t="str">
        <f t="shared" si="194"/>
        <v>N</v>
      </c>
      <c r="Q1106" s="6">
        <f t="shared" si="195"/>
        <v>17</v>
      </c>
      <c r="R1106" s="6" t="str">
        <f t="shared" si="196"/>
        <v>2018</v>
      </c>
      <c r="S1106" s="6" t="str">
        <f t="shared" si="197"/>
        <v>Jul</v>
      </c>
    </row>
    <row r="1107" spans="1:19" x14ac:dyDescent="0.25">
      <c r="A1107" s="6">
        <v>891</v>
      </c>
      <c r="B1107" s="6" t="str">
        <f t="shared" si="189"/>
        <v>NIKMIS00891</v>
      </c>
      <c r="C1107" s="7" t="s">
        <v>1033</v>
      </c>
      <c r="D1107" s="7" t="s">
        <v>1034</v>
      </c>
      <c r="E1107" s="7" t="str">
        <f t="shared" si="190"/>
        <v>LAXMAN SAHEBRAO</v>
      </c>
      <c r="F1107" s="7" t="s">
        <v>15</v>
      </c>
      <c r="G1107" s="22">
        <v>43360</v>
      </c>
      <c r="H1107" s="8">
        <v>93175</v>
      </c>
      <c r="I1107" s="7" t="str">
        <f t="shared" si="191"/>
        <v>laxman.sahebrao@mi.sao.ba</v>
      </c>
      <c r="J1107" s="6" t="s">
        <v>1532</v>
      </c>
      <c r="K1107" s="6">
        <v>35</v>
      </c>
      <c r="L1107" s="7" t="str">
        <f t="shared" si="192"/>
        <v>mi.sao.ba</v>
      </c>
      <c r="M1107" s="7" t="str">
        <f t="shared" si="193"/>
        <v>S.Laxman</v>
      </c>
      <c r="N1107" s="6">
        <f t="shared" si="188"/>
        <v>0</v>
      </c>
      <c r="O1107" s="6">
        <f t="shared" si="187"/>
        <v>4</v>
      </c>
      <c r="P1107" s="6" t="str">
        <f t="shared" si="194"/>
        <v>N</v>
      </c>
      <c r="Q1107" s="6">
        <f t="shared" si="195"/>
        <v>14</v>
      </c>
      <c r="R1107" s="6" t="str">
        <f t="shared" si="196"/>
        <v>2018</v>
      </c>
      <c r="S1107" s="6" t="str">
        <f t="shared" si="197"/>
        <v>Sep</v>
      </c>
    </row>
    <row r="1108" spans="1:19" x14ac:dyDescent="0.25">
      <c r="A1108" s="6">
        <v>892</v>
      </c>
      <c r="B1108" s="6" t="str">
        <f t="shared" si="189"/>
        <v>NIKMIS00892</v>
      </c>
      <c r="C1108" s="7" t="s">
        <v>1035</v>
      </c>
      <c r="D1108" s="7" t="s">
        <v>316</v>
      </c>
      <c r="E1108" s="7" t="str">
        <f t="shared" si="190"/>
        <v>SHONIT MILIND</v>
      </c>
      <c r="F1108" s="7" t="s">
        <v>15</v>
      </c>
      <c r="G1108" s="22">
        <v>43808</v>
      </c>
      <c r="H1108" s="8">
        <v>29213</v>
      </c>
      <c r="I1108" s="7" t="str">
        <f t="shared" si="191"/>
        <v>shonit.milind@mi.mid.ba</v>
      </c>
      <c r="J1108" s="6" t="s">
        <v>1540</v>
      </c>
      <c r="K1108" s="6">
        <v>86</v>
      </c>
      <c r="L1108" s="7" t="str">
        <f t="shared" si="192"/>
        <v>mi.mid.ba</v>
      </c>
      <c r="M1108" s="7" t="str">
        <f t="shared" si="193"/>
        <v>M.Shonit</v>
      </c>
      <c r="N1108" s="6">
        <f t="shared" si="188"/>
        <v>0</v>
      </c>
      <c r="O1108" s="6">
        <f t="shared" si="187"/>
        <v>0</v>
      </c>
      <c r="P1108" s="6" t="str">
        <f t="shared" si="194"/>
        <v>N</v>
      </c>
      <c r="Q1108" s="6">
        <f t="shared" si="195"/>
        <v>12</v>
      </c>
      <c r="R1108" s="6" t="str">
        <f t="shared" si="196"/>
        <v>2019</v>
      </c>
      <c r="S1108" s="6" t="str">
        <f t="shared" si="197"/>
        <v>Dec</v>
      </c>
    </row>
    <row r="1109" spans="1:19" x14ac:dyDescent="0.25">
      <c r="A1109" s="6">
        <v>900</v>
      </c>
      <c r="B1109" s="6" t="str">
        <f t="shared" si="189"/>
        <v>NIKMIS00900</v>
      </c>
      <c r="C1109" s="7" t="s">
        <v>618</v>
      </c>
      <c r="D1109" s="7" t="s">
        <v>1041</v>
      </c>
      <c r="E1109" s="7" t="str">
        <f t="shared" si="190"/>
        <v>SHIV PRATIK</v>
      </c>
      <c r="F1109" s="7" t="s">
        <v>15</v>
      </c>
      <c r="G1109" s="22">
        <v>42236</v>
      </c>
      <c r="H1109" s="8">
        <v>94805</v>
      </c>
      <c r="I1109" s="7" t="str">
        <f t="shared" si="191"/>
        <v>shiv.pratik@mi.prk.ba</v>
      </c>
      <c r="J1109" s="6" t="s">
        <v>1536</v>
      </c>
      <c r="K1109" s="6">
        <v>87</v>
      </c>
      <c r="L1109" s="7" t="str">
        <f t="shared" si="192"/>
        <v>mi.prk.ba</v>
      </c>
      <c r="M1109" s="7" t="str">
        <f t="shared" si="193"/>
        <v>P.Shiv</v>
      </c>
      <c r="N1109" s="6">
        <f t="shared" si="188"/>
        <v>0</v>
      </c>
      <c r="O1109" s="6">
        <f t="shared" si="187"/>
        <v>0</v>
      </c>
      <c r="P1109" s="6" t="str">
        <f t="shared" si="194"/>
        <v>N</v>
      </c>
      <c r="Q1109" s="6">
        <f t="shared" si="195"/>
        <v>10</v>
      </c>
      <c r="R1109" s="6" t="str">
        <f t="shared" si="196"/>
        <v>2015</v>
      </c>
      <c r="S1109" s="6" t="str">
        <f t="shared" si="197"/>
        <v>Aug</v>
      </c>
    </row>
    <row r="1110" spans="1:19" x14ac:dyDescent="0.25">
      <c r="A1110" s="6">
        <v>913</v>
      </c>
      <c r="B1110" s="6" t="str">
        <f t="shared" si="189"/>
        <v>NIKMIS00913</v>
      </c>
      <c r="C1110" s="7" t="s">
        <v>309</v>
      </c>
      <c r="D1110" s="7" t="s">
        <v>970</v>
      </c>
      <c r="E1110" s="7" t="str">
        <f t="shared" si="190"/>
        <v>SUMIT GOYAL</v>
      </c>
      <c r="F1110" s="7" t="s">
        <v>15</v>
      </c>
      <c r="G1110" s="22">
        <v>42949</v>
      </c>
      <c r="H1110" s="8">
        <v>27009</v>
      </c>
      <c r="I1110" s="7" t="str">
        <f t="shared" si="191"/>
        <v>sumit.goyal@mi.gol.ba</v>
      </c>
      <c r="J1110" s="6" t="s">
        <v>1535</v>
      </c>
      <c r="K1110" s="6">
        <v>87</v>
      </c>
      <c r="L1110" s="7" t="str">
        <f t="shared" si="192"/>
        <v>mi.gol.ba</v>
      </c>
      <c r="M1110" s="7" t="str">
        <f t="shared" si="193"/>
        <v>G.Sumit</v>
      </c>
      <c r="N1110" s="6">
        <f t="shared" si="188"/>
        <v>0</v>
      </c>
      <c r="O1110" s="6">
        <f t="shared" si="187"/>
        <v>0</v>
      </c>
      <c r="P1110" s="6" t="str">
        <f t="shared" si="194"/>
        <v>N</v>
      </c>
      <c r="Q1110" s="6">
        <f t="shared" si="195"/>
        <v>10</v>
      </c>
      <c r="R1110" s="6" t="str">
        <f t="shared" si="196"/>
        <v>2017</v>
      </c>
      <c r="S1110" s="6" t="str">
        <f t="shared" si="197"/>
        <v>Aug</v>
      </c>
    </row>
    <row r="1111" spans="1:19" x14ac:dyDescent="0.25">
      <c r="A1111" s="6">
        <v>935</v>
      </c>
      <c r="B1111" s="6" t="str">
        <f t="shared" si="189"/>
        <v>NIKMIS00935</v>
      </c>
      <c r="C1111" s="7" t="s">
        <v>926</v>
      </c>
      <c r="D1111" s="7" t="s">
        <v>338</v>
      </c>
      <c r="E1111" s="7" t="str">
        <f t="shared" si="190"/>
        <v>VISHWA BHAVESH</v>
      </c>
      <c r="F1111" s="7" t="s">
        <v>15</v>
      </c>
      <c r="G1111" s="22">
        <v>43770</v>
      </c>
      <c r="H1111" s="8">
        <v>55260</v>
      </c>
      <c r="I1111" s="7" t="str">
        <f t="shared" si="191"/>
        <v>vishwa.bhavesh@mi.bhh.ba</v>
      </c>
      <c r="J1111" s="6" t="s">
        <v>1549</v>
      </c>
      <c r="K1111" s="6">
        <v>70</v>
      </c>
      <c r="L1111" s="7" t="str">
        <f t="shared" si="192"/>
        <v>mi.bhh.ba</v>
      </c>
      <c r="M1111" s="7" t="str">
        <f t="shared" si="193"/>
        <v>B.Vishwa</v>
      </c>
      <c r="N1111" s="6">
        <f t="shared" si="188"/>
        <v>0</v>
      </c>
      <c r="O1111" s="6">
        <f t="shared" si="187"/>
        <v>5</v>
      </c>
      <c r="P1111" s="6" t="str">
        <f t="shared" si="194"/>
        <v>N</v>
      </c>
      <c r="Q1111" s="6">
        <f t="shared" si="195"/>
        <v>13</v>
      </c>
      <c r="R1111" s="6" t="str">
        <f t="shared" si="196"/>
        <v>2019</v>
      </c>
      <c r="S1111" s="6" t="str">
        <f t="shared" si="197"/>
        <v>Nov</v>
      </c>
    </row>
    <row r="1112" spans="1:19" x14ac:dyDescent="0.25">
      <c r="A1112" s="6">
        <v>938</v>
      </c>
      <c r="B1112" s="6" t="str">
        <f t="shared" si="189"/>
        <v>NIKMIS00938</v>
      </c>
      <c r="C1112" s="7" t="s">
        <v>1074</v>
      </c>
      <c r="D1112" s="7" t="s">
        <v>55</v>
      </c>
      <c r="E1112" s="7" t="str">
        <f t="shared" si="190"/>
        <v>AAYUSH SHARMA</v>
      </c>
      <c r="F1112" s="7" t="s">
        <v>15</v>
      </c>
      <c r="G1112" s="22">
        <v>43832</v>
      </c>
      <c r="H1112" s="8">
        <v>47403</v>
      </c>
      <c r="I1112" s="7" t="str">
        <f t="shared" si="191"/>
        <v>aayush.sharma@mi.sha.ba</v>
      </c>
      <c r="J1112" s="6" t="s">
        <v>1545</v>
      </c>
      <c r="K1112" s="6">
        <v>65</v>
      </c>
      <c r="L1112" s="7" t="str">
        <f t="shared" si="192"/>
        <v>mi.sha.ba</v>
      </c>
      <c r="M1112" s="7" t="str">
        <f t="shared" si="193"/>
        <v>S.Aayush</v>
      </c>
      <c r="N1112" s="6">
        <f t="shared" si="188"/>
        <v>0</v>
      </c>
      <c r="O1112" s="6">
        <f t="shared" si="187"/>
        <v>0</v>
      </c>
      <c r="P1112" s="6" t="str">
        <f t="shared" si="194"/>
        <v>N</v>
      </c>
      <c r="Q1112" s="6">
        <f t="shared" si="195"/>
        <v>12</v>
      </c>
      <c r="R1112" s="6" t="str">
        <f t="shared" si="196"/>
        <v>2020</v>
      </c>
      <c r="S1112" s="6" t="str">
        <f t="shared" si="197"/>
        <v>Jan</v>
      </c>
    </row>
    <row r="1113" spans="1:19" x14ac:dyDescent="0.25">
      <c r="A1113" s="6">
        <v>951</v>
      </c>
      <c r="B1113" s="6" t="str">
        <f t="shared" si="189"/>
        <v>NIKMIS00951</v>
      </c>
      <c r="C1113" s="7" t="s">
        <v>972</v>
      </c>
      <c r="D1113" s="7" t="s">
        <v>68</v>
      </c>
      <c r="E1113" s="7" t="str">
        <f t="shared" si="190"/>
        <v>SUDHIR KUMAR</v>
      </c>
      <c r="F1113" s="7" t="s">
        <v>15</v>
      </c>
      <c r="G1113" s="22">
        <v>43626</v>
      </c>
      <c r="H1113" s="8">
        <v>50870</v>
      </c>
      <c r="I1113" s="7" t="str">
        <f t="shared" si="191"/>
        <v>sudhir.kumar@mi.kur.ba</v>
      </c>
      <c r="J1113" s="6" t="s">
        <v>1547</v>
      </c>
      <c r="K1113" s="6">
        <v>74</v>
      </c>
      <c r="L1113" s="7" t="str">
        <f t="shared" si="192"/>
        <v>mi.kur.ba</v>
      </c>
      <c r="M1113" s="7" t="str">
        <f t="shared" si="193"/>
        <v>K.Sudhir</v>
      </c>
      <c r="N1113" s="6">
        <f t="shared" si="188"/>
        <v>0</v>
      </c>
      <c r="O1113" s="6">
        <f t="shared" si="187"/>
        <v>0</v>
      </c>
      <c r="P1113" s="6" t="str">
        <f t="shared" si="194"/>
        <v>N</v>
      </c>
      <c r="Q1113" s="6">
        <f t="shared" si="195"/>
        <v>11</v>
      </c>
      <c r="R1113" s="6" t="str">
        <f t="shared" si="196"/>
        <v>2019</v>
      </c>
      <c r="S1113" s="6" t="str">
        <f t="shared" si="197"/>
        <v>Jun</v>
      </c>
    </row>
    <row r="1114" spans="1:19" x14ac:dyDescent="0.25">
      <c r="A1114" s="6">
        <v>954</v>
      </c>
      <c r="B1114" s="6" t="str">
        <f t="shared" si="189"/>
        <v>NIKMIS00954</v>
      </c>
      <c r="C1114" s="7" t="s">
        <v>759</v>
      </c>
      <c r="D1114" s="7" t="s">
        <v>55</v>
      </c>
      <c r="E1114" s="7" t="str">
        <f t="shared" si="190"/>
        <v>PRATIBHA SHARMA</v>
      </c>
      <c r="F1114" s="7" t="s">
        <v>15</v>
      </c>
      <c r="G1114" s="22">
        <v>41907</v>
      </c>
      <c r="H1114" s="8">
        <v>48088</v>
      </c>
      <c r="I1114" s="7" t="str">
        <f t="shared" si="191"/>
        <v>pratibha.sharma@mi.sha.ba</v>
      </c>
      <c r="J1114" s="6" t="s">
        <v>1532</v>
      </c>
      <c r="K1114" s="6">
        <v>57</v>
      </c>
      <c r="L1114" s="7" t="str">
        <f t="shared" si="192"/>
        <v>mi.sha.ba</v>
      </c>
      <c r="M1114" s="7" t="str">
        <f t="shared" si="193"/>
        <v>S.Pratibha</v>
      </c>
      <c r="N1114" s="6">
        <f t="shared" si="188"/>
        <v>0</v>
      </c>
      <c r="O1114" s="6">
        <f t="shared" si="187"/>
        <v>0</v>
      </c>
      <c r="P1114" s="6" t="str">
        <f t="shared" si="194"/>
        <v>N</v>
      </c>
      <c r="Q1114" s="6">
        <f t="shared" si="195"/>
        <v>14</v>
      </c>
      <c r="R1114" s="6" t="str">
        <f t="shared" si="196"/>
        <v>2014</v>
      </c>
      <c r="S1114" s="6" t="str">
        <f t="shared" si="197"/>
        <v>Sep</v>
      </c>
    </row>
    <row r="1115" spans="1:19" x14ac:dyDescent="0.25">
      <c r="A1115" s="6">
        <v>966</v>
      </c>
      <c r="B1115" s="6" t="str">
        <f t="shared" si="189"/>
        <v>NIKMIS00966</v>
      </c>
      <c r="C1115" s="7" t="s">
        <v>1094</v>
      </c>
      <c r="D1115" s="7" t="s">
        <v>401</v>
      </c>
      <c r="E1115" s="7" t="str">
        <f t="shared" si="190"/>
        <v>MANU SHIVAM</v>
      </c>
      <c r="F1115" s="7" t="s">
        <v>15</v>
      </c>
      <c r="G1115" s="22">
        <v>43698</v>
      </c>
      <c r="H1115" s="8">
        <v>25326</v>
      </c>
      <c r="I1115" s="7" t="str">
        <f t="shared" si="191"/>
        <v>manu.shivam@mi.shm.ba</v>
      </c>
      <c r="J1115" s="6" t="s">
        <v>1550</v>
      </c>
      <c r="K1115" s="6">
        <v>81</v>
      </c>
      <c r="L1115" s="7" t="str">
        <f t="shared" si="192"/>
        <v>mi.shm.ba</v>
      </c>
      <c r="M1115" s="7" t="str">
        <f t="shared" si="193"/>
        <v>S.Manu</v>
      </c>
      <c r="N1115" s="6">
        <f t="shared" si="188"/>
        <v>0</v>
      </c>
      <c r="O1115" s="6">
        <f t="shared" si="187"/>
        <v>0</v>
      </c>
      <c r="P1115" s="6" t="str">
        <f t="shared" si="194"/>
        <v>N</v>
      </c>
      <c r="Q1115" s="6">
        <f t="shared" si="195"/>
        <v>10</v>
      </c>
      <c r="R1115" s="6" t="str">
        <f t="shared" si="196"/>
        <v>2019</v>
      </c>
      <c r="S1115" s="6" t="str">
        <f t="shared" si="197"/>
        <v>Aug</v>
      </c>
    </row>
    <row r="1116" spans="1:19" x14ac:dyDescent="0.25">
      <c r="A1116" s="6">
        <v>968</v>
      </c>
      <c r="B1116" s="6" t="str">
        <f t="shared" si="189"/>
        <v>NIKMIS00968</v>
      </c>
      <c r="C1116" s="7" t="s">
        <v>927</v>
      </c>
      <c r="D1116" s="7" t="s">
        <v>68</v>
      </c>
      <c r="E1116" s="7" t="str">
        <f t="shared" si="190"/>
        <v>PRADEEP KUMAR</v>
      </c>
      <c r="F1116" s="7" t="s">
        <v>15</v>
      </c>
      <c r="G1116" s="22">
        <v>43234</v>
      </c>
      <c r="H1116" s="8">
        <v>44798</v>
      </c>
      <c r="I1116" s="7" t="str">
        <f t="shared" si="191"/>
        <v>pradeep.kumar@mi.kur.ba</v>
      </c>
      <c r="J1116" s="6" t="s">
        <v>1543</v>
      </c>
      <c r="K1116" s="6">
        <v>44</v>
      </c>
      <c r="L1116" s="7" t="str">
        <f t="shared" si="192"/>
        <v>mi.kur.ba</v>
      </c>
      <c r="M1116" s="7" t="str">
        <f t="shared" si="193"/>
        <v>K.Pradeep</v>
      </c>
      <c r="N1116" s="6">
        <f t="shared" si="188"/>
        <v>5</v>
      </c>
      <c r="O1116" s="6">
        <f t="shared" si="187"/>
        <v>0</v>
      </c>
      <c r="P1116" s="6" t="str">
        <f t="shared" si="194"/>
        <v>N</v>
      </c>
      <c r="Q1116" s="6">
        <f t="shared" si="195"/>
        <v>12</v>
      </c>
      <c r="R1116" s="6" t="str">
        <f t="shared" si="196"/>
        <v>2018</v>
      </c>
      <c r="S1116" s="6" t="str">
        <f t="shared" si="197"/>
        <v>May</v>
      </c>
    </row>
    <row r="1117" spans="1:19" x14ac:dyDescent="0.25">
      <c r="A1117" s="6">
        <v>1002</v>
      </c>
      <c r="B1117" s="6" t="str">
        <f t="shared" si="189"/>
        <v>NIKMIS01002</v>
      </c>
      <c r="C1117" s="7" t="s">
        <v>1129</v>
      </c>
      <c r="D1117" s="7" t="s">
        <v>1130</v>
      </c>
      <c r="E1117" s="7" t="str">
        <f t="shared" si="190"/>
        <v>MURLIDHAR KHANDAL</v>
      </c>
      <c r="F1117" s="7" t="s">
        <v>15</v>
      </c>
      <c r="G1117" s="22">
        <v>42077</v>
      </c>
      <c r="H1117" s="8">
        <v>88246</v>
      </c>
      <c r="I1117" s="7" t="str">
        <f t="shared" si="191"/>
        <v>murlidhar.khandal@mi.khl.ba</v>
      </c>
      <c r="J1117" s="6" t="s">
        <v>1537</v>
      </c>
      <c r="K1117" s="6">
        <v>63</v>
      </c>
      <c r="L1117" s="7" t="str">
        <f t="shared" si="192"/>
        <v>mi.khl.ba</v>
      </c>
      <c r="M1117" s="7" t="str">
        <f t="shared" si="193"/>
        <v>K.Murlidhar</v>
      </c>
      <c r="N1117" s="6">
        <f t="shared" si="188"/>
        <v>0</v>
      </c>
      <c r="O1117" s="6">
        <f t="shared" si="187"/>
        <v>0</v>
      </c>
      <c r="P1117" s="6" t="str">
        <f t="shared" si="194"/>
        <v>N</v>
      </c>
      <c r="Q1117" s="6">
        <f t="shared" si="195"/>
        <v>16</v>
      </c>
      <c r="R1117" s="6" t="str">
        <f t="shared" si="196"/>
        <v>2015</v>
      </c>
      <c r="S1117" s="6" t="str">
        <f t="shared" si="197"/>
        <v>Mar</v>
      </c>
    </row>
    <row r="1118" spans="1:19" x14ac:dyDescent="0.25">
      <c r="A1118" s="6">
        <v>1003</v>
      </c>
      <c r="B1118" s="6" t="str">
        <f t="shared" si="189"/>
        <v>NIKMIS01003</v>
      </c>
      <c r="C1118" s="7" t="s">
        <v>1131</v>
      </c>
      <c r="D1118" s="7" t="s">
        <v>58</v>
      </c>
      <c r="E1118" s="7" t="str">
        <f t="shared" si="190"/>
        <v>SHEKHAR BHATIA</v>
      </c>
      <c r="F1118" s="7" t="s">
        <v>15</v>
      </c>
      <c r="G1118" s="22">
        <v>43057</v>
      </c>
      <c r="H1118" s="8">
        <v>61166</v>
      </c>
      <c r="I1118" s="7" t="str">
        <f t="shared" si="191"/>
        <v>shekhar.bhatia@mi.bha.ba</v>
      </c>
      <c r="J1118" s="6" t="s">
        <v>1540</v>
      </c>
      <c r="K1118" s="6">
        <v>70</v>
      </c>
      <c r="L1118" s="7" t="str">
        <f t="shared" si="192"/>
        <v>mi.bha.ba</v>
      </c>
      <c r="M1118" s="7" t="str">
        <f t="shared" si="193"/>
        <v>B.Shekhar</v>
      </c>
      <c r="N1118" s="6">
        <f t="shared" si="188"/>
        <v>3</v>
      </c>
      <c r="O1118" s="6">
        <f t="shared" si="187"/>
        <v>0</v>
      </c>
      <c r="P1118" s="6" t="str">
        <f t="shared" si="194"/>
        <v>N</v>
      </c>
      <c r="Q1118" s="6">
        <f t="shared" si="195"/>
        <v>13</v>
      </c>
      <c r="R1118" s="6" t="str">
        <f t="shared" si="196"/>
        <v>2017</v>
      </c>
      <c r="S1118" s="6" t="str">
        <f t="shared" si="197"/>
        <v>Nov</v>
      </c>
    </row>
    <row r="1119" spans="1:19" x14ac:dyDescent="0.25">
      <c r="A1119" s="6">
        <v>1018</v>
      </c>
      <c r="B1119" s="6" t="str">
        <f t="shared" si="189"/>
        <v>NIKMIS01018</v>
      </c>
      <c r="C1119" s="7" t="s">
        <v>309</v>
      </c>
      <c r="D1119" s="7" t="s">
        <v>1146</v>
      </c>
      <c r="E1119" s="7" t="str">
        <f t="shared" si="190"/>
        <v>SUMIT MADHAV</v>
      </c>
      <c r="F1119" s="7" t="s">
        <v>15</v>
      </c>
      <c r="G1119" s="22">
        <v>43283</v>
      </c>
      <c r="H1119" s="8">
        <v>41812</v>
      </c>
      <c r="I1119" s="7" t="str">
        <f t="shared" si="191"/>
        <v>sumit.madhav@mi.mav.ba</v>
      </c>
      <c r="J1119" s="6" t="s">
        <v>1548</v>
      </c>
      <c r="K1119" s="6">
        <v>61</v>
      </c>
      <c r="L1119" s="7" t="str">
        <f t="shared" si="192"/>
        <v>mi.mav.ba</v>
      </c>
      <c r="M1119" s="7" t="str">
        <f t="shared" si="193"/>
        <v>M.Sumit</v>
      </c>
      <c r="N1119" s="6">
        <f t="shared" si="188"/>
        <v>0</v>
      </c>
      <c r="O1119" s="6">
        <f t="shared" si="187"/>
        <v>0</v>
      </c>
      <c r="P1119" s="6" t="str">
        <f t="shared" si="194"/>
        <v>N</v>
      </c>
      <c r="Q1119" s="6">
        <f t="shared" si="195"/>
        <v>11</v>
      </c>
      <c r="R1119" s="6" t="str">
        <f t="shared" si="196"/>
        <v>2018</v>
      </c>
      <c r="S1119" s="6" t="str">
        <f t="shared" si="197"/>
        <v>Jul</v>
      </c>
    </row>
    <row r="1120" spans="1:19" x14ac:dyDescent="0.25">
      <c r="A1120" s="6">
        <v>1021</v>
      </c>
      <c r="B1120" s="6" t="str">
        <f t="shared" si="189"/>
        <v>NIKMIS01021</v>
      </c>
      <c r="C1120" s="7" t="s">
        <v>209</v>
      </c>
      <c r="D1120" s="7" t="s">
        <v>62</v>
      </c>
      <c r="E1120" s="7" t="str">
        <f t="shared" si="190"/>
        <v>GAURAV JAIN</v>
      </c>
      <c r="F1120" s="7" t="s">
        <v>15</v>
      </c>
      <c r="G1120" s="22">
        <v>41988</v>
      </c>
      <c r="H1120" s="8">
        <v>57949</v>
      </c>
      <c r="I1120" s="7" t="str">
        <f t="shared" si="191"/>
        <v>gaurav.jain@mi.jan.ba</v>
      </c>
      <c r="J1120" s="6" t="s">
        <v>1534</v>
      </c>
      <c r="K1120" s="6">
        <v>68</v>
      </c>
      <c r="L1120" s="7" t="str">
        <f t="shared" si="192"/>
        <v>mi.jan.ba</v>
      </c>
      <c r="M1120" s="7" t="str">
        <f t="shared" si="193"/>
        <v>J.Gaurav</v>
      </c>
      <c r="N1120" s="6">
        <f t="shared" si="188"/>
        <v>0</v>
      </c>
      <c r="O1120" s="6">
        <f t="shared" si="187"/>
        <v>0</v>
      </c>
      <c r="P1120" s="6" t="str">
        <f t="shared" si="194"/>
        <v>N</v>
      </c>
      <c r="Q1120" s="6">
        <f t="shared" si="195"/>
        <v>10</v>
      </c>
      <c r="R1120" s="6" t="str">
        <f t="shared" si="196"/>
        <v>2014</v>
      </c>
      <c r="S1120" s="6" t="str">
        <f t="shared" si="197"/>
        <v>Dec</v>
      </c>
    </row>
    <row r="1121" spans="1:19" x14ac:dyDescent="0.25">
      <c r="A1121" s="6">
        <v>1037</v>
      </c>
      <c r="B1121" s="6" t="str">
        <f t="shared" si="189"/>
        <v>NIKMIS01037</v>
      </c>
      <c r="C1121" s="7" t="s">
        <v>360</v>
      </c>
      <c r="D1121" s="7" t="s">
        <v>361</v>
      </c>
      <c r="E1121" s="7" t="str">
        <f t="shared" si="190"/>
        <v>RINKU CHITTARA</v>
      </c>
      <c r="F1121" s="7" t="s">
        <v>15</v>
      </c>
      <c r="G1121" s="22">
        <v>42982</v>
      </c>
      <c r="H1121" s="8">
        <v>84738</v>
      </c>
      <c r="I1121" s="7" t="str">
        <f t="shared" si="191"/>
        <v>rinku.chittara@mi.cha.ba</v>
      </c>
      <c r="J1121" s="6" t="s">
        <v>1546</v>
      </c>
      <c r="K1121" s="6">
        <v>49</v>
      </c>
      <c r="L1121" s="7" t="str">
        <f t="shared" si="192"/>
        <v>mi.cha.ba</v>
      </c>
      <c r="M1121" s="7" t="str">
        <f t="shared" si="193"/>
        <v>C.Rinku</v>
      </c>
      <c r="N1121" s="6">
        <f t="shared" si="188"/>
        <v>0</v>
      </c>
      <c r="O1121" s="6">
        <f t="shared" si="187"/>
        <v>0</v>
      </c>
      <c r="P1121" s="6" t="str">
        <f t="shared" si="194"/>
        <v>N</v>
      </c>
      <c r="Q1121" s="6">
        <f t="shared" si="195"/>
        <v>13</v>
      </c>
      <c r="R1121" s="6" t="str">
        <f t="shared" si="196"/>
        <v>2017</v>
      </c>
      <c r="S1121" s="6" t="str">
        <f t="shared" si="197"/>
        <v>Sep</v>
      </c>
    </row>
    <row r="1122" spans="1:19" x14ac:dyDescent="0.25">
      <c r="A1122" s="6">
        <v>1061</v>
      </c>
      <c r="B1122" s="6" t="str">
        <f t="shared" si="189"/>
        <v>NIKMIS01061</v>
      </c>
      <c r="C1122" s="7" t="s">
        <v>456</v>
      </c>
      <c r="D1122" s="7" t="s">
        <v>457</v>
      </c>
      <c r="E1122" s="7" t="str">
        <f t="shared" si="190"/>
        <v>MANALI CHUGH</v>
      </c>
      <c r="F1122" s="7" t="s">
        <v>15</v>
      </c>
      <c r="G1122" s="22">
        <v>42957</v>
      </c>
      <c r="H1122" s="8">
        <v>81361</v>
      </c>
      <c r="I1122" s="7" t="str">
        <f t="shared" si="191"/>
        <v>manali.chugh@mi.chh.ba</v>
      </c>
      <c r="J1122" s="6" t="s">
        <v>1548</v>
      </c>
      <c r="K1122" s="6">
        <v>68</v>
      </c>
      <c r="L1122" s="7" t="str">
        <f t="shared" si="192"/>
        <v>mi.chh.ba</v>
      </c>
      <c r="M1122" s="7" t="str">
        <f t="shared" si="193"/>
        <v>C.Manali</v>
      </c>
      <c r="N1122" s="6">
        <f t="shared" si="188"/>
        <v>0</v>
      </c>
      <c r="O1122" s="6">
        <f t="shared" si="187"/>
        <v>0</v>
      </c>
      <c r="P1122" s="6" t="str">
        <f t="shared" si="194"/>
        <v>N</v>
      </c>
      <c r="Q1122" s="6">
        <f t="shared" si="195"/>
        <v>11</v>
      </c>
      <c r="R1122" s="6" t="str">
        <f t="shared" si="196"/>
        <v>2017</v>
      </c>
      <c r="S1122" s="6" t="str">
        <f t="shared" si="197"/>
        <v>Aug</v>
      </c>
    </row>
    <row r="1123" spans="1:19" x14ac:dyDescent="0.25">
      <c r="A1123" s="6">
        <v>1081</v>
      </c>
      <c r="B1123" s="6" t="str">
        <f t="shared" si="189"/>
        <v>NIKMIS01081</v>
      </c>
      <c r="C1123" s="7" t="s">
        <v>1189</v>
      </c>
      <c r="D1123" s="7" t="s">
        <v>1190</v>
      </c>
      <c r="E1123" s="7" t="str">
        <f t="shared" si="190"/>
        <v>ANJALI DHIRWANI</v>
      </c>
      <c r="F1123" s="7" t="s">
        <v>15</v>
      </c>
      <c r="G1123" s="22">
        <v>43405</v>
      </c>
      <c r="H1123" s="8">
        <v>106989</v>
      </c>
      <c r="I1123" s="7" t="str">
        <f t="shared" si="191"/>
        <v>anjali.dhirwani@mi.dhi.ba</v>
      </c>
      <c r="J1123" s="6" t="s">
        <v>1543</v>
      </c>
      <c r="K1123" s="6">
        <v>87</v>
      </c>
      <c r="L1123" s="7" t="str">
        <f t="shared" si="192"/>
        <v>mi.dhi.ba</v>
      </c>
      <c r="M1123" s="7" t="str">
        <f t="shared" si="193"/>
        <v>D.Anjali</v>
      </c>
      <c r="N1123" s="6">
        <f t="shared" si="188"/>
        <v>0</v>
      </c>
      <c r="O1123" s="6">
        <f t="shared" si="187"/>
        <v>0</v>
      </c>
      <c r="P1123" s="6" t="str">
        <f t="shared" si="194"/>
        <v>N</v>
      </c>
      <c r="Q1123" s="6">
        <f t="shared" si="195"/>
        <v>14</v>
      </c>
      <c r="R1123" s="6" t="str">
        <f t="shared" si="196"/>
        <v>2018</v>
      </c>
      <c r="S1123" s="6" t="str">
        <f t="shared" si="197"/>
        <v>Nov</v>
      </c>
    </row>
    <row r="1124" spans="1:19" x14ac:dyDescent="0.25">
      <c r="A1124" s="6">
        <v>1084</v>
      </c>
      <c r="B1124" s="6" t="str">
        <f t="shared" si="189"/>
        <v>NIKMIS01084</v>
      </c>
      <c r="C1124" s="7" t="s">
        <v>125</v>
      </c>
      <c r="D1124" s="7" t="s">
        <v>1195</v>
      </c>
      <c r="E1124" s="7" t="str">
        <f t="shared" si="190"/>
        <v>VIKAS AWASTHI</v>
      </c>
      <c r="F1124" s="7" t="s">
        <v>15</v>
      </c>
      <c r="G1124" s="22">
        <v>40612</v>
      </c>
      <c r="H1124" s="8">
        <v>92265</v>
      </c>
      <c r="I1124" s="7" t="str">
        <f t="shared" si="191"/>
        <v>vikas.awasthi@mi.awi.ba</v>
      </c>
      <c r="J1124" s="6" t="s">
        <v>1540</v>
      </c>
      <c r="K1124" s="6">
        <v>71</v>
      </c>
      <c r="L1124" s="7" t="str">
        <f t="shared" si="192"/>
        <v>mi.awi.ba</v>
      </c>
      <c r="M1124" s="7" t="str">
        <f t="shared" si="193"/>
        <v>A.Vikas</v>
      </c>
      <c r="N1124" s="6">
        <f t="shared" si="188"/>
        <v>0</v>
      </c>
      <c r="O1124" s="6">
        <f t="shared" si="187"/>
        <v>0</v>
      </c>
      <c r="P1124" s="6" t="str">
        <f t="shared" si="194"/>
        <v>N</v>
      </c>
      <c r="Q1124" s="6">
        <f t="shared" si="195"/>
        <v>12</v>
      </c>
      <c r="R1124" s="6" t="str">
        <f t="shared" si="196"/>
        <v>2011</v>
      </c>
      <c r="S1124" s="6" t="str">
        <f t="shared" si="197"/>
        <v>Mar</v>
      </c>
    </row>
    <row r="1125" spans="1:19" x14ac:dyDescent="0.25">
      <c r="A1125" s="6">
        <v>1131</v>
      </c>
      <c r="B1125" s="6" t="str">
        <f t="shared" si="189"/>
        <v>NIKMIS01131</v>
      </c>
      <c r="C1125" s="7" t="s">
        <v>19</v>
      </c>
      <c r="D1125" s="7" t="s">
        <v>68</v>
      </c>
      <c r="E1125" s="7" t="str">
        <f t="shared" si="190"/>
        <v>AMIT KUMAR</v>
      </c>
      <c r="F1125" s="7" t="s">
        <v>15</v>
      </c>
      <c r="G1125" s="22">
        <v>43115</v>
      </c>
      <c r="H1125" s="8">
        <v>80158</v>
      </c>
      <c r="I1125" s="7" t="str">
        <f t="shared" si="191"/>
        <v>amit.kumar@mi.kur.ba</v>
      </c>
      <c r="J1125" s="6" t="s">
        <v>1541</v>
      </c>
      <c r="K1125" s="6">
        <v>58</v>
      </c>
      <c r="L1125" s="7" t="str">
        <f t="shared" si="192"/>
        <v>mi.kur.ba</v>
      </c>
      <c r="M1125" s="7" t="str">
        <f t="shared" si="193"/>
        <v>K.Amit</v>
      </c>
      <c r="N1125" s="6">
        <f t="shared" si="188"/>
        <v>0</v>
      </c>
      <c r="O1125" s="6">
        <f t="shared" si="187"/>
        <v>0</v>
      </c>
      <c r="P1125" s="6" t="str">
        <f t="shared" si="194"/>
        <v>N</v>
      </c>
      <c r="Q1125" s="6">
        <f t="shared" si="195"/>
        <v>9</v>
      </c>
      <c r="R1125" s="6" t="str">
        <f t="shared" si="196"/>
        <v>2018</v>
      </c>
      <c r="S1125" s="6" t="str">
        <f t="shared" si="197"/>
        <v>Jan</v>
      </c>
    </row>
    <row r="1126" spans="1:19" x14ac:dyDescent="0.25">
      <c r="A1126" s="6">
        <v>1140</v>
      </c>
      <c r="B1126" s="6" t="str">
        <f t="shared" si="189"/>
        <v>NIKMIS01140</v>
      </c>
      <c r="C1126" s="7" t="s">
        <v>1235</v>
      </c>
      <c r="D1126" s="7" t="s">
        <v>1236</v>
      </c>
      <c r="E1126" s="7" t="str">
        <f t="shared" si="190"/>
        <v>Kunal Chitravanshi</v>
      </c>
      <c r="F1126" s="7" t="s">
        <v>15</v>
      </c>
      <c r="G1126" s="22">
        <v>44636</v>
      </c>
      <c r="H1126" s="8">
        <v>30219</v>
      </c>
      <c r="I1126" s="7" t="str">
        <f t="shared" si="191"/>
        <v>kunal.chitravanshi@mi.chi.ba</v>
      </c>
      <c r="J1126" s="6" t="s">
        <v>1538</v>
      </c>
      <c r="K1126" s="6">
        <v>64</v>
      </c>
      <c r="L1126" s="7" t="str">
        <f t="shared" si="192"/>
        <v>mi.chi.ba</v>
      </c>
      <c r="M1126" s="7" t="str">
        <f t="shared" si="193"/>
        <v>C.Kunal</v>
      </c>
      <c r="N1126" s="6">
        <f t="shared" si="188"/>
        <v>0</v>
      </c>
      <c r="O1126" s="6">
        <f t="shared" si="187"/>
        <v>0</v>
      </c>
      <c r="P1126" s="6" t="str">
        <f t="shared" si="194"/>
        <v>N</v>
      </c>
      <c r="Q1126" s="6">
        <f t="shared" si="195"/>
        <v>17</v>
      </c>
      <c r="R1126" s="6" t="str">
        <f t="shared" si="196"/>
        <v>2022</v>
      </c>
      <c r="S1126" s="6" t="str">
        <f t="shared" si="197"/>
        <v>Mar</v>
      </c>
    </row>
    <row r="1127" spans="1:19" x14ac:dyDescent="0.25">
      <c r="A1127" s="6">
        <v>1155</v>
      </c>
      <c r="B1127" s="6" t="str">
        <f t="shared" si="189"/>
        <v>NIKMIS01155</v>
      </c>
      <c r="C1127" s="7" t="s">
        <v>1139</v>
      </c>
      <c r="D1127" s="7" t="s">
        <v>1249</v>
      </c>
      <c r="E1127" s="7" t="str">
        <f t="shared" si="190"/>
        <v>SURAJ BHAN</v>
      </c>
      <c r="F1127" s="7" t="s">
        <v>15</v>
      </c>
      <c r="G1127" s="22">
        <v>41310</v>
      </c>
      <c r="H1127" s="8">
        <v>53924</v>
      </c>
      <c r="I1127" s="7" t="str">
        <f t="shared" si="191"/>
        <v>suraj.bhan@mi.bhn.ba</v>
      </c>
      <c r="J1127" s="6" t="s">
        <v>1541</v>
      </c>
      <c r="K1127" s="6">
        <v>39</v>
      </c>
      <c r="L1127" s="7" t="str">
        <f t="shared" si="192"/>
        <v>mi.bhn.ba</v>
      </c>
      <c r="M1127" s="7" t="str">
        <f t="shared" si="193"/>
        <v>B.Suraj</v>
      </c>
      <c r="N1127" s="6">
        <f t="shared" si="188"/>
        <v>0</v>
      </c>
      <c r="O1127" s="6">
        <f t="shared" si="187"/>
        <v>0</v>
      </c>
      <c r="P1127" s="6" t="str">
        <f t="shared" si="194"/>
        <v>N</v>
      </c>
      <c r="Q1127" s="6">
        <f t="shared" si="195"/>
        <v>9</v>
      </c>
      <c r="R1127" s="6" t="str">
        <f t="shared" si="196"/>
        <v>2013</v>
      </c>
      <c r="S1127" s="6" t="str">
        <f t="shared" si="197"/>
        <v>Feb</v>
      </c>
    </row>
    <row r="1128" spans="1:19" x14ac:dyDescent="0.25">
      <c r="A1128" s="6">
        <v>1171</v>
      </c>
      <c r="B1128" s="6" t="str">
        <f t="shared" si="189"/>
        <v>NIKMIS01171</v>
      </c>
      <c r="C1128" s="7" t="s">
        <v>843</v>
      </c>
      <c r="D1128" s="7" t="s">
        <v>211</v>
      </c>
      <c r="E1128" s="7" t="str">
        <f t="shared" si="190"/>
        <v>NIKHIL ASHOK</v>
      </c>
      <c r="F1128" s="7" t="s">
        <v>15</v>
      </c>
      <c r="G1128" s="22">
        <v>43329</v>
      </c>
      <c r="H1128" s="8">
        <v>55014</v>
      </c>
      <c r="I1128" s="7" t="str">
        <f t="shared" si="191"/>
        <v>nikhil.ashok@mi.ask.ba</v>
      </c>
      <c r="J1128" s="6" t="s">
        <v>1538</v>
      </c>
      <c r="K1128" s="6">
        <v>55</v>
      </c>
      <c r="L1128" s="7" t="str">
        <f t="shared" si="192"/>
        <v>mi.ask.ba</v>
      </c>
      <c r="M1128" s="7" t="str">
        <f t="shared" si="193"/>
        <v>A.Nikhil</v>
      </c>
      <c r="N1128" s="6">
        <f t="shared" si="188"/>
        <v>0</v>
      </c>
      <c r="O1128" s="6">
        <f t="shared" si="187"/>
        <v>0</v>
      </c>
      <c r="P1128" s="6" t="str">
        <f t="shared" si="194"/>
        <v>N</v>
      </c>
      <c r="Q1128" s="6">
        <f t="shared" si="195"/>
        <v>11</v>
      </c>
      <c r="R1128" s="6" t="str">
        <f t="shared" si="196"/>
        <v>2018</v>
      </c>
      <c r="S1128" s="6" t="str">
        <f t="shared" si="197"/>
        <v>Aug</v>
      </c>
    </row>
    <row r="1129" spans="1:19" x14ac:dyDescent="0.25">
      <c r="A1129" s="6">
        <v>1175</v>
      </c>
      <c r="B1129" s="6" t="str">
        <f t="shared" si="189"/>
        <v>NIKMIS01175</v>
      </c>
      <c r="C1129" s="7" t="s">
        <v>1258</v>
      </c>
      <c r="D1129" s="7" t="s">
        <v>498</v>
      </c>
      <c r="E1129" s="7" t="str">
        <f t="shared" si="190"/>
        <v>UPINDER KAUR</v>
      </c>
      <c r="F1129" s="7" t="s">
        <v>15</v>
      </c>
      <c r="G1129" s="22">
        <v>44543</v>
      </c>
      <c r="H1129" s="8">
        <v>69127</v>
      </c>
      <c r="I1129" s="7" t="str">
        <f t="shared" si="191"/>
        <v>upinder.kaur@mi.kar.ba</v>
      </c>
      <c r="J1129" s="6" t="s">
        <v>1541</v>
      </c>
      <c r="K1129" s="6">
        <v>84</v>
      </c>
      <c r="L1129" s="7" t="str">
        <f t="shared" si="192"/>
        <v>mi.kar.ba</v>
      </c>
      <c r="M1129" s="7" t="str">
        <f t="shared" si="193"/>
        <v>K.Upinder</v>
      </c>
      <c r="N1129" s="6">
        <f t="shared" si="188"/>
        <v>6</v>
      </c>
      <c r="O1129" s="6">
        <f t="shared" si="187"/>
        <v>0</v>
      </c>
      <c r="P1129" s="6" t="str">
        <f t="shared" si="194"/>
        <v>N</v>
      </c>
      <c r="Q1129" s="6">
        <f t="shared" si="195"/>
        <v>11</v>
      </c>
      <c r="R1129" s="6" t="str">
        <f t="shared" si="196"/>
        <v>2021</v>
      </c>
      <c r="S1129" s="6" t="str">
        <f t="shared" si="197"/>
        <v>Dec</v>
      </c>
    </row>
    <row r="1130" spans="1:19" x14ac:dyDescent="0.25">
      <c r="A1130" s="6">
        <v>1193</v>
      </c>
      <c r="B1130" s="6" t="str">
        <f t="shared" si="189"/>
        <v>NIKMIS01193</v>
      </c>
      <c r="C1130" s="7" t="s">
        <v>1269</v>
      </c>
      <c r="D1130" s="7" t="s">
        <v>1270</v>
      </c>
      <c r="E1130" s="7" t="str">
        <f t="shared" si="190"/>
        <v>ROSHAN NANDANWAR</v>
      </c>
      <c r="F1130" s="7" t="s">
        <v>15</v>
      </c>
      <c r="G1130" s="22">
        <v>44445</v>
      </c>
      <c r="H1130" s="8">
        <v>62076</v>
      </c>
      <c r="I1130" s="7" t="str">
        <f t="shared" si="191"/>
        <v>roshan.nandanwar@mi.nar.ba</v>
      </c>
      <c r="J1130" s="6" t="s">
        <v>1538</v>
      </c>
      <c r="K1130" s="6">
        <v>58</v>
      </c>
      <c r="L1130" s="7" t="str">
        <f t="shared" si="192"/>
        <v>mi.nar.ba</v>
      </c>
      <c r="M1130" s="7" t="str">
        <f t="shared" si="193"/>
        <v>N.Roshan</v>
      </c>
      <c r="N1130" s="6">
        <f t="shared" si="188"/>
        <v>0</v>
      </c>
      <c r="O1130" s="6">
        <f t="shared" si="187"/>
        <v>0</v>
      </c>
      <c r="P1130" s="6" t="str">
        <f t="shared" si="194"/>
        <v>N</v>
      </c>
      <c r="Q1130" s="6">
        <f t="shared" si="195"/>
        <v>15</v>
      </c>
      <c r="R1130" s="6" t="str">
        <f t="shared" si="196"/>
        <v>2021</v>
      </c>
      <c r="S1130" s="6" t="str">
        <f t="shared" si="197"/>
        <v>Sep</v>
      </c>
    </row>
    <row r="1131" spans="1:19" x14ac:dyDescent="0.25">
      <c r="A1131" s="6">
        <v>1201</v>
      </c>
      <c r="B1131" s="6" t="str">
        <f t="shared" si="189"/>
        <v>NIKMIS01201</v>
      </c>
      <c r="C1131" s="7" t="s">
        <v>1274</v>
      </c>
      <c r="D1131" s="7" t="s">
        <v>1275</v>
      </c>
      <c r="E1131" s="7" t="str">
        <f t="shared" si="190"/>
        <v>VIKASH JHA</v>
      </c>
      <c r="F1131" s="7" t="s">
        <v>15</v>
      </c>
      <c r="G1131" s="22">
        <v>44575</v>
      </c>
      <c r="H1131" s="8">
        <v>91036</v>
      </c>
      <c r="I1131" s="7" t="str">
        <f t="shared" si="191"/>
        <v>vikash.jha@mi.jha.ba</v>
      </c>
      <c r="J1131" s="6" t="s">
        <v>1541</v>
      </c>
      <c r="K1131" s="6">
        <v>78</v>
      </c>
      <c r="L1131" s="7" t="str">
        <f t="shared" si="192"/>
        <v>mi.jha.ba</v>
      </c>
      <c r="M1131" s="7" t="str">
        <f t="shared" si="193"/>
        <v>J.Vikash</v>
      </c>
      <c r="N1131" s="6">
        <f t="shared" si="188"/>
        <v>0</v>
      </c>
      <c r="O1131" s="6">
        <f t="shared" si="187"/>
        <v>0</v>
      </c>
      <c r="P1131" s="6" t="str">
        <f t="shared" si="194"/>
        <v>N</v>
      </c>
      <c r="Q1131" s="6">
        <f t="shared" si="195"/>
        <v>9</v>
      </c>
      <c r="R1131" s="6" t="str">
        <f t="shared" si="196"/>
        <v>2022</v>
      </c>
      <c r="S1131" s="6" t="str">
        <f t="shared" si="197"/>
        <v>Jan</v>
      </c>
    </row>
    <row r="1132" spans="1:19" x14ac:dyDescent="0.25">
      <c r="A1132" s="6">
        <v>1230</v>
      </c>
      <c r="B1132" s="6" t="str">
        <f t="shared" si="189"/>
        <v>NIKMIS01230</v>
      </c>
      <c r="C1132" s="7" t="s">
        <v>1302</v>
      </c>
      <c r="D1132" s="7" t="s">
        <v>55</v>
      </c>
      <c r="E1132" s="7" t="str">
        <f t="shared" si="190"/>
        <v>YAMINI SHARMA</v>
      </c>
      <c r="F1132" s="7" t="s">
        <v>15</v>
      </c>
      <c r="G1132" s="22">
        <v>42678</v>
      </c>
      <c r="H1132" s="8">
        <v>77570</v>
      </c>
      <c r="I1132" s="7" t="str">
        <f t="shared" si="191"/>
        <v>yamini.sharma@mi.sha.ba</v>
      </c>
      <c r="J1132" s="6" t="s">
        <v>1543</v>
      </c>
      <c r="K1132" s="6">
        <v>61</v>
      </c>
      <c r="L1132" s="7" t="str">
        <f t="shared" si="192"/>
        <v>mi.sha.ba</v>
      </c>
      <c r="M1132" s="7" t="str">
        <f t="shared" si="193"/>
        <v>S.Yamini</v>
      </c>
      <c r="N1132" s="6">
        <f t="shared" si="188"/>
        <v>0</v>
      </c>
      <c r="O1132" s="6">
        <f t="shared" ref="O1132:O1195" si="198">IFERROR(SEARCH("e",D1132),0)</f>
        <v>0</v>
      </c>
      <c r="P1132" s="6" t="str">
        <f t="shared" si="194"/>
        <v>N</v>
      </c>
      <c r="Q1132" s="6">
        <f t="shared" si="195"/>
        <v>12</v>
      </c>
      <c r="R1132" s="6" t="str">
        <f t="shared" si="196"/>
        <v>2016</v>
      </c>
      <c r="S1132" s="6" t="str">
        <f t="shared" si="197"/>
        <v>Nov</v>
      </c>
    </row>
    <row r="1133" spans="1:19" x14ac:dyDescent="0.25">
      <c r="A1133" s="6">
        <v>1251</v>
      </c>
      <c r="B1133" s="6" t="str">
        <f t="shared" si="189"/>
        <v>NIKMIS01251</v>
      </c>
      <c r="C1133" s="7" t="s">
        <v>259</v>
      </c>
      <c r="D1133" s="7" t="s">
        <v>211</v>
      </c>
      <c r="E1133" s="7" t="str">
        <f t="shared" si="190"/>
        <v>ASHISH ASHOK</v>
      </c>
      <c r="F1133" s="7" t="s">
        <v>15</v>
      </c>
      <c r="G1133" s="22">
        <v>44713</v>
      </c>
      <c r="H1133" s="8">
        <v>32619</v>
      </c>
      <c r="I1133" s="7" t="str">
        <f t="shared" si="191"/>
        <v>ashish.ashok@mi.ask.ba</v>
      </c>
      <c r="J1133" s="6" t="s">
        <v>1547</v>
      </c>
      <c r="K1133" s="6">
        <v>46</v>
      </c>
      <c r="L1133" s="7" t="str">
        <f t="shared" si="192"/>
        <v>mi.ask.ba</v>
      </c>
      <c r="M1133" s="7" t="str">
        <f t="shared" si="193"/>
        <v>A.Ashish</v>
      </c>
      <c r="N1133" s="6">
        <f t="shared" si="188"/>
        <v>0</v>
      </c>
      <c r="O1133" s="6">
        <f t="shared" si="198"/>
        <v>0</v>
      </c>
      <c r="P1133" s="6" t="str">
        <f t="shared" si="194"/>
        <v>N</v>
      </c>
      <c r="Q1133" s="6">
        <f t="shared" si="195"/>
        <v>11</v>
      </c>
      <c r="R1133" s="6" t="str">
        <f t="shared" si="196"/>
        <v>2022</v>
      </c>
      <c r="S1133" s="6" t="str">
        <f t="shared" si="197"/>
        <v>Jun</v>
      </c>
    </row>
    <row r="1134" spans="1:19" x14ac:dyDescent="0.25">
      <c r="A1134" s="6">
        <v>1253</v>
      </c>
      <c r="B1134" s="6" t="str">
        <f t="shared" si="189"/>
        <v>NIKMIS01253</v>
      </c>
      <c r="C1134" s="7" t="s">
        <v>1320</v>
      </c>
      <c r="D1134" s="7" t="s">
        <v>199</v>
      </c>
      <c r="E1134" s="7" t="str">
        <f t="shared" si="190"/>
        <v>YASHI BHATT</v>
      </c>
      <c r="F1134" s="7" t="s">
        <v>15</v>
      </c>
      <c r="G1134" s="22">
        <v>44728</v>
      </c>
      <c r="H1134" s="8">
        <v>55824</v>
      </c>
      <c r="I1134" s="7" t="str">
        <f t="shared" si="191"/>
        <v>yashi.bhatt@mi.bht.ba</v>
      </c>
      <c r="J1134" s="6" t="s">
        <v>1548</v>
      </c>
      <c r="K1134" s="6">
        <v>87</v>
      </c>
      <c r="L1134" s="7" t="str">
        <f t="shared" si="192"/>
        <v>mi.bht.ba</v>
      </c>
      <c r="M1134" s="7" t="str">
        <f t="shared" si="193"/>
        <v>B.Yashi</v>
      </c>
      <c r="N1134" s="6">
        <f t="shared" ref="N1134:N1197" si="199">IFERROR(SEARCH("e",C1134),0)</f>
        <v>0</v>
      </c>
      <c r="O1134" s="6">
        <f t="shared" si="198"/>
        <v>0</v>
      </c>
      <c r="P1134" s="6" t="str">
        <f t="shared" si="194"/>
        <v>N</v>
      </c>
      <c r="Q1134" s="6">
        <f t="shared" si="195"/>
        <v>10</v>
      </c>
      <c r="R1134" s="6" t="str">
        <f t="shared" si="196"/>
        <v>2022</v>
      </c>
      <c r="S1134" s="6" t="str">
        <f t="shared" si="197"/>
        <v>Jun</v>
      </c>
    </row>
    <row r="1135" spans="1:19" x14ac:dyDescent="0.25">
      <c r="A1135" s="6">
        <v>1263</v>
      </c>
      <c r="B1135" s="6" t="str">
        <f t="shared" si="189"/>
        <v>NIKMIS01263</v>
      </c>
      <c r="C1135" s="7" t="s">
        <v>644</v>
      </c>
      <c r="D1135" s="7" t="s">
        <v>1329</v>
      </c>
      <c r="E1135" s="7" t="str">
        <f t="shared" si="190"/>
        <v>NIKITA ABROL</v>
      </c>
      <c r="F1135" s="7" t="s">
        <v>15</v>
      </c>
      <c r="G1135" s="22">
        <v>44291</v>
      </c>
      <c r="H1135" s="8">
        <v>29707</v>
      </c>
      <c r="I1135" s="7" t="str">
        <f t="shared" si="191"/>
        <v>nikita.abrol@mi.abl.ba</v>
      </c>
      <c r="J1135" s="6" t="s">
        <v>1542</v>
      </c>
      <c r="K1135" s="6">
        <v>39</v>
      </c>
      <c r="L1135" s="7" t="str">
        <f t="shared" si="192"/>
        <v>mi.abl.ba</v>
      </c>
      <c r="M1135" s="7" t="str">
        <f t="shared" si="193"/>
        <v>A.Nikita</v>
      </c>
      <c r="N1135" s="6">
        <f t="shared" si="199"/>
        <v>0</v>
      </c>
      <c r="O1135" s="6">
        <f t="shared" si="198"/>
        <v>0</v>
      </c>
      <c r="P1135" s="6" t="str">
        <f t="shared" si="194"/>
        <v>N</v>
      </c>
      <c r="Q1135" s="6">
        <f t="shared" si="195"/>
        <v>11</v>
      </c>
      <c r="R1135" s="6" t="str">
        <f t="shared" si="196"/>
        <v>2021</v>
      </c>
      <c r="S1135" s="6" t="str">
        <f t="shared" si="197"/>
        <v>Apr</v>
      </c>
    </row>
    <row r="1136" spans="1:19" x14ac:dyDescent="0.25">
      <c r="A1136" s="6">
        <v>1268</v>
      </c>
      <c r="B1136" s="6" t="str">
        <f t="shared" si="189"/>
        <v>NIKMIS01268</v>
      </c>
      <c r="C1136" s="7" t="s">
        <v>460</v>
      </c>
      <c r="D1136" s="7" t="s">
        <v>586</v>
      </c>
      <c r="E1136" s="7" t="str">
        <f t="shared" si="190"/>
        <v>KALYANI RAJENDRA</v>
      </c>
      <c r="F1136" s="7" t="s">
        <v>15</v>
      </c>
      <c r="G1136" s="22">
        <v>42583</v>
      </c>
      <c r="H1136" s="8">
        <v>93424</v>
      </c>
      <c r="I1136" s="7" t="str">
        <f t="shared" si="191"/>
        <v>kalyani.rajendra@mi.raa.ba</v>
      </c>
      <c r="J1136" s="6" t="s">
        <v>1536</v>
      </c>
      <c r="K1136" s="6">
        <v>79</v>
      </c>
      <c r="L1136" s="7" t="str">
        <f t="shared" si="192"/>
        <v>mi.raa.ba</v>
      </c>
      <c r="M1136" s="7" t="str">
        <f t="shared" si="193"/>
        <v>R.Kalyani</v>
      </c>
      <c r="N1136" s="6">
        <f t="shared" si="199"/>
        <v>0</v>
      </c>
      <c r="O1136" s="6">
        <f t="shared" si="198"/>
        <v>4</v>
      </c>
      <c r="P1136" s="6" t="str">
        <f t="shared" si="194"/>
        <v>N</v>
      </c>
      <c r="Q1136" s="6">
        <f t="shared" si="195"/>
        <v>15</v>
      </c>
      <c r="R1136" s="6" t="str">
        <f t="shared" si="196"/>
        <v>2016</v>
      </c>
      <c r="S1136" s="6" t="str">
        <f t="shared" si="197"/>
        <v>Aug</v>
      </c>
    </row>
    <row r="1137" spans="1:19" x14ac:dyDescent="0.25">
      <c r="A1137" s="6">
        <v>1273</v>
      </c>
      <c r="B1137" s="6" t="str">
        <f t="shared" si="189"/>
        <v>NIKMIS01273</v>
      </c>
      <c r="C1137" s="7" t="s">
        <v>1339</v>
      </c>
      <c r="D1137" s="7" t="s">
        <v>1340</v>
      </c>
      <c r="E1137" s="7" t="str">
        <f t="shared" si="190"/>
        <v>MAYUR DAMODHAR</v>
      </c>
      <c r="F1137" s="7" t="s">
        <v>15</v>
      </c>
      <c r="G1137" s="22">
        <v>44743</v>
      </c>
      <c r="H1137" s="8">
        <v>50139</v>
      </c>
      <c r="I1137" s="7" t="str">
        <f t="shared" si="191"/>
        <v>mayur.damodhar@mi.dar.ba</v>
      </c>
      <c r="J1137" s="6" t="s">
        <v>1548</v>
      </c>
      <c r="K1137" s="6">
        <v>40</v>
      </c>
      <c r="L1137" s="7" t="str">
        <f t="shared" si="192"/>
        <v>mi.dar.ba</v>
      </c>
      <c r="M1137" s="7" t="str">
        <f t="shared" si="193"/>
        <v>D.Mayur</v>
      </c>
      <c r="N1137" s="6">
        <f t="shared" si="199"/>
        <v>0</v>
      </c>
      <c r="O1137" s="6">
        <f t="shared" si="198"/>
        <v>0</v>
      </c>
      <c r="P1137" s="6" t="str">
        <f t="shared" si="194"/>
        <v>N</v>
      </c>
      <c r="Q1137" s="6">
        <f t="shared" si="195"/>
        <v>13</v>
      </c>
      <c r="R1137" s="6" t="str">
        <f t="shared" si="196"/>
        <v>2022</v>
      </c>
      <c r="S1137" s="6" t="str">
        <f t="shared" si="197"/>
        <v>Jul</v>
      </c>
    </row>
    <row r="1138" spans="1:19" x14ac:dyDescent="0.25">
      <c r="A1138" s="6">
        <v>1276</v>
      </c>
      <c r="B1138" s="6" t="str">
        <f t="shared" si="189"/>
        <v>NIKMIS01276</v>
      </c>
      <c r="C1138" s="7" t="s">
        <v>141</v>
      </c>
      <c r="D1138" s="7" t="s">
        <v>1342</v>
      </c>
      <c r="E1138" s="7" t="str">
        <f t="shared" si="190"/>
        <v>SAURABH ATRI</v>
      </c>
      <c r="F1138" s="7" t="s">
        <v>15</v>
      </c>
      <c r="G1138" s="22">
        <v>44137</v>
      </c>
      <c r="H1138" s="8">
        <v>27575</v>
      </c>
      <c r="I1138" s="7" t="str">
        <f t="shared" si="191"/>
        <v>saurabh.atri@mi.ati.ba</v>
      </c>
      <c r="J1138" s="6" t="s">
        <v>1535</v>
      </c>
      <c r="K1138" s="6">
        <v>61</v>
      </c>
      <c r="L1138" s="7" t="str">
        <f t="shared" si="192"/>
        <v>mi.ati.ba</v>
      </c>
      <c r="M1138" s="7" t="str">
        <f t="shared" si="193"/>
        <v>A.Saurabh</v>
      </c>
      <c r="N1138" s="6">
        <f t="shared" si="199"/>
        <v>0</v>
      </c>
      <c r="O1138" s="6">
        <f t="shared" si="198"/>
        <v>0</v>
      </c>
      <c r="P1138" s="6" t="str">
        <f t="shared" si="194"/>
        <v>N</v>
      </c>
      <c r="Q1138" s="6">
        <f t="shared" si="195"/>
        <v>11</v>
      </c>
      <c r="R1138" s="6" t="str">
        <f t="shared" si="196"/>
        <v>2020</v>
      </c>
      <c r="S1138" s="6" t="str">
        <f t="shared" si="197"/>
        <v>Nov</v>
      </c>
    </row>
    <row r="1139" spans="1:19" x14ac:dyDescent="0.25">
      <c r="A1139" s="6">
        <v>1283</v>
      </c>
      <c r="B1139" s="6" t="str">
        <f t="shared" si="189"/>
        <v>NIKMIS01283</v>
      </c>
      <c r="C1139" s="7" t="s">
        <v>146</v>
      </c>
      <c r="D1139" s="7" t="s">
        <v>95</v>
      </c>
      <c r="E1139" s="7" t="str">
        <f t="shared" si="190"/>
        <v>ANKIT JOSHI</v>
      </c>
      <c r="F1139" s="7" t="s">
        <v>15</v>
      </c>
      <c r="G1139" s="22">
        <v>44238</v>
      </c>
      <c r="H1139" s="8">
        <v>52187</v>
      </c>
      <c r="I1139" s="7" t="str">
        <f t="shared" si="191"/>
        <v>ankit.joshi@mi.joi.ba</v>
      </c>
      <c r="J1139" s="6" t="s">
        <v>1547</v>
      </c>
      <c r="K1139" s="6">
        <v>39</v>
      </c>
      <c r="L1139" s="7" t="str">
        <f t="shared" si="192"/>
        <v>mi.joi.ba</v>
      </c>
      <c r="M1139" s="7" t="str">
        <f t="shared" si="193"/>
        <v>J.Ankit</v>
      </c>
      <c r="N1139" s="6">
        <f t="shared" si="199"/>
        <v>0</v>
      </c>
      <c r="O1139" s="6">
        <f t="shared" si="198"/>
        <v>0</v>
      </c>
      <c r="P1139" s="6" t="str">
        <f t="shared" si="194"/>
        <v>N</v>
      </c>
      <c r="Q1139" s="6">
        <f t="shared" si="195"/>
        <v>10</v>
      </c>
      <c r="R1139" s="6" t="str">
        <f t="shared" si="196"/>
        <v>2021</v>
      </c>
      <c r="S1139" s="6" t="str">
        <f t="shared" si="197"/>
        <v>Feb</v>
      </c>
    </row>
    <row r="1140" spans="1:19" x14ac:dyDescent="0.25">
      <c r="A1140" s="6">
        <v>1288</v>
      </c>
      <c r="B1140" s="6" t="str">
        <f t="shared" si="189"/>
        <v>NIKMIS01288</v>
      </c>
      <c r="C1140" s="7" t="s">
        <v>1349</v>
      </c>
      <c r="D1140" s="7" t="s">
        <v>231</v>
      </c>
      <c r="E1140" s="7" t="str">
        <f t="shared" si="190"/>
        <v>HARDIK PANDYA</v>
      </c>
      <c r="F1140" s="7" t="s">
        <v>15</v>
      </c>
      <c r="G1140" s="22">
        <v>44792</v>
      </c>
      <c r="H1140" s="8">
        <v>71228</v>
      </c>
      <c r="I1140" s="7" t="str">
        <f t="shared" si="191"/>
        <v>hardik.pandya@mi.paa.ba</v>
      </c>
      <c r="J1140" s="6" t="s">
        <v>1537</v>
      </c>
      <c r="K1140" s="6">
        <v>40</v>
      </c>
      <c r="L1140" s="7" t="str">
        <f t="shared" si="192"/>
        <v>mi.paa.ba</v>
      </c>
      <c r="M1140" s="7" t="str">
        <f t="shared" si="193"/>
        <v>P.Hardik</v>
      </c>
      <c r="N1140" s="6">
        <f t="shared" si="199"/>
        <v>0</v>
      </c>
      <c r="O1140" s="6">
        <f t="shared" si="198"/>
        <v>0</v>
      </c>
      <c r="P1140" s="6" t="str">
        <f t="shared" si="194"/>
        <v>N</v>
      </c>
      <c r="Q1140" s="6">
        <f t="shared" si="195"/>
        <v>12</v>
      </c>
      <c r="R1140" s="6" t="str">
        <f t="shared" si="196"/>
        <v>2022</v>
      </c>
      <c r="S1140" s="6" t="str">
        <f t="shared" si="197"/>
        <v>Aug</v>
      </c>
    </row>
    <row r="1141" spans="1:19" x14ac:dyDescent="0.25">
      <c r="A1141" s="6">
        <v>1297</v>
      </c>
      <c r="B1141" s="6" t="str">
        <f t="shared" si="189"/>
        <v>NIKMIS01297</v>
      </c>
      <c r="C1141" s="7" t="s">
        <v>1355</v>
      </c>
      <c r="D1141" s="7" t="s">
        <v>1356</v>
      </c>
      <c r="E1141" s="7" t="str">
        <f t="shared" si="190"/>
        <v>ABHA DURGESHBHAI</v>
      </c>
      <c r="F1141" s="7" t="s">
        <v>15</v>
      </c>
      <c r="G1141" s="22">
        <v>43318</v>
      </c>
      <c r="H1141" s="8">
        <v>44745</v>
      </c>
      <c r="I1141" s="7" t="str">
        <f t="shared" si="191"/>
        <v>abha.durgeshbhai@mi.dui.ba</v>
      </c>
      <c r="J1141" s="6" t="s">
        <v>1540</v>
      </c>
      <c r="K1141" s="6">
        <v>68</v>
      </c>
      <c r="L1141" s="7" t="str">
        <f t="shared" si="192"/>
        <v>mi.dui.ba</v>
      </c>
      <c r="M1141" s="7" t="str">
        <f t="shared" si="193"/>
        <v>D.Abha</v>
      </c>
      <c r="N1141" s="6">
        <f t="shared" si="199"/>
        <v>0</v>
      </c>
      <c r="O1141" s="6">
        <f t="shared" si="198"/>
        <v>5</v>
      </c>
      <c r="P1141" s="6" t="str">
        <f t="shared" si="194"/>
        <v>N</v>
      </c>
      <c r="Q1141" s="6">
        <f t="shared" si="195"/>
        <v>15</v>
      </c>
      <c r="R1141" s="6" t="str">
        <f t="shared" si="196"/>
        <v>2018</v>
      </c>
      <c r="S1141" s="6" t="str">
        <f t="shared" si="197"/>
        <v>Aug</v>
      </c>
    </row>
    <row r="1142" spans="1:19" x14ac:dyDescent="0.25">
      <c r="A1142" s="6">
        <v>1302</v>
      </c>
      <c r="B1142" s="6" t="str">
        <f t="shared" si="189"/>
        <v>NIKMIS01302</v>
      </c>
      <c r="C1142" s="7" t="s">
        <v>121</v>
      </c>
      <c r="D1142" s="7" t="s">
        <v>162</v>
      </c>
      <c r="E1142" s="7" t="str">
        <f t="shared" si="190"/>
        <v>RICHA PATHAK</v>
      </c>
      <c r="F1142" s="7" t="s">
        <v>15</v>
      </c>
      <c r="G1142" s="22">
        <v>44419</v>
      </c>
      <c r="H1142" s="8">
        <v>69558</v>
      </c>
      <c r="I1142" s="7" t="str">
        <f t="shared" si="191"/>
        <v>richa.pathak@mi.pak.ba</v>
      </c>
      <c r="J1142" s="6" t="s">
        <v>1537</v>
      </c>
      <c r="K1142" s="6">
        <v>71</v>
      </c>
      <c r="L1142" s="7" t="str">
        <f t="shared" si="192"/>
        <v>mi.pak.ba</v>
      </c>
      <c r="M1142" s="7" t="str">
        <f t="shared" si="193"/>
        <v>P.Richa</v>
      </c>
      <c r="N1142" s="6">
        <f t="shared" si="199"/>
        <v>0</v>
      </c>
      <c r="O1142" s="6">
        <f t="shared" si="198"/>
        <v>0</v>
      </c>
      <c r="P1142" s="6" t="str">
        <f t="shared" si="194"/>
        <v>N</v>
      </c>
      <c r="Q1142" s="6">
        <f t="shared" si="195"/>
        <v>11</v>
      </c>
      <c r="R1142" s="6" t="str">
        <f t="shared" si="196"/>
        <v>2021</v>
      </c>
      <c r="S1142" s="6" t="str">
        <f t="shared" si="197"/>
        <v>Aug</v>
      </c>
    </row>
    <row r="1143" spans="1:19" x14ac:dyDescent="0.25">
      <c r="A1143" s="6">
        <v>1310</v>
      </c>
      <c r="B1143" s="6" t="str">
        <f t="shared" si="189"/>
        <v>NIKMIS01310</v>
      </c>
      <c r="C1143" s="7" t="s">
        <v>1360</v>
      </c>
      <c r="D1143" s="7" t="s">
        <v>70</v>
      </c>
      <c r="E1143" s="7" t="str">
        <f t="shared" si="190"/>
        <v>APURWA SINGH</v>
      </c>
      <c r="F1143" s="7" t="s">
        <v>15</v>
      </c>
      <c r="G1143" s="22">
        <v>44902</v>
      </c>
      <c r="H1143" s="8">
        <v>95872</v>
      </c>
      <c r="I1143" s="7" t="str">
        <f t="shared" si="191"/>
        <v>apurwa.singh@mi.sih.ba</v>
      </c>
      <c r="J1143" s="6" t="s">
        <v>1548</v>
      </c>
      <c r="K1143" s="6">
        <v>83</v>
      </c>
      <c r="L1143" s="7" t="str">
        <f t="shared" si="192"/>
        <v>mi.sih.ba</v>
      </c>
      <c r="M1143" s="7" t="str">
        <f t="shared" si="193"/>
        <v>S.Apurwa</v>
      </c>
      <c r="N1143" s="6">
        <f t="shared" si="199"/>
        <v>0</v>
      </c>
      <c r="O1143" s="6">
        <f t="shared" si="198"/>
        <v>0</v>
      </c>
      <c r="P1143" s="6" t="str">
        <f t="shared" si="194"/>
        <v>N</v>
      </c>
      <c r="Q1143" s="6">
        <f t="shared" si="195"/>
        <v>11</v>
      </c>
      <c r="R1143" s="6" t="str">
        <f t="shared" si="196"/>
        <v>2022</v>
      </c>
      <c r="S1143" s="6" t="str">
        <f t="shared" si="197"/>
        <v>Dec</v>
      </c>
    </row>
    <row r="1144" spans="1:19" x14ac:dyDescent="0.25">
      <c r="A1144" s="6">
        <v>1335</v>
      </c>
      <c r="B1144" s="6" t="str">
        <f t="shared" si="189"/>
        <v>NIKMIS01335</v>
      </c>
      <c r="C1144" s="7" t="s">
        <v>743</v>
      </c>
      <c r="D1144" s="7" t="s">
        <v>774</v>
      </c>
      <c r="E1144" s="7" t="str">
        <f t="shared" si="190"/>
        <v>DISHA PARASHAR</v>
      </c>
      <c r="F1144" s="7" t="s">
        <v>15</v>
      </c>
      <c r="G1144" s="22">
        <v>44749</v>
      </c>
      <c r="H1144" s="8">
        <v>53360</v>
      </c>
      <c r="I1144" s="7" t="str">
        <f t="shared" si="191"/>
        <v>disha.parashar@mi.par.ba</v>
      </c>
      <c r="J1144" s="6" t="s">
        <v>1551</v>
      </c>
      <c r="K1144" s="6">
        <v>78</v>
      </c>
      <c r="L1144" s="7" t="str">
        <f t="shared" si="192"/>
        <v>mi.par.ba</v>
      </c>
      <c r="M1144" s="7" t="str">
        <f t="shared" si="193"/>
        <v>P.Disha</v>
      </c>
      <c r="N1144" s="6">
        <f t="shared" si="199"/>
        <v>0</v>
      </c>
      <c r="O1144" s="6">
        <f t="shared" si="198"/>
        <v>0</v>
      </c>
      <c r="P1144" s="6" t="str">
        <f t="shared" si="194"/>
        <v>N</v>
      </c>
      <c r="Q1144" s="6">
        <f t="shared" si="195"/>
        <v>13</v>
      </c>
      <c r="R1144" s="6" t="str">
        <f t="shared" si="196"/>
        <v>2022</v>
      </c>
      <c r="S1144" s="6" t="str">
        <f t="shared" si="197"/>
        <v>Jul</v>
      </c>
    </row>
    <row r="1145" spans="1:19" x14ac:dyDescent="0.25">
      <c r="A1145" s="6">
        <v>1353</v>
      </c>
      <c r="B1145" s="6" t="str">
        <f t="shared" si="189"/>
        <v>NIKMIS01353</v>
      </c>
      <c r="C1145" s="7" t="s">
        <v>842</v>
      </c>
      <c r="D1145" s="7" t="s">
        <v>503</v>
      </c>
      <c r="E1145" s="7" t="str">
        <f t="shared" si="190"/>
        <v>HIMANSHI LALBAHADUR</v>
      </c>
      <c r="F1145" s="7" t="s">
        <v>15</v>
      </c>
      <c r="G1145" s="22">
        <v>45139</v>
      </c>
      <c r="H1145" s="8">
        <v>60847</v>
      </c>
      <c r="I1145" s="7" t="str">
        <f t="shared" si="191"/>
        <v>himanshi.lalbahadur@mi.lar.ba</v>
      </c>
      <c r="J1145" s="6" t="s">
        <v>1534</v>
      </c>
      <c r="K1145" s="6">
        <v>90</v>
      </c>
      <c r="L1145" s="7" t="str">
        <f t="shared" si="192"/>
        <v>mi.lar.ba</v>
      </c>
      <c r="M1145" s="7" t="str">
        <f t="shared" si="193"/>
        <v>L.Himanshi</v>
      </c>
      <c r="N1145" s="6">
        <f t="shared" si="199"/>
        <v>0</v>
      </c>
      <c r="O1145" s="6">
        <f t="shared" si="198"/>
        <v>0</v>
      </c>
      <c r="P1145" s="6" t="str">
        <f t="shared" si="194"/>
        <v>N</v>
      </c>
      <c r="Q1145" s="6">
        <f t="shared" si="195"/>
        <v>18</v>
      </c>
      <c r="R1145" s="6" t="str">
        <f t="shared" si="196"/>
        <v>2023</v>
      </c>
      <c r="S1145" s="6" t="str">
        <f t="shared" si="197"/>
        <v>Aug</v>
      </c>
    </row>
    <row r="1146" spans="1:19" x14ac:dyDescent="0.25">
      <c r="A1146" s="6">
        <v>1354</v>
      </c>
      <c r="B1146" s="6" t="str">
        <f t="shared" si="189"/>
        <v>NIKMIS01354</v>
      </c>
      <c r="C1146" s="7" t="s">
        <v>1396</v>
      </c>
      <c r="D1146" s="7" t="s">
        <v>1397</v>
      </c>
      <c r="E1146" s="7" t="str">
        <f t="shared" si="190"/>
        <v>Gayatri Ashok</v>
      </c>
      <c r="F1146" s="7" t="s">
        <v>15</v>
      </c>
      <c r="G1146" s="22">
        <v>44835</v>
      </c>
      <c r="H1146" s="8">
        <v>89847</v>
      </c>
      <c r="I1146" s="7" t="str">
        <f t="shared" si="191"/>
        <v>gayatri.ashok@mi.ask.ba</v>
      </c>
      <c r="J1146" s="6" t="s">
        <v>1536</v>
      </c>
      <c r="K1146" s="6">
        <v>64</v>
      </c>
      <c r="L1146" s="7" t="str">
        <f t="shared" si="192"/>
        <v>mi.ask.ba</v>
      </c>
      <c r="M1146" s="7" t="str">
        <f t="shared" si="193"/>
        <v>A.Gayatri</v>
      </c>
      <c r="N1146" s="6">
        <f t="shared" si="199"/>
        <v>0</v>
      </c>
      <c r="O1146" s="6">
        <f t="shared" si="198"/>
        <v>0</v>
      </c>
      <c r="P1146" s="6" t="str">
        <f t="shared" si="194"/>
        <v>N</v>
      </c>
      <c r="Q1146" s="6">
        <f t="shared" si="195"/>
        <v>12</v>
      </c>
      <c r="R1146" s="6" t="str">
        <f t="shared" si="196"/>
        <v>2022</v>
      </c>
      <c r="S1146" s="6" t="str">
        <f t="shared" si="197"/>
        <v>Oct</v>
      </c>
    </row>
    <row r="1147" spans="1:19" x14ac:dyDescent="0.25">
      <c r="A1147" s="6">
        <v>1355</v>
      </c>
      <c r="B1147" s="6" t="str">
        <f t="shared" si="189"/>
        <v>NIKMIS01355</v>
      </c>
      <c r="C1147" s="7" t="s">
        <v>309</v>
      </c>
      <c r="D1147" s="7" t="s">
        <v>168</v>
      </c>
      <c r="E1147" s="7" t="str">
        <f t="shared" si="190"/>
        <v>SUMIT TIWARI</v>
      </c>
      <c r="F1147" s="7" t="s">
        <v>15</v>
      </c>
      <c r="G1147" s="22">
        <v>45017</v>
      </c>
      <c r="H1147" s="8">
        <v>48240</v>
      </c>
      <c r="I1147" s="7" t="str">
        <f t="shared" si="191"/>
        <v>sumit.tiwari@mi.tii.ba</v>
      </c>
      <c r="J1147" s="6" t="s">
        <v>1540</v>
      </c>
      <c r="K1147" s="6">
        <v>81</v>
      </c>
      <c r="L1147" s="7" t="str">
        <f t="shared" si="192"/>
        <v>mi.tii.ba</v>
      </c>
      <c r="M1147" s="7" t="str">
        <f t="shared" si="193"/>
        <v>T.Sumit</v>
      </c>
      <c r="N1147" s="6">
        <f t="shared" si="199"/>
        <v>0</v>
      </c>
      <c r="O1147" s="6">
        <f t="shared" si="198"/>
        <v>0</v>
      </c>
      <c r="P1147" s="6" t="str">
        <f t="shared" si="194"/>
        <v>N</v>
      </c>
      <c r="Q1147" s="6">
        <f t="shared" si="195"/>
        <v>11</v>
      </c>
      <c r="R1147" s="6" t="str">
        <f t="shared" si="196"/>
        <v>2023</v>
      </c>
      <c r="S1147" s="6" t="str">
        <f t="shared" si="197"/>
        <v>Apr</v>
      </c>
    </row>
    <row r="1148" spans="1:19" x14ac:dyDescent="0.25">
      <c r="A1148" s="6">
        <v>1363</v>
      </c>
      <c r="B1148" s="6" t="str">
        <f t="shared" si="189"/>
        <v>NIKMIS01363</v>
      </c>
      <c r="C1148" s="7" t="s">
        <v>1406</v>
      </c>
      <c r="D1148" s="7" t="s">
        <v>1407</v>
      </c>
      <c r="E1148" s="7" t="str">
        <f t="shared" si="190"/>
        <v>PREMANAND CHINTAMAN</v>
      </c>
      <c r="F1148" s="7" t="s">
        <v>15</v>
      </c>
      <c r="G1148" s="22">
        <v>45017</v>
      </c>
      <c r="H1148" s="8">
        <v>28295</v>
      </c>
      <c r="I1148" s="7" t="str">
        <f t="shared" si="191"/>
        <v>premanand.chintaman@mi.chn.ba</v>
      </c>
      <c r="J1148" s="6" t="s">
        <v>1533</v>
      </c>
      <c r="K1148" s="6">
        <v>60</v>
      </c>
      <c r="L1148" s="7" t="str">
        <f t="shared" si="192"/>
        <v>mi.chn.ba</v>
      </c>
      <c r="M1148" s="7" t="str">
        <f t="shared" si="193"/>
        <v>C.Premanand</v>
      </c>
      <c r="N1148" s="6">
        <f t="shared" si="199"/>
        <v>3</v>
      </c>
      <c r="O1148" s="6">
        <f t="shared" si="198"/>
        <v>0</v>
      </c>
      <c r="P1148" s="6" t="str">
        <f t="shared" si="194"/>
        <v>N</v>
      </c>
      <c r="Q1148" s="6">
        <f t="shared" si="195"/>
        <v>18</v>
      </c>
      <c r="R1148" s="6" t="str">
        <f t="shared" si="196"/>
        <v>2023</v>
      </c>
      <c r="S1148" s="6" t="str">
        <f t="shared" si="197"/>
        <v>Apr</v>
      </c>
    </row>
    <row r="1149" spans="1:19" x14ac:dyDescent="0.25">
      <c r="A1149" s="6">
        <v>1391</v>
      </c>
      <c r="B1149" s="6" t="str">
        <f t="shared" si="189"/>
        <v>NIKMIS01391</v>
      </c>
      <c r="C1149" s="7" t="s">
        <v>1431</v>
      </c>
      <c r="D1149" s="7" t="s">
        <v>1432</v>
      </c>
      <c r="E1149" s="7" t="str">
        <f t="shared" si="190"/>
        <v>ROSHNI CHHABRIA</v>
      </c>
      <c r="F1149" s="7" t="s">
        <v>15</v>
      </c>
      <c r="G1149" s="22">
        <v>45181</v>
      </c>
      <c r="H1149" s="8">
        <v>28910</v>
      </c>
      <c r="I1149" s="7" t="str">
        <f t="shared" si="191"/>
        <v>roshni.chhabria@mi.cha.ba</v>
      </c>
      <c r="J1149" s="6" t="s">
        <v>1548</v>
      </c>
      <c r="K1149" s="6">
        <v>38</v>
      </c>
      <c r="L1149" s="7" t="str">
        <f t="shared" si="192"/>
        <v>mi.cha.ba</v>
      </c>
      <c r="M1149" s="7" t="str">
        <f t="shared" si="193"/>
        <v>C.Roshni</v>
      </c>
      <c r="N1149" s="6">
        <f t="shared" si="199"/>
        <v>0</v>
      </c>
      <c r="O1149" s="6">
        <f t="shared" si="198"/>
        <v>0</v>
      </c>
      <c r="P1149" s="6" t="str">
        <f t="shared" si="194"/>
        <v>N</v>
      </c>
      <c r="Q1149" s="6">
        <f t="shared" si="195"/>
        <v>14</v>
      </c>
      <c r="R1149" s="6" t="str">
        <f t="shared" si="196"/>
        <v>2023</v>
      </c>
      <c r="S1149" s="6" t="str">
        <f t="shared" si="197"/>
        <v>Sep</v>
      </c>
    </row>
    <row r="1150" spans="1:19" x14ac:dyDescent="0.25">
      <c r="A1150" s="6">
        <v>1400</v>
      </c>
      <c r="B1150" s="6" t="str">
        <f t="shared" si="189"/>
        <v>NIKMIS01400</v>
      </c>
      <c r="C1150" s="7" t="s">
        <v>60</v>
      </c>
      <c r="D1150" s="7" t="s">
        <v>68</v>
      </c>
      <c r="E1150" s="7" t="str">
        <f t="shared" si="190"/>
        <v>AJAY KUMAR</v>
      </c>
      <c r="F1150" s="7" t="s">
        <v>15</v>
      </c>
      <c r="G1150" s="22">
        <v>45145</v>
      </c>
      <c r="H1150" s="8">
        <v>88084</v>
      </c>
      <c r="I1150" s="7" t="str">
        <f t="shared" si="191"/>
        <v>ajay.kumar@mi.kur.ba</v>
      </c>
      <c r="J1150" s="6" t="s">
        <v>1539</v>
      </c>
      <c r="K1150" s="6">
        <v>75</v>
      </c>
      <c r="L1150" s="7" t="str">
        <f t="shared" si="192"/>
        <v>mi.kur.ba</v>
      </c>
      <c r="M1150" s="7" t="str">
        <f t="shared" si="193"/>
        <v>K.Ajay</v>
      </c>
      <c r="N1150" s="6">
        <f t="shared" si="199"/>
        <v>0</v>
      </c>
      <c r="O1150" s="6">
        <f t="shared" si="198"/>
        <v>0</v>
      </c>
      <c r="P1150" s="6" t="str">
        <f t="shared" si="194"/>
        <v>N</v>
      </c>
      <c r="Q1150" s="6">
        <f t="shared" si="195"/>
        <v>9</v>
      </c>
      <c r="R1150" s="6" t="str">
        <f t="shared" si="196"/>
        <v>2023</v>
      </c>
      <c r="S1150" s="6" t="str">
        <f t="shared" si="197"/>
        <v>Aug</v>
      </c>
    </row>
    <row r="1151" spans="1:19" x14ac:dyDescent="0.25">
      <c r="A1151" s="6">
        <v>1430</v>
      </c>
      <c r="B1151" s="6" t="str">
        <f t="shared" si="189"/>
        <v>NIKMIS01430</v>
      </c>
      <c r="C1151" s="7" t="s">
        <v>248</v>
      </c>
      <c r="D1151" s="7" t="s">
        <v>1462</v>
      </c>
      <c r="E1151" s="7" t="str">
        <f t="shared" si="190"/>
        <v>PRIYANKA URKUDE</v>
      </c>
      <c r="F1151" s="7" t="s">
        <v>15</v>
      </c>
      <c r="G1151" s="22">
        <v>45250</v>
      </c>
      <c r="H1151" s="8">
        <v>71252</v>
      </c>
      <c r="I1151" s="7" t="str">
        <f t="shared" si="191"/>
        <v>priyanka.urkude@mi.ure.ba</v>
      </c>
      <c r="J1151" s="6" t="s">
        <v>1542</v>
      </c>
      <c r="K1151" s="6">
        <v>63</v>
      </c>
      <c r="L1151" s="7" t="str">
        <f t="shared" si="192"/>
        <v>mi.ure.ba</v>
      </c>
      <c r="M1151" s="7" t="str">
        <f t="shared" si="193"/>
        <v>U.Priyanka</v>
      </c>
      <c r="N1151" s="6">
        <f t="shared" si="199"/>
        <v>0</v>
      </c>
      <c r="O1151" s="6">
        <f t="shared" si="198"/>
        <v>6</v>
      </c>
      <c r="P1151" s="6" t="str">
        <f t="shared" si="194"/>
        <v>N</v>
      </c>
      <c r="Q1151" s="6">
        <f t="shared" si="195"/>
        <v>14</v>
      </c>
      <c r="R1151" s="6" t="str">
        <f t="shared" si="196"/>
        <v>2023</v>
      </c>
      <c r="S1151" s="6" t="str">
        <f t="shared" si="197"/>
        <v>Nov</v>
      </c>
    </row>
    <row r="1152" spans="1:19" x14ac:dyDescent="0.25">
      <c r="A1152" s="6">
        <v>1437</v>
      </c>
      <c r="B1152" s="6" t="str">
        <f t="shared" si="189"/>
        <v>NIKMIS01437</v>
      </c>
      <c r="C1152" s="7" t="s">
        <v>1471</v>
      </c>
      <c r="D1152" s="7" t="s">
        <v>621</v>
      </c>
      <c r="E1152" s="7" t="str">
        <f t="shared" si="190"/>
        <v>CHAHAL SEHGAL</v>
      </c>
      <c r="F1152" s="7" t="s">
        <v>15</v>
      </c>
      <c r="G1152" s="22">
        <v>42809</v>
      </c>
      <c r="H1152" s="8">
        <v>77448</v>
      </c>
      <c r="I1152" s="7" t="str">
        <f t="shared" si="191"/>
        <v>chahal.sehgal@mi.sel.ba</v>
      </c>
      <c r="J1152" s="6" t="s">
        <v>1539</v>
      </c>
      <c r="K1152" s="6">
        <v>36</v>
      </c>
      <c r="L1152" s="7" t="str">
        <f t="shared" si="192"/>
        <v>mi.sel.ba</v>
      </c>
      <c r="M1152" s="7" t="str">
        <f t="shared" si="193"/>
        <v>S.Chahal</v>
      </c>
      <c r="N1152" s="6">
        <f t="shared" si="199"/>
        <v>0</v>
      </c>
      <c r="O1152" s="6">
        <f t="shared" si="198"/>
        <v>2</v>
      </c>
      <c r="P1152" s="6" t="str">
        <f t="shared" si="194"/>
        <v>N</v>
      </c>
      <c r="Q1152" s="6">
        <f t="shared" si="195"/>
        <v>12</v>
      </c>
      <c r="R1152" s="6" t="str">
        <f t="shared" si="196"/>
        <v>2017</v>
      </c>
      <c r="S1152" s="6" t="str">
        <f t="shared" si="197"/>
        <v>Mar</v>
      </c>
    </row>
    <row r="1153" spans="1:19" x14ac:dyDescent="0.25">
      <c r="A1153" s="6">
        <v>1441</v>
      </c>
      <c r="B1153" s="6" t="str">
        <f t="shared" si="189"/>
        <v>NIKMIS01441</v>
      </c>
      <c r="C1153" s="7" t="s">
        <v>1476</v>
      </c>
      <c r="D1153" s="7" t="s">
        <v>1477</v>
      </c>
      <c r="E1153" s="7" t="str">
        <f t="shared" si="190"/>
        <v>Priya Jha</v>
      </c>
      <c r="F1153" s="7" t="s">
        <v>15</v>
      </c>
      <c r="G1153" s="22">
        <v>45293</v>
      </c>
      <c r="H1153" s="8">
        <v>38593</v>
      </c>
      <c r="I1153" s="7" t="str">
        <f t="shared" si="191"/>
        <v>priya.jha@mi.jha.ba</v>
      </c>
      <c r="J1153" s="6" t="s">
        <v>1535</v>
      </c>
      <c r="K1153" s="6">
        <v>72</v>
      </c>
      <c r="L1153" s="7" t="str">
        <f t="shared" si="192"/>
        <v>mi.jha.ba</v>
      </c>
      <c r="M1153" s="7" t="str">
        <f t="shared" si="193"/>
        <v>J.Priya</v>
      </c>
      <c r="N1153" s="6">
        <f t="shared" si="199"/>
        <v>0</v>
      </c>
      <c r="O1153" s="6">
        <f t="shared" si="198"/>
        <v>0</v>
      </c>
      <c r="P1153" s="6" t="str">
        <f t="shared" si="194"/>
        <v>N</v>
      </c>
      <c r="Q1153" s="6">
        <f t="shared" si="195"/>
        <v>8</v>
      </c>
      <c r="R1153" s="6" t="str">
        <f t="shared" si="196"/>
        <v>2024</v>
      </c>
      <c r="S1153" s="6" t="str">
        <f t="shared" si="197"/>
        <v>Jan</v>
      </c>
    </row>
    <row r="1154" spans="1:19" x14ac:dyDescent="0.25">
      <c r="A1154" s="6">
        <v>1442</v>
      </c>
      <c r="B1154" s="6" t="str">
        <f t="shared" ref="B1154:B1217" si="200">_xlfn.TEXTJOIN("",TRUE,"NIK",UPPER(LEFT(SUBSTITUTE(SUBSTITUTE(F1154," ",""),"&amp;",""),3)),TEXT(A1154,"00000"))</f>
        <v>NIKMIS01442</v>
      </c>
      <c r="C1154" s="7" t="s">
        <v>1478</v>
      </c>
      <c r="D1154" s="7" t="s">
        <v>1479</v>
      </c>
      <c r="E1154" s="7" t="str">
        <f t="shared" ref="E1154:E1217" si="201">_xlfn.TEXTJOIN(" ",TRUE,C1154,D1154)</f>
        <v>Saloni Gupta</v>
      </c>
      <c r="F1154" s="7" t="s">
        <v>15</v>
      </c>
      <c r="G1154" s="22">
        <v>44480</v>
      </c>
      <c r="H1154" s="8">
        <v>99370</v>
      </c>
      <c r="I1154" s="7" t="str">
        <f t="shared" ref="I1154:I1217" si="202">LOWER(C1154&amp;"."&amp;D1154&amp;"@"&amp;LEFT(SUBSTITUTE(F1154," ",""),2))&amp;LOWER("."&amp;LEFT(D1154,2))&amp;LOWER(RIGHT(D1154,1))&amp;".ba"</f>
        <v>saloni.gupta@mi.gua.ba</v>
      </c>
      <c r="J1154" s="6" t="s">
        <v>1544</v>
      </c>
      <c r="K1154" s="6">
        <v>59</v>
      </c>
      <c r="L1154" s="7" t="str">
        <f t="shared" ref="L1154:L1217" si="203">RIGHT(I1154,LEN(I1154)-FIND("@",I1154))</f>
        <v>mi.gua.ba</v>
      </c>
      <c r="M1154" s="7" t="str">
        <f t="shared" ref="M1154:M1217" si="204">UPPER(LEFT(D1154,1))&amp;"."&amp;PROPER(C1154)</f>
        <v>G.Saloni</v>
      </c>
      <c r="N1154" s="6">
        <f t="shared" si="199"/>
        <v>0</v>
      </c>
      <c r="O1154" s="6">
        <f t="shared" si="198"/>
        <v>0</v>
      </c>
      <c r="P1154" s="6" t="str">
        <f t="shared" ref="P1154:P1217" si="205">IF(AND(N1154&gt;=1,O1154&gt;=1),"Y","N")</f>
        <v>N</v>
      </c>
      <c r="Q1154" s="6">
        <f t="shared" ref="Q1154:Q1217" si="206">LEN(SUBSTITUTE(E1154, " ", ""))</f>
        <v>11</v>
      </c>
      <c r="R1154" s="6" t="str">
        <f t="shared" ref="R1154:R1217" si="207">TEXT(G1154,"YYYY")</f>
        <v>2021</v>
      </c>
      <c r="S1154" s="6" t="str">
        <f t="shared" ref="S1154:S1217" si="208">TEXT(G1154,"MMM")</f>
        <v>Oct</v>
      </c>
    </row>
    <row r="1155" spans="1:19" x14ac:dyDescent="0.25">
      <c r="A1155" s="6">
        <v>1450</v>
      </c>
      <c r="B1155" s="6" t="str">
        <f t="shared" si="200"/>
        <v>NIKMIS01450</v>
      </c>
      <c r="C1155" s="7" t="s">
        <v>1492</v>
      </c>
      <c r="D1155" s="7" t="s">
        <v>122</v>
      </c>
      <c r="E1155" s="7" t="str">
        <f t="shared" si="201"/>
        <v>SHERRYLL SHRIVASTAVA</v>
      </c>
      <c r="F1155" s="7" t="s">
        <v>15</v>
      </c>
      <c r="G1155" s="22">
        <v>45209</v>
      </c>
      <c r="H1155" s="8">
        <v>38964</v>
      </c>
      <c r="I1155" s="7" t="str">
        <f t="shared" si="202"/>
        <v>sherryll.shrivastava@mi.sha.ba</v>
      </c>
      <c r="J1155" s="6" t="s">
        <v>1549</v>
      </c>
      <c r="K1155" s="6">
        <v>80</v>
      </c>
      <c r="L1155" s="7" t="str">
        <f t="shared" si="203"/>
        <v>mi.sha.ba</v>
      </c>
      <c r="M1155" s="7" t="str">
        <f t="shared" si="204"/>
        <v>S.Sherryll</v>
      </c>
      <c r="N1155" s="6">
        <f t="shared" si="199"/>
        <v>3</v>
      </c>
      <c r="O1155" s="6">
        <f t="shared" si="198"/>
        <v>0</v>
      </c>
      <c r="P1155" s="6" t="str">
        <f t="shared" si="205"/>
        <v>N</v>
      </c>
      <c r="Q1155" s="6">
        <f t="shared" si="206"/>
        <v>19</v>
      </c>
      <c r="R1155" s="6" t="str">
        <f t="shared" si="207"/>
        <v>2023</v>
      </c>
      <c r="S1155" s="6" t="str">
        <f t="shared" si="208"/>
        <v>Oct</v>
      </c>
    </row>
    <row r="1156" spans="1:19" x14ac:dyDescent="0.25">
      <c r="A1156" s="6">
        <v>1462</v>
      </c>
      <c r="B1156" s="6" t="str">
        <f t="shared" si="200"/>
        <v>NIKMIS01462</v>
      </c>
      <c r="C1156" s="7" t="s">
        <v>1505</v>
      </c>
      <c r="D1156" s="7" t="s">
        <v>1506</v>
      </c>
      <c r="E1156" s="7" t="str">
        <f t="shared" si="201"/>
        <v>ASEEM NARAIN</v>
      </c>
      <c r="F1156" s="7" t="s">
        <v>15</v>
      </c>
      <c r="G1156" s="22">
        <v>41102</v>
      </c>
      <c r="H1156" s="8">
        <v>34590</v>
      </c>
      <c r="I1156" s="7" t="str">
        <f t="shared" si="202"/>
        <v>aseem.narain@mi.nan.ba</v>
      </c>
      <c r="J1156" s="6" t="s">
        <v>1550</v>
      </c>
      <c r="K1156" s="6">
        <v>53</v>
      </c>
      <c r="L1156" s="7" t="str">
        <f t="shared" si="203"/>
        <v>mi.nan.ba</v>
      </c>
      <c r="M1156" s="7" t="str">
        <f t="shared" si="204"/>
        <v>N.Aseem</v>
      </c>
      <c r="N1156" s="6">
        <f t="shared" si="199"/>
        <v>3</v>
      </c>
      <c r="O1156" s="6">
        <f t="shared" si="198"/>
        <v>0</v>
      </c>
      <c r="P1156" s="6" t="str">
        <f t="shared" si="205"/>
        <v>N</v>
      </c>
      <c r="Q1156" s="6">
        <f t="shared" si="206"/>
        <v>11</v>
      </c>
      <c r="R1156" s="6" t="str">
        <f t="shared" si="207"/>
        <v>2012</v>
      </c>
      <c r="S1156" s="6" t="str">
        <f t="shared" si="208"/>
        <v>Jul</v>
      </c>
    </row>
    <row r="1157" spans="1:19" x14ac:dyDescent="0.25">
      <c r="A1157" s="6">
        <v>1471</v>
      </c>
      <c r="B1157" s="6" t="str">
        <f t="shared" si="200"/>
        <v>NIKMIS01471</v>
      </c>
      <c r="C1157" s="7" t="s">
        <v>1519</v>
      </c>
      <c r="D1157" s="7" t="s">
        <v>1520</v>
      </c>
      <c r="E1157" s="7" t="str">
        <f t="shared" si="201"/>
        <v>Amol Suresh</v>
      </c>
      <c r="F1157" s="7" t="s">
        <v>15</v>
      </c>
      <c r="G1157" s="22">
        <v>42611</v>
      </c>
      <c r="H1157" s="8">
        <v>72287</v>
      </c>
      <c r="I1157" s="7" t="str">
        <f t="shared" si="202"/>
        <v>amol.suresh@mi.suh.ba</v>
      </c>
      <c r="J1157" s="6" t="s">
        <v>1546</v>
      </c>
      <c r="K1157" s="6">
        <v>80</v>
      </c>
      <c r="L1157" s="7" t="str">
        <f t="shared" si="203"/>
        <v>mi.suh.ba</v>
      </c>
      <c r="M1157" s="7" t="str">
        <f t="shared" si="204"/>
        <v>S.Amol</v>
      </c>
      <c r="N1157" s="6">
        <f t="shared" si="199"/>
        <v>0</v>
      </c>
      <c r="O1157" s="6">
        <f t="shared" si="198"/>
        <v>4</v>
      </c>
      <c r="P1157" s="6" t="str">
        <f t="shared" si="205"/>
        <v>N</v>
      </c>
      <c r="Q1157" s="6">
        <f t="shared" si="206"/>
        <v>10</v>
      </c>
      <c r="R1157" s="6" t="str">
        <f t="shared" si="207"/>
        <v>2016</v>
      </c>
      <c r="S1157" s="6" t="str">
        <f t="shared" si="208"/>
        <v>Aug</v>
      </c>
    </row>
    <row r="1158" spans="1:19" x14ac:dyDescent="0.25">
      <c r="A1158" s="6">
        <v>18</v>
      </c>
      <c r="B1158" s="6" t="str">
        <f t="shared" si="200"/>
        <v>NIKPRO00018</v>
      </c>
      <c r="C1158" s="7" t="s">
        <v>78</v>
      </c>
      <c r="D1158" s="7" t="s">
        <v>79</v>
      </c>
      <c r="E1158" s="7" t="str">
        <f t="shared" si="201"/>
        <v>SUNDEEP TYAGI</v>
      </c>
      <c r="F1158" s="7" t="s">
        <v>16</v>
      </c>
      <c r="G1158" s="22">
        <v>39217</v>
      </c>
      <c r="H1158" s="8">
        <v>67783</v>
      </c>
      <c r="I1158" s="7" t="str">
        <f t="shared" si="202"/>
        <v>sundeep.tyagi@pr.tyi.ba</v>
      </c>
      <c r="J1158" s="6" t="s">
        <v>1542</v>
      </c>
      <c r="K1158" s="6">
        <v>38</v>
      </c>
      <c r="L1158" s="7" t="str">
        <f t="shared" si="203"/>
        <v>pr.tyi.ba</v>
      </c>
      <c r="M1158" s="7" t="str">
        <f t="shared" si="204"/>
        <v>T.Sundeep</v>
      </c>
      <c r="N1158" s="6">
        <f t="shared" si="199"/>
        <v>5</v>
      </c>
      <c r="O1158" s="6">
        <f t="shared" si="198"/>
        <v>0</v>
      </c>
      <c r="P1158" s="6" t="str">
        <f t="shared" si="205"/>
        <v>N</v>
      </c>
      <c r="Q1158" s="6">
        <f t="shared" si="206"/>
        <v>12</v>
      </c>
      <c r="R1158" s="6" t="str">
        <f t="shared" si="207"/>
        <v>2007</v>
      </c>
      <c r="S1158" s="6" t="str">
        <f t="shared" si="208"/>
        <v>May</v>
      </c>
    </row>
    <row r="1159" spans="1:19" x14ac:dyDescent="0.25">
      <c r="A1159" s="6">
        <v>19</v>
      </c>
      <c r="B1159" s="6" t="str">
        <f t="shared" si="200"/>
        <v>NIKPRO00019</v>
      </c>
      <c r="C1159" s="7" t="s">
        <v>80</v>
      </c>
      <c r="D1159" s="7" t="s">
        <v>81</v>
      </c>
      <c r="E1159" s="7" t="str">
        <f t="shared" si="201"/>
        <v>PRASHANT UPGADE</v>
      </c>
      <c r="F1159" s="7" t="s">
        <v>16</v>
      </c>
      <c r="G1159" s="22">
        <v>39230</v>
      </c>
      <c r="H1159" s="8">
        <v>77549</v>
      </c>
      <c r="I1159" s="7" t="str">
        <f t="shared" si="202"/>
        <v>prashant.upgade@pr.upe.ba</v>
      </c>
      <c r="J1159" s="6" t="s">
        <v>1537</v>
      </c>
      <c r="K1159" s="6">
        <v>49</v>
      </c>
      <c r="L1159" s="7" t="str">
        <f t="shared" si="203"/>
        <v>pr.upe.ba</v>
      </c>
      <c r="M1159" s="7" t="str">
        <f t="shared" si="204"/>
        <v>U.Prashant</v>
      </c>
      <c r="N1159" s="6">
        <f t="shared" si="199"/>
        <v>0</v>
      </c>
      <c r="O1159" s="6">
        <f t="shared" si="198"/>
        <v>6</v>
      </c>
      <c r="P1159" s="6" t="str">
        <f t="shared" si="205"/>
        <v>N</v>
      </c>
      <c r="Q1159" s="6">
        <f t="shared" si="206"/>
        <v>14</v>
      </c>
      <c r="R1159" s="6" t="str">
        <f t="shared" si="207"/>
        <v>2007</v>
      </c>
      <c r="S1159" s="6" t="str">
        <f t="shared" si="208"/>
        <v>May</v>
      </c>
    </row>
    <row r="1160" spans="1:19" x14ac:dyDescent="0.25">
      <c r="A1160" s="6">
        <v>21</v>
      </c>
      <c r="B1160" s="6" t="str">
        <f t="shared" si="200"/>
        <v>NIKPRO00021</v>
      </c>
      <c r="C1160" s="7" t="s">
        <v>83</v>
      </c>
      <c r="D1160" s="7" t="s">
        <v>84</v>
      </c>
      <c r="E1160" s="7" t="str">
        <f t="shared" si="201"/>
        <v>PREM PRAKASH</v>
      </c>
      <c r="F1160" s="7" t="s">
        <v>16</v>
      </c>
      <c r="G1160" s="22">
        <v>39265</v>
      </c>
      <c r="H1160" s="8">
        <v>73080</v>
      </c>
      <c r="I1160" s="7" t="str">
        <f t="shared" si="202"/>
        <v>prem.prakash@pr.prh.ba</v>
      </c>
      <c r="J1160" s="6" t="s">
        <v>1542</v>
      </c>
      <c r="K1160" s="6">
        <v>69</v>
      </c>
      <c r="L1160" s="7" t="str">
        <f t="shared" si="203"/>
        <v>pr.prh.ba</v>
      </c>
      <c r="M1160" s="7" t="str">
        <f t="shared" si="204"/>
        <v>P.Prem</v>
      </c>
      <c r="N1160" s="6">
        <f t="shared" si="199"/>
        <v>3</v>
      </c>
      <c r="O1160" s="6">
        <f t="shared" si="198"/>
        <v>0</v>
      </c>
      <c r="P1160" s="6" t="str">
        <f t="shared" si="205"/>
        <v>N</v>
      </c>
      <c r="Q1160" s="6">
        <f t="shared" si="206"/>
        <v>11</v>
      </c>
      <c r="R1160" s="6" t="str">
        <f t="shared" si="207"/>
        <v>2007</v>
      </c>
      <c r="S1160" s="6" t="str">
        <f t="shared" si="208"/>
        <v>Jul</v>
      </c>
    </row>
    <row r="1161" spans="1:19" x14ac:dyDescent="0.25">
      <c r="A1161" s="6">
        <v>28</v>
      </c>
      <c r="B1161" s="6" t="str">
        <f t="shared" si="200"/>
        <v>NIKPRO00028</v>
      </c>
      <c r="C1161" s="7" t="s">
        <v>92</v>
      </c>
      <c r="D1161" s="7" t="s">
        <v>70</v>
      </c>
      <c r="E1161" s="7" t="str">
        <f t="shared" si="201"/>
        <v>BHAGAT SINGH</v>
      </c>
      <c r="F1161" s="7" t="s">
        <v>16</v>
      </c>
      <c r="G1161" s="22">
        <v>39382</v>
      </c>
      <c r="H1161" s="8">
        <v>48973</v>
      </c>
      <c r="I1161" s="7" t="str">
        <f t="shared" si="202"/>
        <v>bhagat.singh@pr.sih.ba</v>
      </c>
      <c r="J1161" s="6" t="s">
        <v>1541</v>
      </c>
      <c r="K1161" s="6">
        <v>60</v>
      </c>
      <c r="L1161" s="7" t="str">
        <f t="shared" si="203"/>
        <v>pr.sih.ba</v>
      </c>
      <c r="M1161" s="7" t="str">
        <f t="shared" si="204"/>
        <v>S.Bhagat</v>
      </c>
      <c r="N1161" s="6">
        <f t="shared" si="199"/>
        <v>0</v>
      </c>
      <c r="O1161" s="6">
        <f t="shared" si="198"/>
        <v>0</v>
      </c>
      <c r="P1161" s="6" t="str">
        <f t="shared" si="205"/>
        <v>N</v>
      </c>
      <c r="Q1161" s="6">
        <f t="shared" si="206"/>
        <v>11</v>
      </c>
      <c r="R1161" s="6" t="str">
        <f t="shared" si="207"/>
        <v>2007</v>
      </c>
      <c r="S1161" s="6" t="str">
        <f t="shared" si="208"/>
        <v>Oct</v>
      </c>
    </row>
    <row r="1162" spans="1:19" x14ac:dyDescent="0.25">
      <c r="A1162" s="6">
        <v>29</v>
      </c>
      <c r="B1162" s="6" t="str">
        <f t="shared" si="200"/>
        <v>NIKPRO00029</v>
      </c>
      <c r="C1162" s="7" t="s">
        <v>93</v>
      </c>
      <c r="D1162" s="7"/>
      <c r="E1162" s="7" t="str">
        <f t="shared" si="201"/>
        <v>VICTOR</v>
      </c>
      <c r="F1162" s="7" t="s">
        <v>16</v>
      </c>
      <c r="G1162" s="22">
        <v>39522</v>
      </c>
      <c r="H1162" s="8">
        <v>108923</v>
      </c>
      <c r="I1162" s="7" t="str">
        <f t="shared" si="202"/>
        <v>victor.@pr..ba</v>
      </c>
      <c r="J1162" s="6" t="s">
        <v>1537</v>
      </c>
      <c r="K1162" s="6">
        <v>84</v>
      </c>
      <c r="L1162" s="7" t="str">
        <f t="shared" si="203"/>
        <v>pr..ba</v>
      </c>
      <c r="M1162" s="7" t="str">
        <f t="shared" si="204"/>
        <v>.Victor</v>
      </c>
      <c r="N1162" s="6">
        <f t="shared" si="199"/>
        <v>0</v>
      </c>
      <c r="O1162" s="6">
        <f t="shared" si="198"/>
        <v>0</v>
      </c>
      <c r="P1162" s="6" t="str">
        <f t="shared" si="205"/>
        <v>N</v>
      </c>
      <c r="Q1162" s="6">
        <f t="shared" si="206"/>
        <v>6</v>
      </c>
      <c r="R1162" s="6" t="str">
        <f t="shared" si="207"/>
        <v>2008</v>
      </c>
      <c r="S1162" s="6" t="str">
        <f t="shared" si="208"/>
        <v>Mar</v>
      </c>
    </row>
    <row r="1163" spans="1:19" x14ac:dyDescent="0.25">
      <c r="A1163" s="6">
        <v>32</v>
      </c>
      <c r="B1163" s="6" t="str">
        <f t="shared" si="200"/>
        <v>NIKPRO00032</v>
      </c>
      <c r="C1163" s="7" t="s">
        <v>98</v>
      </c>
      <c r="D1163" s="7" t="s">
        <v>68</v>
      </c>
      <c r="E1163" s="7" t="str">
        <f t="shared" si="201"/>
        <v>NAVEEN KUMAR</v>
      </c>
      <c r="F1163" s="7" t="s">
        <v>16</v>
      </c>
      <c r="G1163" s="22">
        <v>39667</v>
      </c>
      <c r="H1163" s="8">
        <v>94251</v>
      </c>
      <c r="I1163" s="7" t="str">
        <f t="shared" si="202"/>
        <v>naveen.kumar@pr.kur.ba</v>
      </c>
      <c r="J1163" s="6" t="s">
        <v>1532</v>
      </c>
      <c r="K1163" s="6">
        <v>41</v>
      </c>
      <c r="L1163" s="7" t="str">
        <f t="shared" si="203"/>
        <v>pr.kur.ba</v>
      </c>
      <c r="M1163" s="7" t="str">
        <f t="shared" si="204"/>
        <v>K.Naveen</v>
      </c>
      <c r="N1163" s="6">
        <f t="shared" si="199"/>
        <v>4</v>
      </c>
      <c r="O1163" s="6">
        <f t="shared" si="198"/>
        <v>0</v>
      </c>
      <c r="P1163" s="6" t="str">
        <f t="shared" si="205"/>
        <v>N</v>
      </c>
      <c r="Q1163" s="6">
        <f t="shared" si="206"/>
        <v>11</v>
      </c>
      <c r="R1163" s="6" t="str">
        <f t="shared" si="207"/>
        <v>2008</v>
      </c>
      <c r="S1163" s="6" t="str">
        <f t="shared" si="208"/>
        <v>Aug</v>
      </c>
    </row>
    <row r="1164" spans="1:19" x14ac:dyDescent="0.25">
      <c r="A1164" s="6">
        <v>45</v>
      </c>
      <c r="B1164" s="6" t="str">
        <f t="shared" si="200"/>
        <v>NIKPRO00045</v>
      </c>
      <c r="C1164" s="7" t="s">
        <v>118</v>
      </c>
      <c r="D1164" s="7" t="s">
        <v>70</v>
      </c>
      <c r="E1164" s="7" t="str">
        <f t="shared" si="201"/>
        <v>BALWANT SINGH</v>
      </c>
      <c r="F1164" s="7" t="s">
        <v>16</v>
      </c>
      <c r="G1164" s="22">
        <v>40460</v>
      </c>
      <c r="H1164" s="8">
        <v>72792</v>
      </c>
      <c r="I1164" s="7" t="str">
        <f t="shared" si="202"/>
        <v>balwant.singh@pr.sih.ba</v>
      </c>
      <c r="J1164" s="6" t="s">
        <v>1537</v>
      </c>
      <c r="K1164" s="6">
        <v>74</v>
      </c>
      <c r="L1164" s="7" t="str">
        <f t="shared" si="203"/>
        <v>pr.sih.ba</v>
      </c>
      <c r="M1164" s="7" t="str">
        <f t="shared" si="204"/>
        <v>S.Balwant</v>
      </c>
      <c r="N1164" s="6">
        <f t="shared" si="199"/>
        <v>0</v>
      </c>
      <c r="O1164" s="6">
        <f t="shared" si="198"/>
        <v>0</v>
      </c>
      <c r="P1164" s="6" t="str">
        <f t="shared" si="205"/>
        <v>N</v>
      </c>
      <c r="Q1164" s="6">
        <f t="shared" si="206"/>
        <v>12</v>
      </c>
      <c r="R1164" s="6" t="str">
        <f t="shared" si="207"/>
        <v>2010</v>
      </c>
      <c r="S1164" s="6" t="str">
        <f t="shared" si="208"/>
        <v>Oct</v>
      </c>
    </row>
    <row r="1165" spans="1:19" x14ac:dyDescent="0.25">
      <c r="A1165" s="6">
        <v>52</v>
      </c>
      <c r="B1165" s="6" t="str">
        <f t="shared" si="200"/>
        <v>NIKPRO00052</v>
      </c>
      <c r="C1165" s="7" t="s">
        <v>127</v>
      </c>
      <c r="D1165" s="7" t="s">
        <v>117</v>
      </c>
      <c r="E1165" s="7" t="str">
        <f t="shared" si="201"/>
        <v>DEOBRAT RAI</v>
      </c>
      <c r="F1165" s="7" t="s">
        <v>16</v>
      </c>
      <c r="G1165" s="22">
        <v>40700</v>
      </c>
      <c r="H1165" s="8">
        <v>83872</v>
      </c>
      <c r="I1165" s="7" t="str">
        <f t="shared" si="202"/>
        <v>deobrat.rai@pr.rai.ba</v>
      </c>
      <c r="J1165" s="6" t="s">
        <v>1544</v>
      </c>
      <c r="K1165" s="6">
        <v>59</v>
      </c>
      <c r="L1165" s="7" t="str">
        <f t="shared" si="203"/>
        <v>pr.rai.ba</v>
      </c>
      <c r="M1165" s="7" t="str">
        <f t="shared" si="204"/>
        <v>R.Deobrat</v>
      </c>
      <c r="N1165" s="6">
        <f t="shared" si="199"/>
        <v>2</v>
      </c>
      <c r="O1165" s="6">
        <f t="shared" si="198"/>
        <v>0</v>
      </c>
      <c r="P1165" s="6" t="str">
        <f t="shared" si="205"/>
        <v>N</v>
      </c>
      <c r="Q1165" s="6">
        <f t="shared" si="206"/>
        <v>10</v>
      </c>
      <c r="R1165" s="6" t="str">
        <f t="shared" si="207"/>
        <v>2011</v>
      </c>
      <c r="S1165" s="6" t="str">
        <f t="shared" si="208"/>
        <v>Jun</v>
      </c>
    </row>
    <row r="1166" spans="1:19" x14ac:dyDescent="0.25">
      <c r="A1166" s="6">
        <v>58</v>
      </c>
      <c r="B1166" s="6" t="str">
        <f t="shared" si="200"/>
        <v>NIKPRO00058</v>
      </c>
      <c r="C1166" s="7" t="s">
        <v>136</v>
      </c>
      <c r="D1166" s="7" t="s">
        <v>70</v>
      </c>
      <c r="E1166" s="7" t="str">
        <f t="shared" si="201"/>
        <v>JASWINDER SINGH</v>
      </c>
      <c r="F1166" s="7" t="s">
        <v>16</v>
      </c>
      <c r="G1166" s="22">
        <v>41061</v>
      </c>
      <c r="H1166" s="8">
        <v>42578</v>
      </c>
      <c r="I1166" s="7" t="str">
        <f t="shared" si="202"/>
        <v>jaswinder.singh@pr.sih.ba</v>
      </c>
      <c r="J1166" s="6" t="s">
        <v>1543</v>
      </c>
      <c r="K1166" s="6">
        <v>40</v>
      </c>
      <c r="L1166" s="7" t="str">
        <f t="shared" si="203"/>
        <v>pr.sih.ba</v>
      </c>
      <c r="M1166" s="7" t="str">
        <f t="shared" si="204"/>
        <v>S.Jaswinder</v>
      </c>
      <c r="N1166" s="6">
        <f t="shared" si="199"/>
        <v>8</v>
      </c>
      <c r="O1166" s="6">
        <f t="shared" si="198"/>
        <v>0</v>
      </c>
      <c r="P1166" s="6" t="str">
        <f t="shared" si="205"/>
        <v>N</v>
      </c>
      <c r="Q1166" s="6">
        <f t="shared" si="206"/>
        <v>14</v>
      </c>
      <c r="R1166" s="6" t="str">
        <f t="shared" si="207"/>
        <v>2012</v>
      </c>
      <c r="S1166" s="6" t="str">
        <f t="shared" si="208"/>
        <v>Jun</v>
      </c>
    </row>
    <row r="1167" spans="1:19" x14ac:dyDescent="0.25">
      <c r="A1167" s="6">
        <v>62</v>
      </c>
      <c r="B1167" s="6" t="str">
        <f t="shared" si="200"/>
        <v>NIKPRO00062</v>
      </c>
      <c r="C1167" s="7" t="s">
        <v>141</v>
      </c>
      <c r="D1167" s="7" t="s">
        <v>142</v>
      </c>
      <c r="E1167" s="7" t="str">
        <f t="shared" si="201"/>
        <v>SAURABH RAJ</v>
      </c>
      <c r="F1167" s="7" t="s">
        <v>16</v>
      </c>
      <c r="G1167" s="22">
        <v>41288</v>
      </c>
      <c r="H1167" s="8">
        <v>56351</v>
      </c>
      <c r="I1167" s="7" t="str">
        <f t="shared" si="202"/>
        <v>saurabh.raj@pr.raj.ba</v>
      </c>
      <c r="J1167" s="6" t="s">
        <v>1538</v>
      </c>
      <c r="K1167" s="6">
        <v>90</v>
      </c>
      <c r="L1167" s="7" t="str">
        <f t="shared" si="203"/>
        <v>pr.raj.ba</v>
      </c>
      <c r="M1167" s="7" t="str">
        <f t="shared" si="204"/>
        <v>R.Saurabh</v>
      </c>
      <c r="N1167" s="6">
        <f t="shared" si="199"/>
        <v>0</v>
      </c>
      <c r="O1167" s="6">
        <f t="shared" si="198"/>
        <v>0</v>
      </c>
      <c r="P1167" s="6" t="str">
        <f t="shared" si="205"/>
        <v>N</v>
      </c>
      <c r="Q1167" s="6">
        <f t="shared" si="206"/>
        <v>10</v>
      </c>
      <c r="R1167" s="6" t="str">
        <f t="shared" si="207"/>
        <v>2013</v>
      </c>
      <c r="S1167" s="6" t="str">
        <f t="shared" si="208"/>
        <v>Jan</v>
      </c>
    </row>
    <row r="1168" spans="1:19" x14ac:dyDescent="0.25">
      <c r="A1168" s="6">
        <v>67</v>
      </c>
      <c r="B1168" s="6" t="str">
        <f t="shared" si="200"/>
        <v>NIKPRO00067</v>
      </c>
      <c r="C1168" s="7" t="s">
        <v>149</v>
      </c>
      <c r="D1168" s="7" t="s">
        <v>150</v>
      </c>
      <c r="E1168" s="7" t="str">
        <f t="shared" si="201"/>
        <v>DEEPENDRA SAXENA</v>
      </c>
      <c r="F1168" s="7" t="s">
        <v>16</v>
      </c>
      <c r="G1168" s="22">
        <v>41419</v>
      </c>
      <c r="H1168" s="8">
        <v>46495</v>
      </c>
      <c r="I1168" s="7" t="str">
        <f t="shared" si="202"/>
        <v>deependra.saxena@pr.saa.ba</v>
      </c>
      <c r="J1168" s="6" t="s">
        <v>1538</v>
      </c>
      <c r="K1168" s="6">
        <v>55</v>
      </c>
      <c r="L1168" s="7" t="str">
        <f t="shared" si="203"/>
        <v>pr.saa.ba</v>
      </c>
      <c r="M1168" s="7" t="str">
        <f t="shared" si="204"/>
        <v>S.Deependra</v>
      </c>
      <c r="N1168" s="6">
        <f t="shared" si="199"/>
        <v>2</v>
      </c>
      <c r="O1168" s="6">
        <f t="shared" si="198"/>
        <v>4</v>
      </c>
      <c r="P1168" s="6" t="str">
        <f t="shared" si="205"/>
        <v>Y</v>
      </c>
      <c r="Q1168" s="6">
        <f t="shared" si="206"/>
        <v>15</v>
      </c>
      <c r="R1168" s="6" t="str">
        <f t="shared" si="207"/>
        <v>2013</v>
      </c>
      <c r="S1168" s="6" t="str">
        <f t="shared" si="208"/>
        <v>May</v>
      </c>
    </row>
    <row r="1169" spans="1:19" x14ac:dyDescent="0.25">
      <c r="A1169" s="6">
        <v>71</v>
      </c>
      <c r="B1169" s="6" t="str">
        <f t="shared" si="200"/>
        <v>NIKPRO00071</v>
      </c>
      <c r="C1169" s="7" t="s">
        <v>153</v>
      </c>
      <c r="D1169" s="7" t="s">
        <v>68</v>
      </c>
      <c r="E1169" s="7" t="str">
        <f t="shared" si="201"/>
        <v>HEMENDRA KUMAR</v>
      </c>
      <c r="F1169" s="7" t="s">
        <v>16</v>
      </c>
      <c r="G1169" s="22">
        <v>41520</v>
      </c>
      <c r="H1169" s="8">
        <v>62407</v>
      </c>
      <c r="I1169" s="7" t="str">
        <f t="shared" si="202"/>
        <v>hemendra.kumar@pr.kur.ba</v>
      </c>
      <c r="J1169" s="6" t="s">
        <v>1534</v>
      </c>
      <c r="K1169" s="6">
        <v>69</v>
      </c>
      <c r="L1169" s="7" t="str">
        <f t="shared" si="203"/>
        <v>pr.kur.ba</v>
      </c>
      <c r="M1169" s="7" t="str">
        <f t="shared" si="204"/>
        <v>K.Hemendra</v>
      </c>
      <c r="N1169" s="6">
        <f t="shared" si="199"/>
        <v>2</v>
      </c>
      <c r="O1169" s="6">
        <f t="shared" si="198"/>
        <v>0</v>
      </c>
      <c r="P1169" s="6" t="str">
        <f t="shared" si="205"/>
        <v>N</v>
      </c>
      <c r="Q1169" s="6">
        <f t="shared" si="206"/>
        <v>13</v>
      </c>
      <c r="R1169" s="6" t="str">
        <f t="shared" si="207"/>
        <v>2013</v>
      </c>
      <c r="S1169" s="6" t="str">
        <f t="shared" si="208"/>
        <v>Sep</v>
      </c>
    </row>
    <row r="1170" spans="1:19" x14ac:dyDescent="0.25">
      <c r="A1170" s="6">
        <v>73</v>
      </c>
      <c r="B1170" s="6" t="str">
        <f t="shared" si="200"/>
        <v>NIKPRO00073</v>
      </c>
      <c r="C1170" s="7" t="s">
        <v>155</v>
      </c>
      <c r="D1170" s="7" t="s">
        <v>68</v>
      </c>
      <c r="E1170" s="7" t="str">
        <f t="shared" si="201"/>
        <v>ANOOP KUMAR</v>
      </c>
      <c r="F1170" s="7" t="s">
        <v>16</v>
      </c>
      <c r="G1170" s="22">
        <v>41712</v>
      </c>
      <c r="H1170" s="8">
        <v>108724</v>
      </c>
      <c r="I1170" s="7" t="str">
        <f t="shared" si="202"/>
        <v>anoop.kumar@pr.kur.ba</v>
      </c>
      <c r="J1170" s="6" t="s">
        <v>1548</v>
      </c>
      <c r="K1170" s="6">
        <v>45</v>
      </c>
      <c r="L1170" s="7" t="str">
        <f t="shared" si="203"/>
        <v>pr.kur.ba</v>
      </c>
      <c r="M1170" s="7" t="str">
        <f t="shared" si="204"/>
        <v>K.Anoop</v>
      </c>
      <c r="N1170" s="6">
        <f t="shared" si="199"/>
        <v>0</v>
      </c>
      <c r="O1170" s="6">
        <f t="shared" si="198"/>
        <v>0</v>
      </c>
      <c r="P1170" s="6" t="str">
        <f t="shared" si="205"/>
        <v>N</v>
      </c>
      <c r="Q1170" s="6">
        <f t="shared" si="206"/>
        <v>10</v>
      </c>
      <c r="R1170" s="6" t="str">
        <f t="shared" si="207"/>
        <v>2014</v>
      </c>
      <c r="S1170" s="6" t="str">
        <f t="shared" si="208"/>
        <v>Mar</v>
      </c>
    </row>
    <row r="1171" spans="1:19" x14ac:dyDescent="0.25">
      <c r="A1171" s="6">
        <v>77</v>
      </c>
      <c r="B1171" s="6" t="str">
        <f t="shared" si="200"/>
        <v>NIKPRO00077</v>
      </c>
      <c r="C1171" s="7" t="s">
        <v>23</v>
      </c>
      <c r="D1171" s="7" t="s">
        <v>160</v>
      </c>
      <c r="E1171" s="7" t="str">
        <f t="shared" si="201"/>
        <v>ROHIT CHOKNIWAL</v>
      </c>
      <c r="F1171" s="7" t="s">
        <v>16</v>
      </c>
      <c r="G1171" s="22">
        <v>41780</v>
      </c>
      <c r="H1171" s="8">
        <v>80081</v>
      </c>
      <c r="I1171" s="7" t="str">
        <f t="shared" si="202"/>
        <v>rohit.chokniwal@pr.chl.ba</v>
      </c>
      <c r="J1171" s="6" t="s">
        <v>1536</v>
      </c>
      <c r="K1171" s="6">
        <v>88</v>
      </c>
      <c r="L1171" s="7" t="str">
        <f t="shared" si="203"/>
        <v>pr.chl.ba</v>
      </c>
      <c r="M1171" s="7" t="str">
        <f t="shared" si="204"/>
        <v>C.Rohit</v>
      </c>
      <c r="N1171" s="6">
        <f t="shared" si="199"/>
        <v>0</v>
      </c>
      <c r="O1171" s="6">
        <f t="shared" si="198"/>
        <v>0</v>
      </c>
      <c r="P1171" s="6" t="str">
        <f t="shared" si="205"/>
        <v>N</v>
      </c>
      <c r="Q1171" s="6">
        <f t="shared" si="206"/>
        <v>14</v>
      </c>
      <c r="R1171" s="6" t="str">
        <f t="shared" si="207"/>
        <v>2014</v>
      </c>
      <c r="S1171" s="6" t="str">
        <f t="shared" si="208"/>
        <v>May</v>
      </c>
    </row>
    <row r="1172" spans="1:19" x14ac:dyDescent="0.25">
      <c r="A1172" s="6">
        <v>78</v>
      </c>
      <c r="B1172" s="6" t="str">
        <f t="shared" si="200"/>
        <v>NIKPRO00078</v>
      </c>
      <c r="C1172" s="7" t="s">
        <v>161</v>
      </c>
      <c r="D1172" s="7" t="s">
        <v>162</v>
      </c>
      <c r="E1172" s="7" t="str">
        <f t="shared" si="201"/>
        <v>ADARSH PATHAK</v>
      </c>
      <c r="F1172" s="7" t="s">
        <v>16</v>
      </c>
      <c r="G1172" s="22">
        <v>41865</v>
      </c>
      <c r="H1172" s="8">
        <v>35990</v>
      </c>
      <c r="I1172" s="7" t="str">
        <f t="shared" si="202"/>
        <v>adarsh.pathak@pr.pak.ba</v>
      </c>
      <c r="J1172" s="6" t="s">
        <v>1535</v>
      </c>
      <c r="K1172" s="6">
        <v>71</v>
      </c>
      <c r="L1172" s="7" t="str">
        <f t="shared" si="203"/>
        <v>pr.pak.ba</v>
      </c>
      <c r="M1172" s="7" t="str">
        <f t="shared" si="204"/>
        <v>P.Adarsh</v>
      </c>
      <c r="N1172" s="6">
        <f t="shared" si="199"/>
        <v>0</v>
      </c>
      <c r="O1172" s="6">
        <f t="shared" si="198"/>
        <v>0</v>
      </c>
      <c r="P1172" s="6" t="str">
        <f t="shared" si="205"/>
        <v>N</v>
      </c>
      <c r="Q1172" s="6">
        <f t="shared" si="206"/>
        <v>12</v>
      </c>
      <c r="R1172" s="6" t="str">
        <f t="shared" si="207"/>
        <v>2014</v>
      </c>
      <c r="S1172" s="6" t="str">
        <f t="shared" si="208"/>
        <v>Aug</v>
      </c>
    </row>
    <row r="1173" spans="1:19" x14ac:dyDescent="0.25">
      <c r="A1173" s="6">
        <v>87</v>
      </c>
      <c r="B1173" s="6" t="str">
        <f t="shared" si="200"/>
        <v>NIKPRO00087</v>
      </c>
      <c r="C1173" s="7" t="s">
        <v>174</v>
      </c>
      <c r="D1173" s="7" t="s">
        <v>175</v>
      </c>
      <c r="E1173" s="7" t="str">
        <f t="shared" si="201"/>
        <v>PRIYANK UPADHYAY</v>
      </c>
      <c r="F1173" s="7" t="s">
        <v>16</v>
      </c>
      <c r="G1173" s="22">
        <v>42135</v>
      </c>
      <c r="H1173" s="8">
        <v>104266</v>
      </c>
      <c r="I1173" s="7" t="str">
        <f t="shared" si="202"/>
        <v>priyank.upadhyay@pr.upy.ba</v>
      </c>
      <c r="J1173" s="6" t="s">
        <v>1534</v>
      </c>
      <c r="K1173" s="6">
        <v>69</v>
      </c>
      <c r="L1173" s="7" t="str">
        <f t="shared" si="203"/>
        <v>pr.upy.ba</v>
      </c>
      <c r="M1173" s="7" t="str">
        <f t="shared" si="204"/>
        <v>U.Priyank</v>
      </c>
      <c r="N1173" s="6">
        <f t="shared" si="199"/>
        <v>0</v>
      </c>
      <c r="O1173" s="6">
        <f t="shared" si="198"/>
        <v>0</v>
      </c>
      <c r="P1173" s="6" t="str">
        <f t="shared" si="205"/>
        <v>N</v>
      </c>
      <c r="Q1173" s="6">
        <f t="shared" si="206"/>
        <v>15</v>
      </c>
      <c r="R1173" s="6" t="str">
        <f t="shared" si="207"/>
        <v>2015</v>
      </c>
      <c r="S1173" s="6" t="str">
        <f t="shared" si="208"/>
        <v>May</v>
      </c>
    </row>
    <row r="1174" spans="1:19" x14ac:dyDescent="0.25">
      <c r="A1174" s="6">
        <v>102</v>
      </c>
      <c r="B1174" s="6" t="str">
        <f t="shared" si="200"/>
        <v>NIKPRO00102</v>
      </c>
      <c r="C1174" s="7" t="s">
        <v>194</v>
      </c>
      <c r="D1174" s="7" t="s">
        <v>156</v>
      </c>
      <c r="E1174" s="7" t="str">
        <f t="shared" si="201"/>
        <v>SHAILENDRA R</v>
      </c>
      <c r="F1174" s="7" t="s">
        <v>16</v>
      </c>
      <c r="G1174" s="22">
        <v>42415</v>
      </c>
      <c r="H1174" s="8">
        <v>59829</v>
      </c>
      <c r="I1174" s="7" t="str">
        <f t="shared" si="202"/>
        <v>shailendra.r@pr.rr.ba</v>
      </c>
      <c r="J1174" s="6" t="s">
        <v>1534</v>
      </c>
      <c r="K1174" s="6">
        <v>60</v>
      </c>
      <c r="L1174" s="7" t="str">
        <f t="shared" si="203"/>
        <v>pr.rr.ba</v>
      </c>
      <c r="M1174" s="7" t="str">
        <f t="shared" si="204"/>
        <v>R.Shailendra</v>
      </c>
      <c r="N1174" s="6">
        <f t="shared" si="199"/>
        <v>6</v>
      </c>
      <c r="O1174" s="6">
        <f t="shared" si="198"/>
        <v>0</v>
      </c>
      <c r="P1174" s="6" t="str">
        <f t="shared" si="205"/>
        <v>N</v>
      </c>
      <c r="Q1174" s="6">
        <f t="shared" si="206"/>
        <v>11</v>
      </c>
      <c r="R1174" s="6" t="str">
        <f t="shared" si="207"/>
        <v>2016</v>
      </c>
      <c r="S1174" s="6" t="str">
        <f t="shared" si="208"/>
        <v>Feb</v>
      </c>
    </row>
    <row r="1175" spans="1:19" x14ac:dyDescent="0.25">
      <c r="A1175" s="6">
        <v>111</v>
      </c>
      <c r="B1175" s="6" t="str">
        <f t="shared" si="200"/>
        <v>NIKPRO00111</v>
      </c>
      <c r="C1175" s="7" t="s">
        <v>159</v>
      </c>
      <c r="D1175" s="7" t="s">
        <v>206</v>
      </c>
      <c r="E1175" s="7" t="str">
        <f t="shared" si="201"/>
        <v>PANKAJ SONI</v>
      </c>
      <c r="F1175" s="7" t="s">
        <v>16</v>
      </c>
      <c r="G1175" s="22">
        <v>42499</v>
      </c>
      <c r="H1175" s="8">
        <v>87366</v>
      </c>
      <c r="I1175" s="7" t="str">
        <f t="shared" si="202"/>
        <v>pankaj.soni@pr.soi.ba</v>
      </c>
      <c r="J1175" s="6" t="s">
        <v>1546</v>
      </c>
      <c r="K1175" s="6">
        <v>40</v>
      </c>
      <c r="L1175" s="7" t="str">
        <f t="shared" si="203"/>
        <v>pr.soi.ba</v>
      </c>
      <c r="M1175" s="7" t="str">
        <f t="shared" si="204"/>
        <v>S.Pankaj</v>
      </c>
      <c r="N1175" s="6">
        <f t="shared" si="199"/>
        <v>0</v>
      </c>
      <c r="O1175" s="6">
        <f t="shared" si="198"/>
        <v>0</v>
      </c>
      <c r="P1175" s="6" t="str">
        <f t="shared" si="205"/>
        <v>N</v>
      </c>
      <c r="Q1175" s="6">
        <f t="shared" si="206"/>
        <v>10</v>
      </c>
      <c r="R1175" s="6" t="str">
        <f t="shared" si="207"/>
        <v>2016</v>
      </c>
      <c r="S1175" s="6" t="str">
        <f t="shared" si="208"/>
        <v>May</v>
      </c>
    </row>
    <row r="1176" spans="1:19" x14ac:dyDescent="0.25">
      <c r="A1176" s="6">
        <v>139</v>
      </c>
      <c r="B1176" s="6" t="str">
        <f t="shared" si="200"/>
        <v>NIKPRO00139</v>
      </c>
      <c r="C1176" s="7" t="s">
        <v>246</v>
      </c>
      <c r="D1176" s="7" t="s">
        <v>247</v>
      </c>
      <c r="E1176" s="7" t="str">
        <f t="shared" si="201"/>
        <v>KHANJAN A</v>
      </c>
      <c r="F1176" s="7" t="s">
        <v>16</v>
      </c>
      <c r="G1176" s="22">
        <v>42751</v>
      </c>
      <c r="H1176" s="8">
        <v>104892</v>
      </c>
      <c r="I1176" s="7" t="str">
        <f t="shared" si="202"/>
        <v>khanjan.a@pr.aa.ba</v>
      </c>
      <c r="J1176" s="6" t="s">
        <v>1538</v>
      </c>
      <c r="K1176" s="6">
        <v>78</v>
      </c>
      <c r="L1176" s="7" t="str">
        <f t="shared" si="203"/>
        <v>pr.aa.ba</v>
      </c>
      <c r="M1176" s="7" t="str">
        <f t="shared" si="204"/>
        <v>A.Khanjan</v>
      </c>
      <c r="N1176" s="6">
        <f t="shared" si="199"/>
        <v>0</v>
      </c>
      <c r="O1176" s="6">
        <f t="shared" si="198"/>
        <v>0</v>
      </c>
      <c r="P1176" s="6" t="str">
        <f t="shared" si="205"/>
        <v>N</v>
      </c>
      <c r="Q1176" s="6">
        <f t="shared" si="206"/>
        <v>8</v>
      </c>
      <c r="R1176" s="6" t="str">
        <f t="shared" si="207"/>
        <v>2017</v>
      </c>
      <c r="S1176" s="6" t="str">
        <f t="shared" si="208"/>
        <v>Jan</v>
      </c>
    </row>
    <row r="1177" spans="1:19" x14ac:dyDescent="0.25">
      <c r="A1177" s="6">
        <v>145</v>
      </c>
      <c r="B1177" s="6" t="str">
        <f t="shared" si="200"/>
        <v>NIKPRO00145</v>
      </c>
      <c r="C1177" s="7" t="s">
        <v>254</v>
      </c>
      <c r="D1177" s="7" t="s">
        <v>249</v>
      </c>
      <c r="E1177" s="7" t="str">
        <f t="shared" si="201"/>
        <v>SUHAS N</v>
      </c>
      <c r="F1177" s="7" t="s">
        <v>16</v>
      </c>
      <c r="G1177" s="22">
        <v>42795</v>
      </c>
      <c r="H1177" s="8">
        <v>51691</v>
      </c>
      <c r="I1177" s="7" t="str">
        <f t="shared" si="202"/>
        <v>suhas.n@pr.nn.ba</v>
      </c>
      <c r="J1177" s="6" t="s">
        <v>1534</v>
      </c>
      <c r="K1177" s="6">
        <v>83</v>
      </c>
      <c r="L1177" s="7" t="str">
        <f t="shared" si="203"/>
        <v>pr.nn.ba</v>
      </c>
      <c r="M1177" s="7" t="str">
        <f t="shared" si="204"/>
        <v>N.Suhas</v>
      </c>
      <c r="N1177" s="6">
        <f t="shared" si="199"/>
        <v>0</v>
      </c>
      <c r="O1177" s="6">
        <f t="shared" si="198"/>
        <v>0</v>
      </c>
      <c r="P1177" s="6" t="str">
        <f t="shared" si="205"/>
        <v>N</v>
      </c>
      <c r="Q1177" s="6">
        <f t="shared" si="206"/>
        <v>6</v>
      </c>
      <c r="R1177" s="6" t="str">
        <f t="shared" si="207"/>
        <v>2017</v>
      </c>
      <c r="S1177" s="6" t="str">
        <f t="shared" si="208"/>
        <v>Mar</v>
      </c>
    </row>
    <row r="1178" spans="1:19" x14ac:dyDescent="0.25">
      <c r="A1178" s="6">
        <v>165</v>
      </c>
      <c r="B1178" s="6" t="str">
        <f t="shared" si="200"/>
        <v>NIKPRO00165</v>
      </c>
      <c r="C1178" s="7" t="s">
        <v>20</v>
      </c>
      <c r="D1178" s="7" t="s">
        <v>275</v>
      </c>
      <c r="E1178" s="7" t="str">
        <f t="shared" si="201"/>
        <v>VINAY KRISHNA</v>
      </c>
      <c r="F1178" s="7" t="s">
        <v>16</v>
      </c>
      <c r="G1178" s="22">
        <v>43182</v>
      </c>
      <c r="H1178" s="8">
        <v>91032</v>
      </c>
      <c r="I1178" s="7" t="str">
        <f t="shared" si="202"/>
        <v>vinay.krishna@pr.kra.ba</v>
      </c>
      <c r="J1178" s="6" t="s">
        <v>1541</v>
      </c>
      <c r="K1178" s="6">
        <v>63</v>
      </c>
      <c r="L1178" s="7" t="str">
        <f t="shared" si="203"/>
        <v>pr.kra.ba</v>
      </c>
      <c r="M1178" s="7" t="str">
        <f t="shared" si="204"/>
        <v>K.Vinay</v>
      </c>
      <c r="N1178" s="6">
        <f t="shared" si="199"/>
        <v>0</v>
      </c>
      <c r="O1178" s="6">
        <f t="shared" si="198"/>
        <v>0</v>
      </c>
      <c r="P1178" s="6" t="str">
        <f t="shared" si="205"/>
        <v>N</v>
      </c>
      <c r="Q1178" s="6">
        <f t="shared" si="206"/>
        <v>12</v>
      </c>
      <c r="R1178" s="6" t="str">
        <f t="shared" si="207"/>
        <v>2018</v>
      </c>
      <c r="S1178" s="6" t="str">
        <f t="shared" si="208"/>
        <v>Mar</v>
      </c>
    </row>
    <row r="1179" spans="1:19" x14ac:dyDescent="0.25">
      <c r="A1179" s="6">
        <v>167</v>
      </c>
      <c r="B1179" s="6" t="str">
        <f t="shared" si="200"/>
        <v>NIKPRO00167</v>
      </c>
      <c r="C1179" s="7" t="s">
        <v>278</v>
      </c>
      <c r="D1179" s="7" t="s">
        <v>70</v>
      </c>
      <c r="E1179" s="7" t="str">
        <f t="shared" si="201"/>
        <v>IMMANUEL SINGH</v>
      </c>
      <c r="F1179" s="7" t="s">
        <v>16</v>
      </c>
      <c r="G1179" s="22">
        <v>43194</v>
      </c>
      <c r="H1179" s="8">
        <v>90611</v>
      </c>
      <c r="I1179" s="7" t="str">
        <f t="shared" si="202"/>
        <v>immanuel.singh@pr.sih.ba</v>
      </c>
      <c r="J1179" s="6" t="s">
        <v>1546</v>
      </c>
      <c r="K1179" s="6">
        <v>48</v>
      </c>
      <c r="L1179" s="7" t="str">
        <f t="shared" si="203"/>
        <v>pr.sih.ba</v>
      </c>
      <c r="M1179" s="7" t="str">
        <f t="shared" si="204"/>
        <v>S.Immanuel</v>
      </c>
      <c r="N1179" s="6">
        <f t="shared" si="199"/>
        <v>7</v>
      </c>
      <c r="O1179" s="6">
        <f t="shared" si="198"/>
        <v>0</v>
      </c>
      <c r="P1179" s="6" t="str">
        <f t="shared" si="205"/>
        <v>N</v>
      </c>
      <c r="Q1179" s="6">
        <f t="shared" si="206"/>
        <v>13</v>
      </c>
      <c r="R1179" s="6" t="str">
        <f t="shared" si="207"/>
        <v>2018</v>
      </c>
      <c r="S1179" s="6" t="str">
        <f t="shared" si="208"/>
        <v>Apr</v>
      </c>
    </row>
    <row r="1180" spans="1:19" x14ac:dyDescent="0.25">
      <c r="A1180" s="6">
        <v>198</v>
      </c>
      <c r="B1180" s="6" t="str">
        <f t="shared" si="200"/>
        <v>NIKPRO00198</v>
      </c>
      <c r="C1180" s="7" t="s">
        <v>315</v>
      </c>
      <c r="D1180" s="7" t="s">
        <v>316</v>
      </c>
      <c r="E1180" s="7" t="str">
        <f t="shared" si="201"/>
        <v>ANTARA MILIND</v>
      </c>
      <c r="F1180" s="7" t="s">
        <v>16</v>
      </c>
      <c r="G1180" s="22">
        <v>44166</v>
      </c>
      <c r="H1180" s="8">
        <v>55521</v>
      </c>
      <c r="I1180" s="7" t="str">
        <f t="shared" si="202"/>
        <v>antara.milind@pr.mid.ba</v>
      </c>
      <c r="J1180" s="6" t="s">
        <v>1548</v>
      </c>
      <c r="K1180" s="6">
        <v>35</v>
      </c>
      <c r="L1180" s="7" t="str">
        <f t="shared" si="203"/>
        <v>pr.mid.ba</v>
      </c>
      <c r="M1180" s="7" t="str">
        <f t="shared" si="204"/>
        <v>M.Antara</v>
      </c>
      <c r="N1180" s="6">
        <f t="shared" si="199"/>
        <v>0</v>
      </c>
      <c r="O1180" s="6">
        <f t="shared" si="198"/>
        <v>0</v>
      </c>
      <c r="P1180" s="6" t="str">
        <f t="shared" si="205"/>
        <v>N</v>
      </c>
      <c r="Q1180" s="6">
        <f t="shared" si="206"/>
        <v>12</v>
      </c>
      <c r="R1180" s="6" t="str">
        <f t="shared" si="207"/>
        <v>2020</v>
      </c>
      <c r="S1180" s="6" t="str">
        <f t="shared" si="208"/>
        <v>Dec</v>
      </c>
    </row>
    <row r="1181" spans="1:19" x14ac:dyDescent="0.25">
      <c r="A1181" s="6">
        <v>216</v>
      </c>
      <c r="B1181" s="6" t="str">
        <f t="shared" si="200"/>
        <v>NIKPRO00216</v>
      </c>
      <c r="C1181" s="7" t="s">
        <v>22</v>
      </c>
      <c r="D1181" s="7"/>
      <c r="E1181" s="7" t="str">
        <f t="shared" si="201"/>
        <v>AMANDEEP</v>
      </c>
      <c r="F1181" s="7" t="s">
        <v>16</v>
      </c>
      <c r="G1181" s="22">
        <v>44440</v>
      </c>
      <c r="H1181" s="8">
        <v>52056</v>
      </c>
      <c r="I1181" s="7" t="str">
        <f t="shared" si="202"/>
        <v>amandeep.@pr..ba</v>
      </c>
      <c r="J1181" s="6" t="s">
        <v>1534</v>
      </c>
      <c r="K1181" s="6">
        <v>60</v>
      </c>
      <c r="L1181" s="7" t="str">
        <f t="shared" si="203"/>
        <v>pr..ba</v>
      </c>
      <c r="M1181" s="7" t="str">
        <f t="shared" si="204"/>
        <v>.Amandeep</v>
      </c>
      <c r="N1181" s="6">
        <f t="shared" si="199"/>
        <v>6</v>
      </c>
      <c r="O1181" s="6">
        <f t="shared" si="198"/>
        <v>0</v>
      </c>
      <c r="P1181" s="6" t="str">
        <f t="shared" si="205"/>
        <v>N</v>
      </c>
      <c r="Q1181" s="6">
        <f t="shared" si="206"/>
        <v>8</v>
      </c>
      <c r="R1181" s="6" t="str">
        <f t="shared" si="207"/>
        <v>2021</v>
      </c>
      <c r="S1181" s="6" t="str">
        <f t="shared" si="208"/>
        <v>Sep</v>
      </c>
    </row>
    <row r="1182" spans="1:19" x14ac:dyDescent="0.25">
      <c r="A1182" s="6">
        <v>242</v>
      </c>
      <c r="B1182" s="6" t="str">
        <f t="shared" si="200"/>
        <v>NIKPRO00242</v>
      </c>
      <c r="C1182" s="7" t="s">
        <v>371</v>
      </c>
      <c r="D1182" s="7" t="s">
        <v>372</v>
      </c>
      <c r="E1182" s="7" t="str">
        <f t="shared" si="201"/>
        <v>CHANDRASHEKHAR SIDRAMAPPA</v>
      </c>
      <c r="F1182" s="7" t="s">
        <v>16</v>
      </c>
      <c r="G1182" s="22">
        <v>44611</v>
      </c>
      <c r="H1182" s="8">
        <v>60141</v>
      </c>
      <c r="I1182" s="7" t="str">
        <f t="shared" si="202"/>
        <v>chandrashekhar.sidramappa@pr.sia.ba</v>
      </c>
      <c r="J1182" s="6" t="s">
        <v>1548</v>
      </c>
      <c r="K1182" s="6">
        <v>89</v>
      </c>
      <c r="L1182" s="7" t="str">
        <f t="shared" si="203"/>
        <v>pr.sia.ba</v>
      </c>
      <c r="M1182" s="7" t="str">
        <f t="shared" si="204"/>
        <v>S.Chandrashekhar</v>
      </c>
      <c r="N1182" s="6">
        <f t="shared" si="199"/>
        <v>10</v>
      </c>
      <c r="O1182" s="6">
        <f t="shared" si="198"/>
        <v>0</v>
      </c>
      <c r="P1182" s="6" t="str">
        <f t="shared" si="205"/>
        <v>N</v>
      </c>
      <c r="Q1182" s="6">
        <f t="shared" si="206"/>
        <v>24</v>
      </c>
      <c r="R1182" s="6" t="str">
        <f t="shared" si="207"/>
        <v>2022</v>
      </c>
      <c r="S1182" s="6" t="str">
        <f t="shared" si="208"/>
        <v>Feb</v>
      </c>
    </row>
    <row r="1183" spans="1:19" x14ac:dyDescent="0.25">
      <c r="A1183" s="6">
        <v>254</v>
      </c>
      <c r="B1183" s="6" t="str">
        <f t="shared" si="200"/>
        <v>NIKPRO00254</v>
      </c>
      <c r="C1183" s="7" t="s">
        <v>386</v>
      </c>
      <c r="D1183" s="7" t="s">
        <v>175</v>
      </c>
      <c r="E1183" s="7" t="str">
        <f t="shared" si="201"/>
        <v>VARSHA UPADHYAY</v>
      </c>
      <c r="F1183" s="7" t="s">
        <v>16</v>
      </c>
      <c r="G1183" s="22">
        <v>44697</v>
      </c>
      <c r="H1183" s="8">
        <v>27776</v>
      </c>
      <c r="I1183" s="7" t="str">
        <f t="shared" si="202"/>
        <v>varsha.upadhyay@pr.upy.ba</v>
      </c>
      <c r="J1183" s="6" t="s">
        <v>1539</v>
      </c>
      <c r="K1183" s="6">
        <v>36</v>
      </c>
      <c r="L1183" s="7" t="str">
        <f t="shared" si="203"/>
        <v>pr.upy.ba</v>
      </c>
      <c r="M1183" s="7" t="str">
        <f t="shared" si="204"/>
        <v>U.Varsha</v>
      </c>
      <c r="N1183" s="6">
        <f t="shared" si="199"/>
        <v>0</v>
      </c>
      <c r="O1183" s="6">
        <f t="shared" si="198"/>
        <v>0</v>
      </c>
      <c r="P1183" s="6" t="str">
        <f t="shared" si="205"/>
        <v>N</v>
      </c>
      <c r="Q1183" s="6">
        <f t="shared" si="206"/>
        <v>14</v>
      </c>
      <c r="R1183" s="6" t="str">
        <f t="shared" si="207"/>
        <v>2022</v>
      </c>
      <c r="S1183" s="6" t="str">
        <f t="shared" si="208"/>
        <v>May</v>
      </c>
    </row>
    <row r="1184" spans="1:19" x14ac:dyDescent="0.25">
      <c r="A1184" s="6">
        <v>279</v>
      </c>
      <c r="B1184" s="6" t="str">
        <f t="shared" si="200"/>
        <v>NIKPRO00279</v>
      </c>
      <c r="C1184" s="7" t="s">
        <v>23</v>
      </c>
      <c r="D1184" s="7" t="s">
        <v>374</v>
      </c>
      <c r="E1184" s="7" t="str">
        <f t="shared" si="201"/>
        <v>ROHIT MEHRA</v>
      </c>
      <c r="F1184" s="7" t="s">
        <v>16</v>
      </c>
      <c r="G1184" s="22">
        <v>44852</v>
      </c>
      <c r="H1184" s="8">
        <v>69522</v>
      </c>
      <c r="I1184" s="7" t="str">
        <f t="shared" si="202"/>
        <v>rohit.mehra@pr.mea.ba</v>
      </c>
      <c r="J1184" s="6" t="s">
        <v>1541</v>
      </c>
      <c r="K1184" s="6">
        <v>42</v>
      </c>
      <c r="L1184" s="7" t="str">
        <f t="shared" si="203"/>
        <v>pr.mea.ba</v>
      </c>
      <c r="M1184" s="7" t="str">
        <f t="shared" si="204"/>
        <v>M.Rohit</v>
      </c>
      <c r="N1184" s="6">
        <f t="shared" si="199"/>
        <v>0</v>
      </c>
      <c r="O1184" s="6">
        <f t="shared" si="198"/>
        <v>2</v>
      </c>
      <c r="P1184" s="6" t="str">
        <f t="shared" si="205"/>
        <v>N</v>
      </c>
      <c r="Q1184" s="6">
        <f t="shared" si="206"/>
        <v>10</v>
      </c>
      <c r="R1184" s="6" t="str">
        <f t="shared" si="207"/>
        <v>2022</v>
      </c>
      <c r="S1184" s="6" t="str">
        <f t="shared" si="208"/>
        <v>Oct</v>
      </c>
    </row>
    <row r="1185" spans="1:19" x14ac:dyDescent="0.25">
      <c r="A1185" s="6">
        <v>291</v>
      </c>
      <c r="B1185" s="6" t="str">
        <f t="shared" si="200"/>
        <v>NIKPRO00291</v>
      </c>
      <c r="C1185" s="7" t="s">
        <v>434</v>
      </c>
      <c r="D1185" s="7" t="s">
        <v>435</v>
      </c>
      <c r="E1185" s="7" t="str">
        <f t="shared" si="201"/>
        <v>RASIKA DAMODAR</v>
      </c>
      <c r="F1185" s="7" t="s">
        <v>16</v>
      </c>
      <c r="G1185" s="22">
        <v>44928</v>
      </c>
      <c r="H1185" s="8">
        <v>31697</v>
      </c>
      <c r="I1185" s="7" t="str">
        <f t="shared" si="202"/>
        <v>rasika.damodar@pr.dar.ba</v>
      </c>
      <c r="J1185" s="6" t="s">
        <v>1536</v>
      </c>
      <c r="K1185" s="6">
        <v>74</v>
      </c>
      <c r="L1185" s="7" t="str">
        <f t="shared" si="203"/>
        <v>pr.dar.ba</v>
      </c>
      <c r="M1185" s="7" t="str">
        <f t="shared" si="204"/>
        <v>D.Rasika</v>
      </c>
      <c r="N1185" s="6">
        <f t="shared" si="199"/>
        <v>0</v>
      </c>
      <c r="O1185" s="6">
        <f t="shared" si="198"/>
        <v>0</v>
      </c>
      <c r="P1185" s="6" t="str">
        <f t="shared" si="205"/>
        <v>N</v>
      </c>
      <c r="Q1185" s="6">
        <f t="shared" si="206"/>
        <v>13</v>
      </c>
      <c r="R1185" s="6" t="str">
        <f t="shared" si="207"/>
        <v>2023</v>
      </c>
      <c r="S1185" s="6" t="str">
        <f t="shared" si="208"/>
        <v>Jan</v>
      </c>
    </row>
    <row r="1186" spans="1:19" x14ac:dyDescent="0.25">
      <c r="A1186" s="6">
        <v>316</v>
      </c>
      <c r="B1186" s="6" t="str">
        <f t="shared" si="200"/>
        <v>NIKPRO00316</v>
      </c>
      <c r="C1186" s="7" t="s">
        <v>468</v>
      </c>
      <c r="D1186" s="7" t="s">
        <v>469</v>
      </c>
      <c r="E1186" s="7" t="str">
        <f t="shared" si="201"/>
        <v>AKASHITA CHHABRA</v>
      </c>
      <c r="F1186" s="7" t="s">
        <v>16</v>
      </c>
      <c r="G1186" s="22">
        <v>45047</v>
      </c>
      <c r="H1186" s="8">
        <v>78257</v>
      </c>
      <c r="I1186" s="7" t="str">
        <f t="shared" si="202"/>
        <v>akashita.chhabra@pr.cha.ba</v>
      </c>
      <c r="J1186" s="6" t="s">
        <v>1534</v>
      </c>
      <c r="K1186" s="6">
        <v>53</v>
      </c>
      <c r="L1186" s="7" t="str">
        <f t="shared" si="203"/>
        <v>pr.cha.ba</v>
      </c>
      <c r="M1186" s="7" t="str">
        <f t="shared" si="204"/>
        <v>C.Akashita</v>
      </c>
      <c r="N1186" s="6">
        <f t="shared" si="199"/>
        <v>0</v>
      </c>
      <c r="O1186" s="6">
        <f t="shared" si="198"/>
        <v>0</v>
      </c>
      <c r="P1186" s="6" t="str">
        <f t="shared" si="205"/>
        <v>N</v>
      </c>
      <c r="Q1186" s="6">
        <f t="shared" si="206"/>
        <v>15</v>
      </c>
      <c r="R1186" s="6" t="str">
        <f t="shared" si="207"/>
        <v>2023</v>
      </c>
      <c r="S1186" s="6" t="str">
        <f t="shared" si="208"/>
        <v>May</v>
      </c>
    </row>
    <row r="1187" spans="1:19" x14ac:dyDescent="0.25">
      <c r="A1187" s="6">
        <v>321</v>
      </c>
      <c r="B1187" s="6" t="str">
        <f t="shared" si="200"/>
        <v>NIKPRO00321</v>
      </c>
      <c r="C1187" s="7" t="s">
        <v>475</v>
      </c>
      <c r="D1187" s="7" t="s">
        <v>476</v>
      </c>
      <c r="E1187" s="7" t="str">
        <f t="shared" si="201"/>
        <v>AKANKSHA DWIVEDI</v>
      </c>
      <c r="F1187" s="7" t="s">
        <v>16</v>
      </c>
      <c r="G1187" s="22">
        <v>45061</v>
      </c>
      <c r="H1187" s="8">
        <v>47821</v>
      </c>
      <c r="I1187" s="7" t="str">
        <f t="shared" si="202"/>
        <v>akanksha.dwivedi@pr.dwi.ba</v>
      </c>
      <c r="J1187" s="6" t="s">
        <v>1533</v>
      </c>
      <c r="K1187" s="6">
        <v>59</v>
      </c>
      <c r="L1187" s="7" t="str">
        <f t="shared" si="203"/>
        <v>pr.dwi.ba</v>
      </c>
      <c r="M1187" s="7" t="str">
        <f t="shared" si="204"/>
        <v>D.Akanksha</v>
      </c>
      <c r="N1187" s="6">
        <f t="shared" si="199"/>
        <v>0</v>
      </c>
      <c r="O1187" s="6">
        <f t="shared" si="198"/>
        <v>5</v>
      </c>
      <c r="P1187" s="6" t="str">
        <f t="shared" si="205"/>
        <v>N</v>
      </c>
      <c r="Q1187" s="6">
        <f t="shared" si="206"/>
        <v>15</v>
      </c>
      <c r="R1187" s="6" t="str">
        <f t="shared" si="207"/>
        <v>2023</v>
      </c>
      <c r="S1187" s="6" t="str">
        <f t="shared" si="208"/>
        <v>May</v>
      </c>
    </row>
    <row r="1188" spans="1:19" x14ac:dyDescent="0.25">
      <c r="A1188" s="6">
        <v>324</v>
      </c>
      <c r="B1188" s="6" t="str">
        <f t="shared" si="200"/>
        <v>NIKPRO00324</v>
      </c>
      <c r="C1188" s="7" t="s">
        <v>480</v>
      </c>
      <c r="D1188" s="7" t="s">
        <v>95</v>
      </c>
      <c r="E1188" s="7" t="str">
        <f t="shared" si="201"/>
        <v>FENIL JOSHI</v>
      </c>
      <c r="F1188" s="7" t="s">
        <v>16</v>
      </c>
      <c r="G1188" s="22">
        <v>45082</v>
      </c>
      <c r="H1188" s="8">
        <v>68072</v>
      </c>
      <c r="I1188" s="7" t="str">
        <f t="shared" si="202"/>
        <v>fenil.joshi@pr.joi.ba</v>
      </c>
      <c r="J1188" s="6" t="s">
        <v>1550</v>
      </c>
      <c r="K1188" s="6">
        <v>41</v>
      </c>
      <c r="L1188" s="7" t="str">
        <f t="shared" si="203"/>
        <v>pr.joi.ba</v>
      </c>
      <c r="M1188" s="7" t="str">
        <f t="shared" si="204"/>
        <v>J.Fenil</v>
      </c>
      <c r="N1188" s="6">
        <f t="shared" si="199"/>
        <v>2</v>
      </c>
      <c r="O1188" s="6">
        <f t="shared" si="198"/>
        <v>0</v>
      </c>
      <c r="P1188" s="6" t="str">
        <f t="shared" si="205"/>
        <v>N</v>
      </c>
      <c r="Q1188" s="6">
        <f t="shared" si="206"/>
        <v>10</v>
      </c>
      <c r="R1188" s="6" t="str">
        <f t="shared" si="207"/>
        <v>2023</v>
      </c>
      <c r="S1188" s="6" t="str">
        <f t="shared" si="208"/>
        <v>Jun</v>
      </c>
    </row>
    <row r="1189" spans="1:19" x14ac:dyDescent="0.25">
      <c r="A1189" s="6">
        <v>331</v>
      </c>
      <c r="B1189" s="6" t="str">
        <f t="shared" si="200"/>
        <v>NIKPRO00331</v>
      </c>
      <c r="C1189" s="7" t="s">
        <v>25</v>
      </c>
      <c r="D1189" s="7"/>
      <c r="E1189" s="7" t="str">
        <f t="shared" si="201"/>
        <v>DIVYA</v>
      </c>
      <c r="F1189" s="7" t="s">
        <v>16</v>
      </c>
      <c r="G1189" s="22">
        <v>45108</v>
      </c>
      <c r="H1189" s="8">
        <v>42212</v>
      </c>
      <c r="I1189" s="7" t="str">
        <f t="shared" si="202"/>
        <v>divya.@pr..ba</v>
      </c>
      <c r="J1189" s="6" t="s">
        <v>1536</v>
      </c>
      <c r="K1189" s="6">
        <v>56</v>
      </c>
      <c r="L1189" s="7" t="str">
        <f t="shared" si="203"/>
        <v>pr..ba</v>
      </c>
      <c r="M1189" s="7" t="str">
        <f t="shared" si="204"/>
        <v>.Divya</v>
      </c>
      <c r="N1189" s="6">
        <f t="shared" si="199"/>
        <v>0</v>
      </c>
      <c r="O1189" s="6">
        <f t="shared" si="198"/>
        <v>0</v>
      </c>
      <c r="P1189" s="6" t="str">
        <f t="shared" si="205"/>
        <v>N</v>
      </c>
      <c r="Q1189" s="6">
        <f t="shared" si="206"/>
        <v>5</v>
      </c>
      <c r="R1189" s="6" t="str">
        <f t="shared" si="207"/>
        <v>2023</v>
      </c>
      <c r="S1189" s="6" t="str">
        <f t="shared" si="208"/>
        <v>Jul</v>
      </c>
    </row>
    <row r="1190" spans="1:19" x14ac:dyDescent="0.25">
      <c r="A1190" s="6">
        <v>334</v>
      </c>
      <c r="B1190" s="6" t="str">
        <f t="shared" si="200"/>
        <v>NIKPRO00334</v>
      </c>
      <c r="C1190" s="7" t="s">
        <v>255</v>
      </c>
      <c r="D1190" s="7" t="s">
        <v>205</v>
      </c>
      <c r="E1190" s="7" t="str">
        <f t="shared" si="201"/>
        <v>SHIVANI VERMA</v>
      </c>
      <c r="F1190" s="7" t="s">
        <v>16</v>
      </c>
      <c r="G1190" s="22">
        <v>45114</v>
      </c>
      <c r="H1190" s="8">
        <v>65549</v>
      </c>
      <c r="I1190" s="7" t="str">
        <f t="shared" si="202"/>
        <v>shivani.verma@pr.vea.ba</v>
      </c>
      <c r="J1190" s="6" t="s">
        <v>1536</v>
      </c>
      <c r="K1190" s="6">
        <v>48</v>
      </c>
      <c r="L1190" s="7" t="str">
        <f t="shared" si="203"/>
        <v>pr.vea.ba</v>
      </c>
      <c r="M1190" s="7" t="str">
        <f t="shared" si="204"/>
        <v>V.Shivani</v>
      </c>
      <c r="N1190" s="6">
        <f t="shared" si="199"/>
        <v>0</v>
      </c>
      <c r="O1190" s="6">
        <f t="shared" si="198"/>
        <v>2</v>
      </c>
      <c r="P1190" s="6" t="str">
        <f t="shared" si="205"/>
        <v>N</v>
      </c>
      <c r="Q1190" s="6">
        <f t="shared" si="206"/>
        <v>12</v>
      </c>
      <c r="R1190" s="6" t="str">
        <f t="shared" si="207"/>
        <v>2023</v>
      </c>
      <c r="S1190" s="6" t="str">
        <f t="shared" si="208"/>
        <v>Jul</v>
      </c>
    </row>
    <row r="1191" spans="1:19" x14ac:dyDescent="0.25">
      <c r="A1191" s="6">
        <v>346</v>
      </c>
      <c r="B1191" s="6" t="str">
        <f t="shared" si="200"/>
        <v>NIKPRO00346</v>
      </c>
      <c r="C1191" s="7" t="s">
        <v>509</v>
      </c>
      <c r="D1191" s="7" t="s">
        <v>510</v>
      </c>
      <c r="E1191" s="7" t="str">
        <f t="shared" si="201"/>
        <v>APARNA TANDON</v>
      </c>
      <c r="F1191" s="7" t="s">
        <v>16</v>
      </c>
      <c r="G1191" s="22">
        <v>45148</v>
      </c>
      <c r="H1191" s="8">
        <v>29846</v>
      </c>
      <c r="I1191" s="7" t="str">
        <f t="shared" si="202"/>
        <v>aparna.tandon@pr.tan.ba</v>
      </c>
      <c r="J1191" s="6" t="s">
        <v>1534</v>
      </c>
      <c r="K1191" s="6">
        <v>57</v>
      </c>
      <c r="L1191" s="7" t="str">
        <f t="shared" si="203"/>
        <v>pr.tan.ba</v>
      </c>
      <c r="M1191" s="7" t="str">
        <f t="shared" si="204"/>
        <v>T.Aparna</v>
      </c>
      <c r="N1191" s="6">
        <f t="shared" si="199"/>
        <v>0</v>
      </c>
      <c r="O1191" s="6">
        <f t="shared" si="198"/>
        <v>0</v>
      </c>
      <c r="P1191" s="6" t="str">
        <f t="shared" si="205"/>
        <v>N</v>
      </c>
      <c r="Q1191" s="6">
        <f t="shared" si="206"/>
        <v>12</v>
      </c>
      <c r="R1191" s="6" t="str">
        <f t="shared" si="207"/>
        <v>2023</v>
      </c>
      <c r="S1191" s="6" t="str">
        <f t="shared" si="208"/>
        <v>Aug</v>
      </c>
    </row>
    <row r="1192" spans="1:19" x14ac:dyDescent="0.25">
      <c r="A1192" s="6">
        <v>348</v>
      </c>
      <c r="B1192" s="6" t="str">
        <f t="shared" si="200"/>
        <v>NIKPRO00348</v>
      </c>
      <c r="C1192" s="7" t="s">
        <v>320</v>
      </c>
      <c r="D1192" s="7" t="s">
        <v>383</v>
      </c>
      <c r="E1192" s="7" t="str">
        <f t="shared" si="201"/>
        <v>VISHAL ATULBHAI</v>
      </c>
      <c r="F1192" s="7" t="s">
        <v>16</v>
      </c>
      <c r="G1192" s="22">
        <v>45152</v>
      </c>
      <c r="H1192" s="8">
        <v>29145</v>
      </c>
      <c r="I1192" s="7" t="str">
        <f t="shared" si="202"/>
        <v>vishal.atulbhai@pr.ati.ba</v>
      </c>
      <c r="J1192" s="6" t="s">
        <v>1534</v>
      </c>
      <c r="K1192" s="6">
        <v>45</v>
      </c>
      <c r="L1192" s="7" t="str">
        <f t="shared" si="203"/>
        <v>pr.ati.ba</v>
      </c>
      <c r="M1192" s="7" t="str">
        <f t="shared" si="204"/>
        <v>A.Vishal</v>
      </c>
      <c r="N1192" s="6">
        <f t="shared" si="199"/>
        <v>0</v>
      </c>
      <c r="O1192" s="6">
        <f t="shared" si="198"/>
        <v>0</v>
      </c>
      <c r="P1192" s="6" t="str">
        <f t="shared" si="205"/>
        <v>N</v>
      </c>
      <c r="Q1192" s="6">
        <f t="shared" si="206"/>
        <v>14</v>
      </c>
      <c r="R1192" s="6" t="str">
        <f t="shared" si="207"/>
        <v>2023</v>
      </c>
      <c r="S1192" s="6" t="str">
        <f t="shared" si="208"/>
        <v>Aug</v>
      </c>
    </row>
    <row r="1193" spans="1:19" x14ac:dyDescent="0.25">
      <c r="A1193" s="6">
        <v>356</v>
      </c>
      <c r="B1193" s="6" t="str">
        <f t="shared" si="200"/>
        <v>NIKPRO00356</v>
      </c>
      <c r="C1193" s="7" t="s">
        <v>522</v>
      </c>
      <c r="D1193" s="7" t="s">
        <v>245</v>
      </c>
      <c r="E1193" s="7" t="str">
        <f t="shared" si="201"/>
        <v>ANJANI PAREEK</v>
      </c>
      <c r="F1193" s="7" t="s">
        <v>16</v>
      </c>
      <c r="G1193" s="22">
        <v>45231</v>
      </c>
      <c r="H1193" s="8">
        <v>59147</v>
      </c>
      <c r="I1193" s="7" t="str">
        <f t="shared" si="202"/>
        <v>anjani.pareek@pr.pak.ba</v>
      </c>
      <c r="J1193" s="6" t="s">
        <v>1545</v>
      </c>
      <c r="K1193" s="6">
        <v>80</v>
      </c>
      <c r="L1193" s="7" t="str">
        <f t="shared" si="203"/>
        <v>pr.pak.ba</v>
      </c>
      <c r="M1193" s="7" t="str">
        <f t="shared" si="204"/>
        <v>P.Anjani</v>
      </c>
      <c r="N1193" s="6">
        <f t="shared" si="199"/>
        <v>0</v>
      </c>
      <c r="O1193" s="6">
        <f t="shared" si="198"/>
        <v>4</v>
      </c>
      <c r="P1193" s="6" t="str">
        <f t="shared" si="205"/>
        <v>N</v>
      </c>
      <c r="Q1193" s="6">
        <f t="shared" si="206"/>
        <v>12</v>
      </c>
      <c r="R1193" s="6" t="str">
        <f t="shared" si="207"/>
        <v>2023</v>
      </c>
      <c r="S1193" s="6" t="str">
        <f t="shared" si="208"/>
        <v>Nov</v>
      </c>
    </row>
    <row r="1194" spans="1:19" x14ac:dyDescent="0.25">
      <c r="A1194" s="6">
        <v>363</v>
      </c>
      <c r="B1194" s="6" t="str">
        <f t="shared" si="200"/>
        <v>NIKPRO00363</v>
      </c>
      <c r="C1194" s="7" t="s">
        <v>527</v>
      </c>
      <c r="D1194" s="7" t="s">
        <v>528</v>
      </c>
      <c r="E1194" s="7" t="str">
        <f t="shared" si="201"/>
        <v>NIMISH MANOJKUMAR</v>
      </c>
      <c r="F1194" s="7" t="s">
        <v>16</v>
      </c>
      <c r="G1194" s="22">
        <v>45276</v>
      </c>
      <c r="H1194" s="8">
        <v>105240</v>
      </c>
      <c r="I1194" s="7" t="str">
        <f t="shared" si="202"/>
        <v>nimish.manojkumar@pr.mar.ba</v>
      </c>
      <c r="J1194" s="6" t="s">
        <v>1532</v>
      </c>
      <c r="K1194" s="6">
        <v>41</v>
      </c>
      <c r="L1194" s="7" t="str">
        <f t="shared" si="203"/>
        <v>pr.mar.ba</v>
      </c>
      <c r="M1194" s="7" t="str">
        <f t="shared" si="204"/>
        <v>M.Nimish</v>
      </c>
      <c r="N1194" s="6">
        <f t="shared" si="199"/>
        <v>0</v>
      </c>
      <c r="O1194" s="6">
        <f t="shared" si="198"/>
        <v>0</v>
      </c>
      <c r="P1194" s="6" t="str">
        <f t="shared" si="205"/>
        <v>N</v>
      </c>
      <c r="Q1194" s="6">
        <f t="shared" si="206"/>
        <v>16</v>
      </c>
      <c r="R1194" s="6" t="str">
        <f t="shared" si="207"/>
        <v>2023</v>
      </c>
      <c r="S1194" s="6" t="str">
        <f t="shared" si="208"/>
        <v>Dec</v>
      </c>
    </row>
    <row r="1195" spans="1:19" x14ac:dyDescent="0.25">
      <c r="A1195" s="6">
        <v>376</v>
      </c>
      <c r="B1195" s="6" t="str">
        <f t="shared" si="200"/>
        <v>NIKPRO00376</v>
      </c>
      <c r="C1195" s="7" t="s">
        <v>546</v>
      </c>
      <c r="D1195" s="7" t="s">
        <v>154</v>
      </c>
      <c r="E1195" s="7" t="str">
        <f t="shared" si="201"/>
        <v>RISHAB BHARDWAJ</v>
      </c>
      <c r="F1195" s="7" t="s">
        <v>16</v>
      </c>
      <c r="G1195" s="22">
        <v>45334</v>
      </c>
      <c r="H1195" s="8">
        <v>58786</v>
      </c>
      <c r="I1195" s="7" t="str">
        <f t="shared" si="202"/>
        <v>rishab.bhardwaj@pr.bhj.ba</v>
      </c>
      <c r="J1195" s="6" t="s">
        <v>1545</v>
      </c>
      <c r="K1195" s="6">
        <v>59</v>
      </c>
      <c r="L1195" s="7" t="str">
        <f t="shared" si="203"/>
        <v>pr.bhj.ba</v>
      </c>
      <c r="M1195" s="7" t="str">
        <f t="shared" si="204"/>
        <v>B.Rishab</v>
      </c>
      <c r="N1195" s="6">
        <f t="shared" si="199"/>
        <v>0</v>
      </c>
      <c r="O1195" s="6">
        <f t="shared" si="198"/>
        <v>0</v>
      </c>
      <c r="P1195" s="6" t="str">
        <f t="shared" si="205"/>
        <v>N</v>
      </c>
      <c r="Q1195" s="6">
        <f t="shared" si="206"/>
        <v>14</v>
      </c>
      <c r="R1195" s="6" t="str">
        <f t="shared" si="207"/>
        <v>2024</v>
      </c>
      <c r="S1195" s="6" t="str">
        <f t="shared" si="208"/>
        <v>Feb</v>
      </c>
    </row>
    <row r="1196" spans="1:19" x14ac:dyDescent="0.25">
      <c r="A1196" s="6">
        <v>377</v>
      </c>
      <c r="B1196" s="6" t="str">
        <f t="shared" si="200"/>
        <v>NIKPRO00377</v>
      </c>
      <c r="C1196" s="7" t="s">
        <v>547</v>
      </c>
      <c r="D1196" s="7" t="s">
        <v>62</v>
      </c>
      <c r="E1196" s="7" t="str">
        <f t="shared" si="201"/>
        <v>TANISHA JAIN</v>
      </c>
      <c r="F1196" s="7" t="s">
        <v>16</v>
      </c>
      <c r="G1196" s="22">
        <v>45334</v>
      </c>
      <c r="H1196" s="8">
        <v>62303</v>
      </c>
      <c r="I1196" s="7" t="str">
        <f t="shared" si="202"/>
        <v>tanisha.jain@pr.jan.ba</v>
      </c>
      <c r="J1196" s="6" t="s">
        <v>1543</v>
      </c>
      <c r="K1196" s="6">
        <v>37</v>
      </c>
      <c r="L1196" s="7" t="str">
        <f t="shared" si="203"/>
        <v>pr.jan.ba</v>
      </c>
      <c r="M1196" s="7" t="str">
        <f t="shared" si="204"/>
        <v>J.Tanisha</v>
      </c>
      <c r="N1196" s="6">
        <f t="shared" si="199"/>
        <v>0</v>
      </c>
      <c r="O1196" s="6">
        <f t="shared" ref="O1196:O1259" si="209">IFERROR(SEARCH("e",D1196),0)</f>
        <v>0</v>
      </c>
      <c r="P1196" s="6" t="str">
        <f t="shared" si="205"/>
        <v>N</v>
      </c>
      <c r="Q1196" s="6">
        <f t="shared" si="206"/>
        <v>11</v>
      </c>
      <c r="R1196" s="6" t="str">
        <f t="shared" si="207"/>
        <v>2024</v>
      </c>
      <c r="S1196" s="6" t="str">
        <f t="shared" si="208"/>
        <v>Feb</v>
      </c>
    </row>
    <row r="1197" spans="1:19" x14ac:dyDescent="0.25">
      <c r="A1197" s="6">
        <v>379</v>
      </c>
      <c r="B1197" s="6" t="str">
        <f t="shared" si="200"/>
        <v>NIKPRO00379</v>
      </c>
      <c r="C1197" s="7" t="s">
        <v>550</v>
      </c>
      <c r="D1197" s="7" t="s">
        <v>68</v>
      </c>
      <c r="E1197" s="7" t="str">
        <f t="shared" si="201"/>
        <v>PRAMOD KUMAR</v>
      </c>
      <c r="F1197" s="7" t="s">
        <v>16</v>
      </c>
      <c r="G1197" s="22">
        <v>45352</v>
      </c>
      <c r="H1197" s="8">
        <v>103853</v>
      </c>
      <c r="I1197" s="7" t="str">
        <f t="shared" si="202"/>
        <v>pramod.kumar@pr.kur.ba</v>
      </c>
      <c r="J1197" s="6" t="s">
        <v>1541</v>
      </c>
      <c r="K1197" s="6">
        <v>81</v>
      </c>
      <c r="L1197" s="7" t="str">
        <f t="shared" si="203"/>
        <v>pr.kur.ba</v>
      </c>
      <c r="M1197" s="7" t="str">
        <f t="shared" si="204"/>
        <v>K.Pramod</v>
      </c>
      <c r="N1197" s="6">
        <f t="shared" si="199"/>
        <v>0</v>
      </c>
      <c r="O1197" s="6">
        <f t="shared" si="209"/>
        <v>0</v>
      </c>
      <c r="P1197" s="6" t="str">
        <f t="shared" si="205"/>
        <v>N</v>
      </c>
      <c r="Q1197" s="6">
        <f t="shared" si="206"/>
        <v>11</v>
      </c>
      <c r="R1197" s="6" t="str">
        <f t="shared" si="207"/>
        <v>2024</v>
      </c>
      <c r="S1197" s="6" t="str">
        <f t="shared" si="208"/>
        <v>Mar</v>
      </c>
    </row>
    <row r="1198" spans="1:19" x14ac:dyDescent="0.25">
      <c r="A1198" s="6">
        <v>382</v>
      </c>
      <c r="B1198" s="6" t="str">
        <f t="shared" si="200"/>
        <v>NIKPRO00382</v>
      </c>
      <c r="C1198" s="7" t="s">
        <v>553</v>
      </c>
      <c r="D1198" s="7" t="s">
        <v>554</v>
      </c>
      <c r="E1198" s="7" t="str">
        <f t="shared" si="201"/>
        <v>AAKANKSHA JAISWAL</v>
      </c>
      <c r="F1198" s="7" t="s">
        <v>16</v>
      </c>
      <c r="G1198" s="22">
        <v>45367</v>
      </c>
      <c r="H1198" s="8">
        <v>29155</v>
      </c>
      <c r="I1198" s="7" t="str">
        <f t="shared" si="202"/>
        <v>aakanksha.jaiswal@pr.jal.ba</v>
      </c>
      <c r="J1198" s="6" t="s">
        <v>1540</v>
      </c>
      <c r="K1198" s="6">
        <v>36</v>
      </c>
      <c r="L1198" s="7" t="str">
        <f t="shared" si="203"/>
        <v>pr.jal.ba</v>
      </c>
      <c r="M1198" s="7" t="str">
        <f t="shared" si="204"/>
        <v>J.Aakanksha</v>
      </c>
      <c r="N1198" s="6">
        <f t="shared" ref="N1198:N1261" si="210">IFERROR(SEARCH("e",C1198),0)</f>
        <v>0</v>
      </c>
      <c r="O1198" s="6">
        <f t="shared" si="209"/>
        <v>0</v>
      </c>
      <c r="P1198" s="6" t="str">
        <f t="shared" si="205"/>
        <v>N</v>
      </c>
      <c r="Q1198" s="6">
        <f t="shared" si="206"/>
        <v>16</v>
      </c>
      <c r="R1198" s="6" t="str">
        <f t="shared" si="207"/>
        <v>2024</v>
      </c>
      <c r="S1198" s="6" t="str">
        <f t="shared" si="208"/>
        <v>Mar</v>
      </c>
    </row>
    <row r="1199" spans="1:19" x14ac:dyDescent="0.25">
      <c r="A1199" s="6">
        <v>390</v>
      </c>
      <c r="B1199" s="6" t="str">
        <f t="shared" si="200"/>
        <v>NIKPRO00390</v>
      </c>
      <c r="C1199" s="7" t="s">
        <v>227</v>
      </c>
      <c r="D1199" s="7" t="s">
        <v>68</v>
      </c>
      <c r="E1199" s="7" t="str">
        <f t="shared" si="201"/>
        <v>SATISH KUMAR</v>
      </c>
      <c r="F1199" s="7" t="s">
        <v>16</v>
      </c>
      <c r="G1199" s="22">
        <v>45387</v>
      </c>
      <c r="H1199" s="8">
        <v>60115</v>
      </c>
      <c r="I1199" s="7" t="str">
        <f t="shared" si="202"/>
        <v>satish.kumar@pr.kur.ba</v>
      </c>
      <c r="J1199" s="6" t="s">
        <v>1540</v>
      </c>
      <c r="K1199" s="6">
        <v>65</v>
      </c>
      <c r="L1199" s="7" t="str">
        <f t="shared" si="203"/>
        <v>pr.kur.ba</v>
      </c>
      <c r="M1199" s="7" t="str">
        <f t="shared" si="204"/>
        <v>K.Satish</v>
      </c>
      <c r="N1199" s="6">
        <f t="shared" si="210"/>
        <v>0</v>
      </c>
      <c r="O1199" s="6">
        <f t="shared" si="209"/>
        <v>0</v>
      </c>
      <c r="P1199" s="6" t="str">
        <f t="shared" si="205"/>
        <v>N</v>
      </c>
      <c r="Q1199" s="6">
        <f t="shared" si="206"/>
        <v>11</v>
      </c>
      <c r="R1199" s="6" t="str">
        <f t="shared" si="207"/>
        <v>2024</v>
      </c>
      <c r="S1199" s="6" t="str">
        <f t="shared" si="208"/>
        <v>Apr</v>
      </c>
    </row>
    <row r="1200" spans="1:19" x14ac:dyDescent="0.25">
      <c r="A1200" s="6">
        <v>399</v>
      </c>
      <c r="B1200" s="6" t="str">
        <f t="shared" si="200"/>
        <v>NIKPRO00399</v>
      </c>
      <c r="C1200" s="7" t="s">
        <v>571</v>
      </c>
      <c r="D1200" s="7" t="s">
        <v>572</v>
      </c>
      <c r="E1200" s="7" t="str">
        <f t="shared" si="201"/>
        <v>SANCHITA DAS</v>
      </c>
      <c r="F1200" s="7" t="s">
        <v>16</v>
      </c>
      <c r="G1200" s="22">
        <v>45418</v>
      </c>
      <c r="H1200" s="8">
        <v>74696</v>
      </c>
      <c r="I1200" s="7" t="str">
        <f t="shared" si="202"/>
        <v>sanchita.das@pr.das.ba</v>
      </c>
      <c r="J1200" s="6" t="s">
        <v>1544</v>
      </c>
      <c r="K1200" s="6">
        <v>52</v>
      </c>
      <c r="L1200" s="7" t="str">
        <f t="shared" si="203"/>
        <v>pr.das.ba</v>
      </c>
      <c r="M1200" s="7" t="str">
        <f t="shared" si="204"/>
        <v>D.Sanchita</v>
      </c>
      <c r="N1200" s="6">
        <f t="shared" si="210"/>
        <v>0</v>
      </c>
      <c r="O1200" s="6">
        <f t="shared" si="209"/>
        <v>0</v>
      </c>
      <c r="P1200" s="6" t="str">
        <f t="shared" si="205"/>
        <v>N</v>
      </c>
      <c r="Q1200" s="6">
        <f t="shared" si="206"/>
        <v>11</v>
      </c>
      <c r="R1200" s="6" t="str">
        <f t="shared" si="207"/>
        <v>2024</v>
      </c>
      <c r="S1200" s="6" t="str">
        <f t="shared" si="208"/>
        <v>May</v>
      </c>
    </row>
    <row r="1201" spans="1:19" x14ac:dyDescent="0.25">
      <c r="A1201" s="6">
        <v>415</v>
      </c>
      <c r="B1201" s="6" t="str">
        <f t="shared" si="200"/>
        <v>NIKPRO00415</v>
      </c>
      <c r="C1201" s="7" t="s">
        <v>593</v>
      </c>
      <c r="D1201" s="7" t="s">
        <v>594</v>
      </c>
      <c r="E1201" s="7" t="str">
        <f t="shared" si="201"/>
        <v>GEETA KOTWANI</v>
      </c>
      <c r="F1201" s="7" t="s">
        <v>16</v>
      </c>
      <c r="G1201" s="22">
        <v>45474</v>
      </c>
      <c r="H1201" s="8">
        <v>26337</v>
      </c>
      <c r="I1201" s="7" t="str">
        <f t="shared" si="202"/>
        <v>geeta.kotwani@pr.koi.ba</v>
      </c>
      <c r="J1201" s="6" t="s">
        <v>1548</v>
      </c>
      <c r="K1201" s="6">
        <v>65</v>
      </c>
      <c r="L1201" s="7" t="str">
        <f t="shared" si="203"/>
        <v>pr.koi.ba</v>
      </c>
      <c r="M1201" s="7" t="str">
        <f t="shared" si="204"/>
        <v>K.Geeta</v>
      </c>
      <c r="N1201" s="6">
        <f t="shared" si="210"/>
        <v>2</v>
      </c>
      <c r="O1201" s="6">
        <f t="shared" si="209"/>
        <v>0</v>
      </c>
      <c r="P1201" s="6" t="str">
        <f t="shared" si="205"/>
        <v>N</v>
      </c>
      <c r="Q1201" s="6">
        <f t="shared" si="206"/>
        <v>12</v>
      </c>
      <c r="R1201" s="6" t="str">
        <f t="shared" si="207"/>
        <v>2024</v>
      </c>
      <c r="S1201" s="6" t="str">
        <f t="shared" si="208"/>
        <v>Jul</v>
      </c>
    </row>
    <row r="1202" spans="1:19" x14ac:dyDescent="0.25">
      <c r="A1202" s="6">
        <v>424</v>
      </c>
      <c r="B1202" s="6" t="str">
        <f t="shared" si="200"/>
        <v>NIKPRO00424</v>
      </c>
      <c r="C1202" s="7" t="s">
        <v>602</v>
      </c>
      <c r="D1202" s="7" t="s">
        <v>70</v>
      </c>
      <c r="E1202" s="7" t="str">
        <f t="shared" si="201"/>
        <v>VIKRANT SINGH</v>
      </c>
      <c r="F1202" s="7" t="s">
        <v>16</v>
      </c>
      <c r="G1202" s="22">
        <v>45492</v>
      </c>
      <c r="H1202" s="8">
        <v>31370</v>
      </c>
      <c r="I1202" s="7" t="str">
        <f t="shared" si="202"/>
        <v>vikrant.singh@pr.sih.ba</v>
      </c>
      <c r="J1202" s="6" t="s">
        <v>1537</v>
      </c>
      <c r="K1202" s="6">
        <v>42</v>
      </c>
      <c r="L1202" s="7" t="str">
        <f t="shared" si="203"/>
        <v>pr.sih.ba</v>
      </c>
      <c r="M1202" s="7" t="str">
        <f t="shared" si="204"/>
        <v>S.Vikrant</v>
      </c>
      <c r="N1202" s="6">
        <f t="shared" si="210"/>
        <v>0</v>
      </c>
      <c r="O1202" s="6">
        <f t="shared" si="209"/>
        <v>0</v>
      </c>
      <c r="P1202" s="6" t="str">
        <f t="shared" si="205"/>
        <v>N</v>
      </c>
      <c r="Q1202" s="6">
        <f t="shared" si="206"/>
        <v>12</v>
      </c>
      <c r="R1202" s="6" t="str">
        <f t="shared" si="207"/>
        <v>2024</v>
      </c>
      <c r="S1202" s="6" t="str">
        <f t="shared" si="208"/>
        <v>Jul</v>
      </c>
    </row>
    <row r="1203" spans="1:19" x14ac:dyDescent="0.25">
      <c r="A1203" s="6">
        <v>441</v>
      </c>
      <c r="B1203" s="6" t="str">
        <f t="shared" si="200"/>
        <v>NIKPRO00441</v>
      </c>
      <c r="C1203" s="7" t="s">
        <v>620</v>
      </c>
      <c r="D1203" s="7" t="s">
        <v>621</v>
      </c>
      <c r="E1203" s="7" t="str">
        <f t="shared" si="201"/>
        <v>KARISHMA SEHGAL</v>
      </c>
      <c r="F1203" s="7" t="s">
        <v>16</v>
      </c>
      <c r="G1203" s="22">
        <v>45541</v>
      </c>
      <c r="H1203" s="8">
        <v>79053</v>
      </c>
      <c r="I1203" s="7" t="str">
        <f t="shared" si="202"/>
        <v>karishma.sehgal@pr.sel.ba</v>
      </c>
      <c r="J1203" s="6" t="s">
        <v>1545</v>
      </c>
      <c r="K1203" s="6">
        <v>75</v>
      </c>
      <c r="L1203" s="7" t="str">
        <f t="shared" si="203"/>
        <v>pr.sel.ba</v>
      </c>
      <c r="M1203" s="7" t="str">
        <f t="shared" si="204"/>
        <v>S.Karishma</v>
      </c>
      <c r="N1203" s="6">
        <f t="shared" si="210"/>
        <v>0</v>
      </c>
      <c r="O1203" s="6">
        <f t="shared" si="209"/>
        <v>2</v>
      </c>
      <c r="P1203" s="6" t="str">
        <f t="shared" si="205"/>
        <v>N</v>
      </c>
      <c r="Q1203" s="6">
        <f t="shared" si="206"/>
        <v>14</v>
      </c>
      <c r="R1203" s="6" t="str">
        <f t="shared" si="207"/>
        <v>2024</v>
      </c>
      <c r="S1203" s="6" t="str">
        <f t="shared" si="208"/>
        <v>Sep</v>
      </c>
    </row>
    <row r="1204" spans="1:19" x14ac:dyDescent="0.25">
      <c r="A1204" s="6">
        <v>443</v>
      </c>
      <c r="B1204" s="6" t="str">
        <f t="shared" si="200"/>
        <v>NIKPRO00443</v>
      </c>
      <c r="C1204" s="7" t="s">
        <v>623</v>
      </c>
      <c r="D1204" s="7" t="s">
        <v>556</v>
      </c>
      <c r="E1204" s="7" t="str">
        <f t="shared" si="201"/>
        <v>ARCHANA KUMARI</v>
      </c>
      <c r="F1204" s="7" t="s">
        <v>16</v>
      </c>
      <c r="G1204" s="22">
        <v>45544</v>
      </c>
      <c r="H1204" s="8">
        <v>76031</v>
      </c>
      <c r="I1204" s="7" t="str">
        <f t="shared" si="202"/>
        <v>archana.kumari@pr.kui.ba</v>
      </c>
      <c r="J1204" s="6" t="s">
        <v>1543</v>
      </c>
      <c r="K1204" s="6">
        <v>71</v>
      </c>
      <c r="L1204" s="7" t="str">
        <f t="shared" si="203"/>
        <v>pr.kui.ba</v>
      </c>
      <c r="M1204" s="7" t="str">
        <f t="shared" si="204"/>
        <v>K.Archana</v>
      </c>
      <c r="N1204" s="6">
        <f t="shared" si="210"/>
        <v>0</v>
      </c>
      <c r="O1204" s="6">
        <f t="shared" si="209"/>
        <v>0</v>
      </c>
      <c r="P1204" s="6" t="str">
        <f t="shared" si="205"/>
        <v>N</v>
      </c>
      <c r="Q1204" s="6">
        <f t="shared" si="206"/>
        <v>13</v>
      </c>
      <c r="R1204" s="6" t="str">
        <f t="shared" si="207"/>
        <v>2024</v>
      </c>
      <c r="S1204" s="6" t="str">
        <f t="shared" si="208"/>
        <v>Sep</v>
      </c>
    </row>
    <row r="1205" spans="1:19" x14ac:dyDescent="0.25">
      <c r="A1205" s="6">
        <v>461</v>
      </c>
      <c r="B1205" s="6" t="str">
        <f t="shared" si="200"/>
        <v>NIKPRO00461</v>
      </c>
      <c r="C1205" s="7" t="s">
        <v>642</v>
      </c>
      <c r="D1205" s="7" t="s">
        <v>643</v>
      </c>
      <c r="E1205" s="7" t="str">
        <f t="shared" si="201"/>
        <v>VEMPATI VENKATA</v>
      </c>
      <c r="F1205" s="7" t="s">
        <v>16</v>
      </c>
      <c r="G1205" s="22">
        <v>45583</v>
      </c>
      <c r="H1205" s="8">
        <v>59229</v>
      </c>
      <c r="I1205" s="7" t="str">
        <f t="shared" si="202"/>
        <v>vempati.venkata@pr.vea.ba</v>
      </c>
      <c r="J1205" s="6" t="s">
        <v>1550</v>
      </c>
      <c r="K1205" s="6">
        <v>51</v>
      </c>
      <c r="L1205" s="7" t="str">
        <f t="shared" si="203"/>
        <v>pr.vea.ba</v>
      </c>
      <c r="M1205" s="7" t="str">
        <f t="shared" si="204"/>
        <v>V.Vempati</v>
      </c>
      <c r="N1205" s="6">
        <f t="shared" si="210"/>
        <v>2</v>
      </c>
      <c r="O1205" s="6">
        <f t="shared" si="209"/>
        <v>2</v>
      </c>
      <c r="P1205" s="6" t="str">
        <f t="shared" si="205"/>
        <v>Y</v>
      </c>
      <c r="Q1205" s="6">
        <f t="shared" si="206"/>
        <v>14</v>
      </c>
      <c r="R1205" s="6" t="str">
        <f t="shared" si="207"/>
        <v>2024</v>
      </c>
      <c r="S1205" s="6" t="str">
        <f t="shared" si="208"/>
        <v>Oct</v>
      </c>
    </row>
    <row r="1206" spans="1:19" x14ac:dyDescent="0.25">
      <c r="A1206" s="6">
        <v>462</v>
      </c>
      <c r="B1206" s="6" t="str">
        <f t="shared" si="200"/>
        <v>NIKPRO00462</v>
      </c>
      <c r="C1206" s="7" t="s">
        <v>25</v>
      </c>
      <c r="D1206" s="7" t="s">
        <v>182</v>
      </c>
      <c r="E1206" s="7" t="str">
        <f t="shared" si="201"/>
        <v>DIVYA MANOJ</v>
      </c>
      <c r="F1206" s="7" t="s">
        <v>16</v>
      </c>
      <c r="G1206" s="22">
        <v>45600</v>
      </c>
      <c r="H1206" s="8">
        <v>25035</v>
      </c>
      <c r="I1206" s="7" t="str">
        <f t="shared" si="202"/>
        <v>divya.manoj@pr.maj.ba</v>
      </c>
      <c r="J1206" s="6" t="s">
        <v>1534</v>
      </c>
      <c r="K1206" s="6">
        <v>40</v>
      </c>
      <c r="L1206" s="7" t="str">
        <f t="shared" si="203"/>
        <v>pr.maj.ba</v>
      </c>
      <c r="M1206" s="7" t="str">
        <f t="shared" si="204"/>
        <v>M.Divya</v>
      </c>
      <c r="N1206" s="6">
        <f t="shared" si="210"/>
        <v>0</v>
      </c>
      <c r="O1206" s="6">
        <f t="shared" si="209"/>
        <v>0</v>
      </c>
      <c r="P1206" s="6" t="str">
        <f t="shared" si="205"/>
        <v>N</v>
      </c>
      <c r="Q1206" s="6">
        <f t="shared" si="206"/>
        <v>10</v>
      </c>
      <c r="R1206" s="6" t="str">
        <f t="shared" si="207"/>
        <v>2024</v>
      </c>
      <c r="S1206" s="6" t="str">
        <f t="shared" si="208"/>
        <v>Nov</v>
      </c>
    </row>
    <row r="1207" spans="1:19" x14ac:dyDescent="0.25">
      <c r="A1207" s="6">
        <v>466</v>
      </c>
      <c r="B1207" s="6" t="str">
        <f t="shared" si="200"/>
        <v>NIKPRO00466</v>
      </c>
      <c r="C1207" s="7" t="s">
        <v>647</v>
      </c>
      <c r="D1207" s="7" t="s">
        <v>55</v>
      </c>
      <c r="E1207" s="7" t="str">
        <f t="shared" si="201"/>
        <v>ROBIN SHARMA</v>
      </c>
      <c r="F1207" s="7" t="s">
        <v>16</v>
      </c>
      <c r="G1207" s="22">
        <v>45602</v>
      </c>
      <c r="H1207" s="8">
        <v>100596</v>
      </c>
      <c r="I1207" s="7" t="str">
        <f t="shared" si="202"/>
        <v>robin.sharma@pr.sha.ba</v>
      </c>
      <c r="J1207" s="6" t="s">
        <v>1543</v>
      </c>
      <c r="K1207" s="6">
        <v>46</v>
      </c>
      <c r="L1207" s="7" t="str">
        <f t="shared" si="203"/>
        <v>pr.sha.ba</v>
      </c>
      <c r="M1207" s="7" t="str">
        <f t="shared" si="204"/>
        <v>S.Robin</v>
      </c>
      <c r="N1207" s="6">
        <f t="shared" si="210"/>
        <v>0</v>
      </c>
      <c r="O1207" s="6">
        <f t="shared" si="209"/>
        <v>0</v>
      </c>
      <c r="P1207" s="6" t="str">
        <f t="shared" si="205"/>
        <v>N</v>
      </c>
      <c r="Q1207" s="6">
        <f t="shared" si="206"/>
        <v>11</v>
      </c>
      <c r="R1207" s="6" t="str">
        <f t="shared" si="207"/>
        <v>2024</v>
      </c>
      <c r="S1207" s="6" t="str">
        <f t="shared" si="208"/>
        <v>Nov</v>
      </c>
    </row>
    <row r="1208" spans="1:19" x14ac:dyDescent="0.25">
      <c r="A1208" s="6">
        <v>467</v>
      </c>
      <c r="B1208" s="6" t="str">
        <f t="shared" si="200"/>
        <v>NIKPRO00467</v>
      </c>
      <c r="C1208" s="7" t="s">
        <v>648</v>
      </c>
      <c r="D1208" s="7" t="s">
        <v>332</v>
      </c>
      <c r="E1208" s="7" t="str">
        <f t="shared" si="201"/>
        <v>BODOO RAM</v>
      </c>
      <c r="F1208" s="7" t="s">
        <v>16</v>
      </c>
      <c r="G1208" s="22">
        <v>45602</v>
      </c>
      <c r="H1208" s="8">
        <v>33102</v>
      </c>
      <c r="I1208" s="7" t="str">
        <f t="shared" si="202"/>
        <v>bodoo.ram@pr.ram.ba</v>
      </c>
      <c r="J1208" s="6" t="s">
        <v>1546</v>
      </c>
      <c r="K1208" s="6">
        <v>87</v>
      </c>
      <c r="L1208" s="7" t="str">
        <f t="shared" si="203"/>
        <v>pr.ram.ba</v>
      </c>
      <c r="M1208" s="7" t="str">
        <f t="shared" si="204"/>
        <v>R.Bodoo</v>
      </c>
      <c r="N1208" s="6">
        <f t="shared" si="210"/>
        <v>0</v>
      </c>
      <c r="O1208" s="6">
        <f t="shared" si="209"/>
        <v>0</v>
      </c>
      <c r="P1208" s="6" t="str">
        <f t="shared" si="205"/>
        <v>N</v>
      </c>
      <c r="Q1208" s="6">
        <f t="shared" si="206"/>
        <v>8</v>
      </c>
      <c r="R1208" s="6" t="str">
        <f t="shared" si="207"/>
        <v>2024</v>
      </c>
      <c r="S1208" s="6" t="str">
        <f t="shared" si="208"/>
        <v>Nov</v>
      </c>
    </row>
    <row r="1209" spans="1:19" x14ac:dyDescent="0.25">
      <c r="A1209" s="6">
        <v>475</v>
      </c>
      <c r="B1209" s="6" t="str">
        <f t="shared" si="200"/>
        <v>NIKPRO00475</v>
      </c>
      <c r="C1209" s="7" t="s">
        <v>659</v>
      </c>
      <c r="D1209" s="7" t="s">
        <v>660</v>
      </c>
      <c r="E1209" s="7" t="str">
        <f t="shared" si="201"/>
        <v>AFTAB MAQSOOD</v>
      </c>
      <c r="F1209" s="7" t="s">
        <v>16</v>
      </c>
      <c r="G1209" s="22">
        <v>45628</v>
      </c>
      <c r="H1209" s="8">
        <v>85165</v>
      </c>
      <c r="I1209" s="7" t="str">
        <f t="shared" si="202"/>
        <v>aftab.maqsood@pr.mad.ba</v>
      </c>
      <c r="J1209" s="6" t="s">
        <v>1549</v>
      </c>
      <c r="K1209" s="6">
        <v>87</v>
      </c>
      <c r="L1209" s="7" t="str">
        <f t="shared" si="203"/>
        <v>pr.mad.ba</v>
      </c>
      <c r="M1209" s="7" t="str">
        <f t="shared" si="204"/>
        <v>M.Aftab</v>
      </c>
      <c r="N1209" s="6">
        <f t="shared" si="210"/>
        <v>0</v>
      </c>
      <c r="O1209" s="6">
        <f t="shared" si="209"/>
        <v>0</v>
      </c>
      <c r="P1209" s="6" t="str">
        <f t="shared" si="205"/>
        <v>N</v>
      </c>
      <c r="Q1209" s="6">
        <f t="shared" si="206"/>
        <v>12</v>
      </c>
      <c r="R1209" s="6" t="str">
        <f t="shared" si="207"/>
        <v>2024</v>
      </c>
      <c r="S1209" s="6" t="str">
        <f t="shared" si="208"/>
        <v>Dec</v>
      </c>
    </row>
    <row r="1210" spans="1:19" x14ac:dyDescent="0.25">
      <c r="A1210" s="6">
        <v>494</v>
      </c>
      <c r="B1210" s="6" t="str">
        <f t="shared" si="200"/>
        <v>NIKPRO00494</v>
      </c>
      <c r="C1210" s="7" t="s">
        <v>680</v>
      </c>
      <c r="D1210" s="7" t="s">
        <v>70</v>
      </c>
      <c r="E1210" s="7" t="str">
        <f t="shared" si="201"/>
        <v>RAGHVENDRA SINGH</v>
      </c>
      <c r="F1210" s="7" t="s">
        <v>16</v>
      </c>
      <c r="G1210" s="22">
        <v>42149</v>
      </c>
      <c r="H1210" s="8">
        <v>46930</v>
      </c>
      <c r="I1210" s="7" t="str">
        <f t="shared" si="202"/>
        <v>raghvendra.singh@pr.sih.ba</v>
      </c>
      <c r="J1210" s="6" t="s">
        <v>1549</v>
      </c>
      <c r="K1210" s="6">
        <v>88</v>
      </c>
      <c r="L1210" s="7" t="str">
        <f t="shared" si="203"/>
        <v>pr.sih.ba</v>
      </c>
      <c r="M1210" s="7" t="str">
        <f t="shared" si="204"/>
        <v>S.Raghvendra</v>
      </c>
      <c r="N1210" s="6">
        <f t="shared" si="210"/>
        <v>6</v>
      </c>
      <c r="O1210" s="6">
        <f t="shared" si="209"/>
        <v>0</v>
      </c>
      <c r="P1210" s="6" t="str">
        <f t="shared" si="205"/>
        <v>N</v>
      </c>
      <c r="Q1210" s="6">
        <f t="shared" si="206"/>
        <v>15</v>
      </c>
      <c r="R1210" s="6" t="str">
        <f t="shared" si="207"/>
        <v>2015</v>
      </c>
      <c r="S1210" s="6" t="str">
        <f t="shared" si="208"/>
        <v>May</v>
      </c>
    </row>
    <row r="1211" spans="1:19" x14ac:dyDescent="0.25">
      <c r="A1211" s="6">
        <v>497</v>
      </c>
      <c r="B1211" s="6" t="str">
        <f t="shared" si="200"/>
        <v>NIKPRO00497</v>
      </c>
      <c r="C1211" s="7" t="s">
        <v>52</v>
      </c>
      <c r="D1211" s="7" t="s">
        <v>223</v>
      </c>
      <c r="E1211" s="7" t="str">
        <f t="shared" si="201"/>
        <v>LALIT PATIL</v>
      </c>
      <c r="F1211" s="7" t="s">
        <v>16</v>
      </c>
      <c r="G1211" s="22">
        <v>42604</v>
      </c>
      <c r="H1211" s="8">
        <v>101938</v>
      </c>
      <c r="I1211" s="7" t="str">
        <f t="shared" si="202"/>
        <v>lalit.patil@pr.pal.ba</v>
      </c>
      <c r="J1211" s="6" t="s">
        <v>1547</v>
      </c>
      <c r="K1211" s="6">
        <v>84</v>
      </c>
      <c r="L1211" s="7" t="str">
        <f t="shared" si="203"/>
        <v>pr.pal.ba</v>
      </c>
      <c r="M1211" s="7" t="str">
        <f t="shared" si="204"/>
        <v>P.Lalit</v>
      </c>
      <c r="N1211" s="6">
        <f t="shared" si="210"/>
        <v>0</v>
      </c>
      <c r="O1211" s="6">
        <f t="shared" si="209"/>
        <v>0</v>
      </c>
      <c r="P1211" s="6" t="str">
        <f t="shared" si="205"/>
        <v>N</v>
      </c>
      <c r="Q1211" s="6">
        <f t="shared" si="206"/>
        <v>10</v>
      </c>
      <c r="R1211" s="6" t="str">
        <f t="shared" si="207"/>
        <v>2016</v>
      </c>
      <c r="S1211" s="6" t="str">
        <f t="shared" si="208"/>
        <v>Aug</v>
      </c>
    </row>
    <row r="1212" spans="1:19" x14ac:dyDescent="0.25">
      <c r="A1212" s="6">
        <v>498</v>
      </c>
      <c r="B1212" s="6" t="str">
        <f t="shared" si="200"/>
        <v>NIKPRO00498</v>
      </c>
      <c r="C1212" s="7" t="s">
        <v>683</v>
      </c>
      <c r="D1212" s="7" t="s">
        <v>684</v>
      </c>
      <c r="E1212" s="7" t="str">
        <f t="shared" si="201"/>
        <v>PRATEEK SOMANI</v>
      </c>
      <c r="F1212" s="7" t="s">
        <v>16</v>
      </c>
      <c r="G1212" s="22">
        <v>42527</v>
      </c>
      <c r="H1212" s="8">
        <v>90605</v>
      </c>
      <c r="I1212" s="7" t="str">
        <f t="shared" si="202"/>
        <v>prateek.somani@pr.soi.ba</v>
      </c>
      <c r="J1212" s="6" t="s">
        <v>1551</v>
      </c>
      <c r="K1212" s="6">
        <v>71</v>
      </c>
      <c r="L1212" s="7" t="str">
        <f t="shared" si="203"/>
        <v>pr.soi.ba</v>
      </c>
      <c r="M1212" s="7" t="str">
        <f t="shared" si="204"/>
        <v>S.Prateek</v>
      </c>
      <c r="N1212" s="6">
        <f t="shared" si="210"/>
        <v>5</v>
      </c>
      <c r="O1212" s="6">
        <f t="shared" si="209"/>
        <v>0</v>
      </c>
      <c r="P1212" s="6" t="str">
        <f t="shared" si="205"/>
        <v>N</v>
      </c>
      <c r="Q1212" s="6">
        <f t="shared" si="206"/>
        <v>13</v>
      </c>
      <c r="R1212" s="6" t="str">
        <f t="shared" si="207"/>
        <v>2016</v>
      </c>
      <c r="S1212" s="6" t="str">
        <f t="shared" si="208"/>
        <v>Jun</v>
      </c>
    </row>
    <row r="1213" spans="1:19" x14ac:dyDescent="0.25">
      <c r="A1213" s="6">
        <v>505</v>
      </c>
      <c r="B1213" s="6" t="str">
        <f t="shared" si="200"/>
        <v>NIKPRO00505</v>
      </c>
      <c r="C1213" s="7" t="s">
        <v>689</v>
      </c>
      <c r="D1213" s="7" t="s">
        <v>55</v>
      </c>
      <c r="E1213" s="7" t="str">
        <f t="shared" si="201"/>
        <v>HARENDRA SHARMA</v>
      </c>
      <c r="F1213" s="7" t="s">
        <v>16</v>
      </c>
      <c r="G1213" s="22">
        <v>41834</v>
      </c>
      <c r="H1213" s="8">
        <v>41271</v>
      </c>
      <c r="I1213" s="7" t="str">
        <f t="shared" si="202"/>
        <v>harendra.sharma@pr.sha.ba</v>
      </c>
      <c r="J1213" s="6" t="s">
        <v>1547</v>
      </c>
      <c r="K1213" s="6">
        <v>81</v>
      </c>
      <c r="L1213" s="7" t="str">
        <f t="shared" si="203"/>
        <v>pr.sha.ba</v>
      </c>
      <c r="M1213" s="7" t="str">
        <f t="shared" si="204"/>
        <v>S.Harendra</v>
      </c>
      <c r="N1213" s="6">
        <f t="shared" si="210"/>
        <v>4</v>
      </c>
      <c r="O1213" s="6">
        <f t="shared" si="209"/>
        <v>0</v>
      </c>
      <c r="P1213" s="6" t="str">
        <f t="shared" si="205"/>
        <v>N</v>
      </c>
      <c r="Q1213" s="6">
        <f t="shared" si="206"/>
        <v>14</v>
      </c>
      <c r="R1213" s="6" t="str">
        <f t="shared" si="207"/>
        <v>2014</v>
      </c>
      <c r="S1213" s="6" t="str">
        <f t="shared" si="208"/>
        <v>Jul</v>
      </c>
    </row>
    <row r="1214" spans="1:19" x14ac:dyDescent="0.25">
      <c r="A1214" s="6">
        <v>515</v>
      </c>
      <c r="B1214" s="6" t="str">
        <f t="shared" si="200"/>
        <v>NIKPRO00515</v>
      </c>
      <c r="C1214" s="7" t="s">
        <v>699</v>
      </c>
      <c r="D1214" s="7" t="s">
        <v>68</v>
      </c>
      <c r="E1214" s="7" t="str">
        <f t="shared" si="201"/>
        <v>SANTOSH KUMAR</v>
      </c>
      <c r="F1214" s="7" t="s">
        <v>16</v>
      </c>
      <c r="G1214" s="22">
        <v>42844</v>
      </c>
      <c r="H1214" s="8">
        <v>92338</v>
      </c>
      <c r="I1214" s="7" t="str">
        <f t="shared" si="202"/>
        <v>santosh.kumar@pr.kur.ba</v>
      </c>
      <c r="J1214" s="6" t="s">
        <v>1537</v>
      </c>
      <c r="K1214" s="6">
        <v>44</v>
      </c>
      <c r="L1214" s="7" t="str">
        <f t="shared" si="203"/>
        <v>pr.kur.ba</v>
      </c>
      <c r="M1214" s="7" t="str">
        <f t="shared" si="204"/>
        <v>K.Santosh</v>
      </c>
      <c r="N1214" s="6">
        <f t="shared" si="210"/>
        <v>0</v>
      </c>
      <c r="O1214" s="6">
        <f t="shared" si="209"/>
        <v>0</v>
      </c>
      <c r="P1214" s="6" t="str">
        <f t="shared" si="205"/>
        <v>N</v>
      </c>
      <c r="Q1214" s="6">
        <f t="shared" si="206"/>
        <v>12</v>
      </c>
      <c r="R1214" s="6" t="str">
        <f t="shared" si="207"/>
        <v>2017</v>
      </c>
      <c r="S1214" s="6" t="str">
        <f t="shared" si="208"/>
        <v>Apr</v>
      </c>
    </row>
    <row r="1215" spans="1:19" x14ac:dyDescent="0.25">
      <c r="A1215" s="6">
        <v>521</v>
      </c>
      <c r="B1215" s="6" t="str">
        <f t="shared" si="200"/>
        <v>NIKPRO00521</v>
      </c>
      <c r="C1215" s="7" t="s">
        <v>60</v>
      </c>
      <c r="D1215" s="7" t="s">
        <v>55</v>
      </c>
      <c r="E1215" s="7" t="str">
        <f t="shared" si="201"/>
        <v>AJAY SHARMA</v>
      </c>
      <c r="F1215" s="7" t="s">
        <v>16</v>
      </c>
      <c r="G1215" s="22">
        <v>41414</v>
      </c>
      <c r="H1215" s="8">
        <v>82939</v>
      </c>
      <c r="I1215" s="7" t="str">
        <f t="shared" si="202"/>
        <v>ajay.sharma@pr.sha.ba</v>
      </c>
      <c r="J1215" s="6" t="s">
        <v>1547</v>
      </c>
      <c r="K1215" s="6">
        <v>86</v>
      </c>
      <c r="L1215" s="7" t="str">
        <f t="shared" si="203"/>
        <v>pr.sha.ba</v>
      </c>
      <c r="M1215" s="7" t="str">
        <f t="shared" si="204"/>
        <v>S.Ajay</v>
      </c>
      <c r="N1215" s="6">
        <f t="shared" si="210"/>
        <v>0</v>
      </c>
      <c r="O1215" s="6">
        <f t="shared" si="209"/>
        <v>0</v>
      </c>
      <c r="P1215" s="6" t="str">
        <f t="shared" si="205"/>
        <v>N</v>
      </c>
      <c r="Q1215" s="6">
        <f t="shared" si="206"/>
        <v>10</v>
      </c>
      <c r="R1215" s="6" t="str">
        <f t="shared" si="207"/>
        <v>2013</v>
      </c>
      <c r="S1215" s="6" t="str">
        <f t="shared" si="208"/>
        <v>May</v>
      </c>
    </row>
    <row r="1216" spans="1:19" x14ac:dyDescent="0.25">
      <c r="A1216" s="6">
        <v>529</v>
      </c>
      <c r="B1216" s="6" t="str">
        <f t="shared" si="200"/>
        <v>NIKPRO00529</v>
      </c>
      <c r="C1216" s="7" t="s">
        <v>715</v>
      </c>
      <c r="D1216" s="7" t="s">
        <v>189</v>
      </c>
      <c r="E1216" s="7" t="str">
        <f t="shared" si="201"/>
        <v>PEEYUSH GANDHI</v>
      </c>
      <c r="F1216" s="7" t="s">
        <v>16</v>
      </c>
      <c r="G1216" s="22">
        <v>42769</v>
      </c>
      <c r="H1216" s="8">
        <v>71155</v>
      </c>
      <c r="I1216" s="7" t="str">
        <f t="shared" si="202"/>
        <v>peeyush.gandhi@pr.gai.ba</v>
      </c>
      <c r="J1216" s="6" t="s">
        <v>1550</v>
      </c>
      <c r="K1216" s="6">
        <v>66</v>
      </c>
      <c r="L1216" s="7" t="str">
        <f t="shared" si="203"/>
        <v>pr.gai.ba</v>
      </c>
      <c r="M1216" s="7" t="str">
        <f t="shared" si="204"/>
        <v>G.Peeyush</v>
      </c>
      <c r="N1216" s="6">
        <f t="shared" si="210"/>
        <v>2</v>
      </c>
      <c r="O1216" s="6">
        <f t="shared" si="209"/>
        <v>0</v>
      </c>
      <c r="P1216" s="6" t="str">
        <f t="shared" si="205"/>
        <v>N</v>
      </c>
      <c r="Q1216" s="6">
        <f t="shared" si="206"/>
        <v>13</v>
      </c>
      <c r="R1216" s="6" t="str">
        <f t="shared" si="207"/>
        <v>2017</v>
      </c>
      <c r="S1216" s="6" t="str">
        <f t="shared" si="208"/>
        <v>Feb</v>
      </c>
    </row>
    <row r="1217" spans="1:19" x14ac:dyDescent="0.25">
      <c r="A1217" s="6">
        <v>540</v>
      </c>
      <c r="B1217" s="6" t="str">
        <f t="shared" si="200"/>
        <v>NIKPRO00540</v>
      </c>
      <c r="C1217" s="7" t="s">
        <v>722</v>
      </c>
      <c r="D1217" s="7" t="s">
        <v>723</v>
      </c>
      <c r="E1217" s="7" t="str">
        <f t="shared" si="201"/>
        <v>RITU JAIRATH</v>
      </c>
      <c r="F1217" s="7" t="s">
        <v>16</v>
      </c>
      <c r="G1217" s="22">
        <v>42240</v>
      </c>
      <c r="H1217" s="8">
        <v>40906</v>
      </c>
      <c r="I1217" s="7" t="str">
        <f t="shared" si="202"/>
        <v>ritu.jairath@pr.jah.ba</v>
      </c>
      <c r="J1217" s="6" t="s">
        <v>1538</v>
      </c>
      <c r="K1217" s="6">
        <v>82</v>
      </c>
      <c r="L1217" s="7" t="str">
        <f t="shared" si="203"/>
        <v>pr.jah.ba</v>
      </c>
      <c r="M1217" s="7" t="str">
        <f t="shared" si="204"/>
        <v>J.Ritu</v>
      </c>
      <c r="N1217" s="6">
        <f t="shared" si="210"/>
        <v>0</v>
      </c>
      <c r="O1217" s="6">
        <f t="shared" si="209"/>
        <v>0</v>
      </c>
      <c r="P1217" s="6" t="str">
        <f t="shared" si="205"/>
        <v>N</v>
      </c>
      <c r="Q1217" s="6">
        <f t="shared" si="206"/>
        <v>11</v>
      </c>
      <c r="R1217" s="6" t="str">
        <f t="shared" si="207"/>
        <v>2015</v>
      </c>
      <c r="S1217" s="6" t="str">
        <f t="shared" si="208"/>
        <v>Aug</v>
      </c>
    </row>
    <row r="1218" spans="1:19" x14ac:dyDescent="0.25">
      <c r="A1218" s="6">
        <v>548</v>
      </c>
      <c r="B1218" s="6" t="str">
        <f t="shared" ref="B1218:B1281" si="211">_xlfn.TEXTJOIN("",TRUE,"NIK",UPPER(LEFT(SUBSTITUTE(SUBSTITUTE(F1218," ",""),"&amp;",""),3)),TEXT(A1218,"00000"))</f>
        <v>NIKPRO00548</v>
      </c>
      <c r="C1218" s="7" t="s">
        <v>65</v>
      </c>
      <c r="D1218" s="7" t="s">
        <v>191</v>
      </c>
      <c r="E1218" s="7" t="str">
        <f t="shared" ref="E1218:E1281" si="212">_xlfn.TEXTJOIN(" ",TRUE,C1218,D1218)</f>
        <v>RAHUL ANIL</v>
      </c>
      <c r="F1218" s="7" t="s">
        <v>16</v>
      </c>
      <c r="G1218" s="22">
        <v>42506</v>
      </c>
      <c r="H1218" s="8">
        <v>83144</v>
      </c>
      <c r="I1218" s="7" t="str">
        <f t="shared" ref="I1218:I1281" si="213">LOWER(C1218&amp;"."&amp;D1218&amp;"@"&amp;LEFT(SUBSTITUTE(F1218," ",""),2))&amp;LOWER("."&amp;LEFT(D1218,2))&amp;LOWER(RIGHT(D1218,1))&amp;".ba"</f>
        <v>rahul.anil@pr.anl.ba</v>
      </c>
      <c r="J1218" s="6" t="s">
        <v>1545</v>
      </c>
      <c r="K1218" s="6">
        <v>67</v>
      </c>
      <c r="L1218" s="7" t="str">
        <f t="shared" ref="L1218:L1281" si="214">RIGHT(I1218,LEN(I1218)-FIND("@",I1218))</f>
        <v>pr.anl.ba</v>
      </c>
      <c r="M1218" s="7" t="str">
        <f t="shared" ref="M1218:M1281" si="215">UPPER(LEFT(D1218,1))&amp;"."&amp;PROPER(C1218)</f>
        <v>A.Rahul</v>
      </c>
      <c r="N1218" s="6">
        <f t="shared" si="210"/>
        <v>0</v>
      </c>
      <c r="O1218" s="6">
        <f t="shared" si="209"/>
        <v>0</v>
      </c>
      <c r="P1218" s="6" t="str">
        <f t="shared" ref="P1218:P1281" si="216">IF(AND(N1218&gt;=1,O1218&gt;=1),"Y","N")</f>
        <v>N</v>
      </c>
      <c r="Q1218" s="6">
        <f t="shared" ref="Q1218:Q1281" si="217">LEN(SUBSTITUTE(E1218, " ", ""))</f>
        <v>9</v>
      </c>
      <c r="R1218" s="6" t="str">
        <f t="shared" ref="R1218:R1281" si="218">TEXT(G1218,"YYYY")</f>
        <v>2016</v>
      </c>
      <c r="S1218" s="6" t="str">
        <f t="shared" ref="S1218:S1281" si="219">TEXT(G1218,"MMM")</f>
        <v>May</v>
      </c>
    </row>
    <row r="1219" spans="1:19" x14ac:dyDescent="0.25">
      <c r="A1219" s="6">
        <v>551</v>
      </c>
      <c r="B1219" s="6" t="str">
        <f t="shared" si="211"/>
        <v>NIKPRO00551</v>
      </c>
      <c r="C1219" s="7" t="s">
        <v>47</v>
      </c>
      <c r="D1219" s="7" t="s">
        <v>62</v>
      </c>
      <c r="E1219" s="7" t="str">
        <f t="shared" si="212"/>
        <v>PUNEET JAIN</v>
      </c>
      <c r="F1219" s="7" t="s">
        <v>16</v>
      </c>
      <c r="G1219" s="22">
        <v>41591</v>
      </c>
      <c r="H1219" s="8">
        <v>83077</v>
      </c>
      <c r="I1219" s="7" t="str">
        <f t="shared" si="213"/>
        <v>puneet.jain@pr.jan.ba</v>
      </c>
      <c r="J1219" s="6" t="s">
        <v>1538</v>
      </c>
      <c r="K1219" s="6">
        <v>87</v>
      </c>
      <c r="L1219" s="7" t="str">
        <f t="shared" si="214"/>
        <v>pr.jan.ba</v>
      </c>
      <c r="M1219" s="7" t="str">
        <f t="shared" si="215"/>
        <v>J.Puneet</v>
      </c>
      <c r="N1219" s="6">
        <f t="shared" si="210"/>
        <v>4</v>
      </c>
      <c r="O1219" s="6">
        <f t="shared" si="209"/>
        <v>0</v>
      </c>
      <c r="P1219" s="6" t="str">
        <f t="shared" si="216"/>
        <v>N</v>
      </c>
      <c r="Q1219" s="6">
        <f t="shared" si="217"/>
        <v>10</v>
      </c>
      <c r="R1219" s="6" t="str">
        <f t="shared" si="218"/>
        <v>2013</v>
      </c>
      <c r="S1219" s="6" t="str">
        <f t="shared" si="219"/>
        <v>Nov</v>
      </c>
    </row>
    <row r="1220" spans="1:19" x14ac:dyDescent="0.25">
      <c r="A1220" s="6">
        <v>552</v>
      </c>
      <c r="B1220" s="6" t="str">
        <f t="shared" si="211"/>
        <v>NIKPRO00552</v>
      </c>
      <c r="C1220" s="7" t="s">
        <v>209</v>
      </c>
      <c r="D1220" s="7" t="s">
        <v>732</v>
      </c>
      <c r="E1220" s="7" t="str">
        <f t="shared" si="212"/>
        <v>GAURAV PARMESHWARLAL</v>
      </c>
      <c r="F1220" s="7" t="s">
        <v>16</v>
      </c>
      <c r="G1220" s="22">
        <v>42210</v>
      </c>
      <c r="H1220" s="8">
        <v>98751</v>
      </c>
      <c r="I1220" s="7" t="str">
        <f t="shared" si="213"/>
        <v>gaurav.parmeshwarlal@pr.pal.ba</v>
      </c>
      <c r="J1220" s="6" t="s">
        <v>1539</v>
      </c>
      <c r="K1220" s="6">
        <v>45</v>
      </c>
      <c r="L1220" s="7" t="str">
        <f t="shared" si="214"/>
        <v>pr.pal.ba</v>
      </c>
      <c r="M1220" s="7" t="str">
        <f t="shared" si="215"/>
        <v>P.Gaurav</v>
      </c>
      <c r="N1220" s="6">
        <f t="shared" si="210"/>
        <v>0</v>
      </c>
      <c r="O1220" s="6">
        <f t="shared" si="209"/>
        <v>5</v>
      </c>
      <c r="P1220" s="6" t="str">
        <f t="shared" si="216"/>
        <v>N</v>
      </c>
      <c r="Q1220" s="6">
        <f t="shared" si="217"/>
        <v>19</v>
      </c>
      <c r="R1220" s="6" t="str">
        <f t="shared" si="218"/>
        <v>2015</v>
      </c>
      <c r="S1220" s="6" t="str">
        <f t="shared" si="219"/>
        <v>Jul</v>
      </c>
    </row>
    <row r="1221" spans="1:19" x14ac:dyDescent="0.25">
      <c r="A1221" s="6">
        <v>573</v>
      </c>
      <c r="B1221" s="6" t="str">
        <f t="shared" si="211"/>
        <v>NIKPRO00573</v>
      </c>
      <c r="C1221" s="7" t="s">
        <v>18</v>
      </c>
      <c r="D1221" s="7" t="s">
        <v>753</v>
      </c>
      <c r="E1221" s="7" t="str">
        <f t="shared" si="212"/>
        <v>MOHIT SHEWANI</v>
      </c>
      <c r="F1221" s="7" t="s">
        <v>16</v>
      </c>
      <c r="G1221" s="22">
        <v>42828</v>
      </c>
      <c r="H1221" s="8">
        <v>35775</v>
      </c>
      <c r="I1221" s="7" t="str">
        <f t="shared" si="213"/>
        <v>mohit.shewani@pr.shi.ba</v>
      </c>
      <c r="J1221" s="6" t="s">
        <v>1538</v>
      </c>
      <c r="K1221" s="6">
        <v>46</v>
      </c>
      <c r="L1221" s="7" t="str">
        <f t="shared" si="214"/>
        <v>pr.shi.ba</v>
      </c>
      <c r="M1221" s="7" t="str">
        <f t="shared" si="215"/>
        <v>S.Mohit</v>
      </c>
      <c r="N1221" s="6">
        <f t="shared" si="210"/>
        <v>0</v>
      </c>
      <c r="O1221" s="6">
        <f t="shared" si="209"/>
        <v>3</v>
      </c>
      <c r="P1221" s="6" t="str">
        <f t="shared" si="216"/>
        <v>N</v>
      </c>
      <c r="Q1221" s="6">
        <f t="shared" si="217"/>
        <v>12</v>
      </c>
      <c r="R1221" s="6" t="str">
        <f t="shared" si="218"/>
        <v>2017</v>
      </c>
      <c r="S1221" s="6" t="str">
        <f t="shared" si="219"/>
        <v>Apr</v>
      </c>
    </row>
    <row r="1222" spans="1:19" x14ac:dyDescent="0.25">
      <c r="A1222" s="6">
        <v>580</v>
      </c>
      <c r="B1222" s="6" t="str">
        <f t="shared" si="211"/>
        <v>NIKPRO00580</v>
      </c>
      <c r="C1222" s="7" t="s">
        <v>763</v>
      </c>
      <c r="D1222" s="7" t="s">
        <v>764</v>
      </c>
      <c r="E1222" s="7" t="str">
        <f t="shared" si="212"/>
        <v>RAMESHWARI B.S.</v>
      </c>
      <c r="F1222" s="7" t="s">
        <v>16</v>
      </c>
      <c r="G1222" s="22">
        <v>42667</v>
      </c>
      <c r="H1222" s="8">
        <v>61891</v>
      </c>
      <c r="I1222" s="7" t="str">
        <f t="shared" si="213"/>
        <v>rameshwari.b.s.@pr.b...ba</v>
      </c>
      <c r="J1222" s="6" t="s">
        <v>1535</v>
      </c>
      <c r="K1222" s="6">
        <v>66</v>
      </c>
      <c r="L1222" s="7" t="str">
        <f t="shared" si="214"/>
        <v>pr.b...ba</v>
      </c>
      <c r="M1222" s="7" t="str">
        <f t="shared" si="215"/>
        <v>B.Rameshwari</v>
      </c>
      <c r="N1222" s="6">
        <f t="shared" si="210"/>
        <v>4</v>
      </c>
      <c r="O1222" s="6">
        <f t="shared" si="209"/>
        <v>0</v>
      </c>
      <c r="P1222" s="6" t="str">
        <f t="shared" si="216"/>
        <v>N</v>
      </c>
      <c r="Q1222" s="6">
        <f t="shared" si="217"/>
        <v>14</v>
      </c>
      <c r="R1222" s="6" t="str">
        <f t="shared" si="218"/>
        <v>2016</v>
      </c>
      <c r="S1222" s="6" t="str">
        <f t="shared" si="219"/>
        <v>Oct</v>
      </c>
    </row>
    <row r="1223" spans="1:19" x14ac:dyDescent="0.25">
      <c r="A1223" s="6">
        <v>586</v>
      </c>
      <c r="B1223" s="6" t="str">
        <f t="shared" si="211"/>
        <v>NIKPRO00586</v>
      </c>
      <c r="C1223" s="7" t="s">
        <v>769</v>
      </c>
      <c r="D1223" s="7" t="s">
        <v>231</v>
      </c>
      <c r="E1223" s="7" t="str">
        <f t="shared" si="212"/>
        <v>ANIT PANDYA</v>
      </c>
      <c r="F1223" s="7" t="s">
        <v>16</v>
      </c>
      <c r="G1223" s="22">
        <v>42625</v>
      </c>
      <c r="H1223" s="8">
        <v>97442</v>
      </c>
      <c r="I1223" s="7" t="str">
        <f t="shared" si="213"/>
        <v>anit.pandya@pr.paa.ba</v>
      </c>
      <c r="J1223" s="6" t="s">
        <v>1539</v>
      </c>
      <c r="K1223" s="6">
        <v>73</v>
      </c>
      <c r="L1223" s="7" t="str">
        <f t="shared" si="214"/>
        <v>pr.paa.ba</v>
      </c>
      <c r="M1223" s="7" t="str">
        <f t="shared" si="215"/>
        <v>P.Anit</v>
      </c>
      <c r="N1223" s="6">
        <f t="shared" si="210"/>
        <v>0</v>
      </c>
      <c r="O1223" s="6">
        <f t="shared" si="209"/>
        <v>0</v>
      </c>
      <c r="P1223" s="6" t="str">
        <f t="shared" si="216"/>
        <v>N</v>
      </c>
      <c r="Q1223" s="6">
        <f t="shared" si="217"/>
        <v>10</v>
      </c>
      <c r="R1223" s="6" t="str">
        <f t="shared" si="218"/>
        <v>2016</v>
      </c>
      <c r="S1223" s="6" t="str">
        <f t="shared" si="219"/>
        <v>Sep</v>
      </c>
    </row>
    <row r="1224" spans="1:19" x14ac:dyDescent="0.25">
      <c r="A1224" s="6">
        <v>590</v>
      </c>
      <c r="B1224" s="6" t="str">
        <f t="shared" si="211"/>
        <v>NIKPRO00590</v>
      </c>
      <c r="C1224" s="7" t="s">
        <v>27</v>
      </c>
      <c r="D1224" s="7" t="s">
        <v>594</v>
      </c>
      <c r="E1224" s="7" t="str">
        <f t="shared" si="212"/>
        <v>GUNJAN KOTWANI</v>
      </c>
      <c r="F1224" s="7" t="s">
        <v>16</v>
      </c>
      <c r="G1224" s="22">
        <v>42604</v>
      </c>
      <c r="H1224" s="8">
        <v>46818</v>
      </c>
      <c r="I1224" s="7" t="str">
        <f t="shared" si="213"/>
        <v>gunjan.kotwani@pr.koi.ba</v>
      </c>
      <c r="J1224" s="6" t="s">
        <v>1532</v>
      </c>
      <c r="K1224" s="6">
        <v>57</v>
      </c>
      <c r="L1224" s="7" t="str">
        <f t="shared" si="214"/>
        <v>pr.koi.ba</v>
      </c>
      <c r="M1224" s="7" t="str">
        <f t="shared" si="215"/>
        <v>K.Gunjan</v>
      </c>
      <c r="N1224" s="6">
        <f t="shared" si="210"/>
        <v>0</v>
      </c>
      <c r="O1224" s="6">
        <f t="shared" si="209"/>
        <v>0</v>
      </c>
      <c r="P1224" s="6" t="str">
        <f t="shared" si="216"/>
        <v>N</v>
      </c>
      <c r="Q1224" s="6">
        <f t="shared" si="217"/>
        <v>13</v>
      </c>
      <c r="R1224" s="6" t="str">
        <f t="shared" si="218"/>
        <v>2016</v>
      </c>
      <c r="S1224" s="6" t="str">
        <f t="shared" si="219"/>
        <v>Aug</v>
      </c>
    </row>
    <row r="1225" spans="1:19" x14ac:dyDescent="0.25">
      <c r="A1225" s="6">
        <v>595</v>
      </c>
      <c r="B1225" s="6" t="str">
        <f t="shared" si="211"/>
        <v>NIKPRO00595</v>
      </c>
      <c r="C1225" s="7" t="s">
        <v>537</v>
      </c>
      <c r="D1225" s="7" t="s">
        <v>243</v>
      </c>
      <c r="E1225" s="7" t="str">
        <f t="shared" si="212"/>
        <v>ANKITA AGARWAL</v>
      </c>
      <c r="F1225" s="7" t="s">
        <v>16</v>
      </c>
      <c r="G1225" s="22">
        <v>42767</v>
      </c>
      <c r="H1225" s="8">
        <v>51729</v>
      </c>
      <c r="I1225" s="7" t="str">
        <f t="shared" si="213"/>
        <v>ankita.agarwal@pr.agl.ba</v>
      </c>
      <c r="J1225" s="6" t="s">
        <v>1545</v>
      </c>
      <c r="K1225" s="6">
        <v>61</v>
      </c>
      <c r="L1225" s="7" t="str">
        <f t="shared" si="214"/>
        <v>pr.agl.ba</v>
      </c>
      <c r="M1225" s="7" t="str">
        <f t="shared" si="215"/>
        <v>A.Ankita</v>
      </c>
      <c r="N1225" s="6">
        <f t="shared" si="210"/>
        <v>0</v>
      </c>
      <c r="O1225" s="6">
        <f t="shared" si="209"/>
        <v>0</v>
      </c>
      <c r="P1225" s="6" t="str">
        <f t="shared" si="216"/>
        <v>N</v>
      </c>
      <c r="Q1225" s="6">
        <f t="shared" si="217"/>
        <v>13</v>
      </c>
      <c r="R1225" s="6" t="str">
        <f t="shared" si="218"/>
        <v>2017</v>
      </c>
      <c r="S1225" s="6" t="str">
        <f t="shared" si="219"/>
        <v>Feb</v>
      </c>
    </row>
    <row r="1226" spans="1:19" x14ac:dyDescent="0.25">
      <c r="A1226" s="6">
        <v>629</v>
      </c>
      <c r="B1226" s="6" t="str">
        <f t="shared" si="211"/>
        <v>NIKPRO00629</v>
      </c>
      <c r="C1226" s="7" t="s">
        <v>809</v>
      </c>
      <c r="D1226" s="7" t="s">
        <v>810</v>
      </c>
      <c r="E1226" s="7" t="str">
        <f t="shared" si="212"/>
        <v>NEELAM MULMULEY</v>
      </c>
      <c r="F1226" s="7" t="s">
        <v>16</v>
      </c>
      <c r="G1226" s="22">
        <v>42383</v>
      </c>
      <c r="H1226" s="8">
        <v>25332</v>
      </c>
      <c r="I1226" s="7" t="str">
        <f t="shared" si="213"/>
        <v>neelam.mulmuley@pr.muy.ba</v>
      </c>
      <c r="J1226" s="6" t="s">
        <v>1537</v>
      </c>
      <c r="K1226" s="6">
        <v>88</v>
      </c>
      <c r="L1226" s="7" t="str">
        <f t="shared" si="214"/>
        <v>pr.muy.ba</v>
      </c>
      <c r="M1226" s="7" t="str">
        <f t="shared" si="215"/>
        <v>M.Neelam</v>
      </c>
      <c r="N1226" s="6">
        <f t="shared" si="210"/>
        <v>2</v>
      </c>
      <c r="O1226" s="6">
        <f t="shared" si="209"/>
        <v>7</v>
      </c>
      <c r="P1226" s="6" t="str">
        <f t="shared" si="216"/>
        <v>Y</v>
      </c>
      <c r="Q1226" s="6">
        <f t="shared" si="217"/>
        <v>14</v>
      </c>
      <c r="R1226" s="6" t="str">
        <f t="shared" si="218"/>
        <v>2016</v>
      </c>
      <c r="S1226" s="6" t="str">
        <f t="shared" si="219"/>
        <v>Jan</v>
      </c>
    </row>
    <row r="1227" spans="1:19" x14ac:dyDescent="0.25">
      <c r="A1227" s="6">
        <v>635</v>
      </c>
      <c r="B1227" s="6" t="str">
        <f t="shared" si="211"/>
        <v>NIKPRO00635</v>
      </c>
      <c r="C1227" s="7" t="s">
        <v>327</v>
      </c>
      <c r="D1227" s="7" t="s">
        <v>816</v>
      </c>
      <c r="E1227" s="7" t="str">
        <f t="shared" si="212"/>
        <v>PAYAL D.</v>
      </c>
      <c r="F1227" s="7" t="s">
        <v>16</v>
      </c>
      <c r="G1227" s="22">
        <v>39861</v>
      </c>
      <c r="H1227" s="8">
        <v>43303</v>
      </c>
      <c r="I1227" s="7" t="str">
        <f t="shared" si="213"/>
        <v>payal.d.@pr.d...ba</v>
      </c>
      <c r="J1227" s="6" t="s">
        <v>1533</v>
      </c>
      <c r="K1227" s="6">
        <v>55</v>
      </c>
      <c r="L1227" s="7" t="str">
        <f t="shared" si="214"/>
        <v>pr.d...ba</v>
      </c>
      <c r="M1227" s="7" t="str">
        <f t="shared" si="215"/>
        <v>D.Payal</v>
      </c>
      <c r="N1227" s="6">
        <f t="shared" si="210"/>
        <v>0</v>
      </c>
      <c r="O1227" s="6">
        <f t="shared" si="209"/>
        <v>0</v>
      </c>
      <c r="P1227" s="6" t="str">
        <f t="shared" si="216"/>
        <v>N</v>
      </c>
      <c r="Q1227" s="6">
        <f t="shared" si="217"/>
        <v>7</v>
      </c>
      <c r="R1227" s="6" t="str">
        <f t="shared" si="218"/>
        <v>2009</v>
      </c>
      <c r="S1227" s="6" t="str">
        <f t="shared" si="219"/>
        <v>Feb</v>
      </c>
    </row>
    <row r="1228" spans="1:19" x14ac:dyDescent="0.25">
      <c r="A1228" s="6">
        <v>639</v>
      </c>
      <c r="B1228" s="6" t="str">
        <f t="shared" si="211"/>
        <v>NIKPRO00639</v>
      </c>
      <c r="C1228" s="7" t="s">
        <v>822</v>
      </c>
      <c r="D1228" s="7" t="s">
        <v>55</v>
      </c>
      <c r="E1228" s="7" t="str">
        <f t="shared" si="212"/>
        <v>SAROJ SHARMA</v>
      </c>
      <c r="F1228" s="7" t="s">
        <v>16</v>
      </c>
      <c r="G1228" s="22">
        <v>41913</v>
      </c>
      <c r="H1228" s="8">
        <v>106248</v>
      </c>
      <c r="I1228" s="7" t="str">
        <f t="shared" si="213"/>
        <v>saroj.sharma@pr.sha.ba</v>
      </c>
      <c r="J1228" s="6" t="s">
        <v>1543</v>
      </c>
      <c r="K1228" s="6">
        <v>68</v>
      </c>
      <c r="L1228" s="7" t="str">
        <f t="shared" si="214"/>
        <v>pr.sha.ba</v>
      </c>
      <c r="M1228" s="7" t="str">
        <f t="shared" si="215"/>
        <v>S.Saroj</v>
      </c>
      <c r="N1228" s="6">
        <f t="shared" si="210"/>
        <v>0</v>
      </c>
      <c r="O1228" s="6">
        <f t="shared" si="209"/>
        <v>0</v>
      </c>
      <c r="P1228" s="6" t="str">
        <f t="shared" si="216"/>
        <v>N</v>
      </c>
      <c r="Q1228" s="6">
        <f t="shared" si="217"/>
        <v>11</v>
      </c>
      <c r="R1228" s="6" t="str">
        <f t="shared" si="218"/>
        <v>2014</v>
      </c>
      <c r="S1228" s="6" t="str">
        <f t="shared" si="219"/>
        <v>Oct</v>
      </c>
    </row>
    <row r="1229" spans="1:19" x14ac:dyDescent="0.25">
      <c r="A1229" s="6">
        <v>648</v>
      </c>
      <c r="B1229" s="6" t="str">
        <f t="shared" si="211"/>
        <v>NIKPRO00648</v>
      </c>
      <c r="C1229" s="7" t="s">
        <v>826</v>
      </c>
      <c r="D1229" s="7" t="s">
        <v>122</v>
      </c>
      <c r="E1229" s="7" t="str">
        <f t="shared" si="212"/>
        <v>MUKUL SHRIVASTAVA</v>
      </c>
      <c r="F1229" s="7" t="s">
        <v>16</v>
      </c>
      <c r="G1229" s="22">
        <v>42551</v>
      </c>
      <c r="H1229" s="8">
        <v>63967</v>
      </c>
      <c r="I1229" s="7" t="str">
        <f t="shared" si="213"/>
        <v>mukul.shrivastava@pr.sha.ba</v>
      </c>
      <c r="J1229" s="6" t="s">
        <v>1532</v>
      </c>
      <c r="K1229" s="6">
        <v>82</v>
      </c>
      <c r="L1229" s="7" t="str">
        <f t="shared" si="214"/>
        <v>pr.sha.ba</v>
      </c>
      <c r="M1229" s="7" t="str">
        <f t="shared" si="215"/>
        <v>S.Mukul</v>
      </c>
      <c r="N1229" s="6">
        <f t="shared" si="210"/>
        <v>0</v>
      </c>
      <c r="O1229" s="6">
        <f t="shared" si="209"/>
        <v>0</v>
      </c>
      <c r="P1229" s="6" t="str">
        <f t="shared" si="216"/>
        <v>N</v>
      </c>
      <c r="Q1229" s="6">
        <f t="shared" si="217"/>
        <v>16</v>
      </c>
      <c r="R1229" s="6" t="str">
        <f t="shared" si="218"/>
        <v>2016</v>
      </c>
      <c r="S1229" s="6" t="str">
        <f t="shared" si="219"/>
        <v>Jun</v>
      </c>
    </row>
    <row r="1230" spans="1:19" x14ac:dyDescent="0.25">
      <c r="A1230" s="6">
        <v>652</v>
      </c>
      <c r="B1230" s="6" t="str">
        <f t="shared" si="211"/>
        <v>NIKPRO00652</v>
      </c>
      <c r="C1230" s="7" t="s">
        <v>831</v>
      </c>
      <c r="D1230" s="7" t="s">
        <v>316</v>
      </c>
      <c r="E1230" s="7" t="str">
        <f t="shared" si="212"/>
        <v>PRAMAY MILIND</v>
      </c>
      <c r="F1230" s="7" t="s">
        <v>16</v>
      </c>
      <c r="G1230" s="22">
        <v>43118</v>
      </c>
      <c r="H1230" s="8">
        <v>65530</v>
      </c>
      <c r="I1230" s="7" t="str">
        <f t="shared" si="213"/>
        <v>pramay.milind@pr.mid.ba</v>
      </c>
      <c r="J1230" s="6" t="s">
        <v>1537</v>
      </c>
      <c r="K1230" s="6">
        <v>89</v>
      </c>
      <c r="L1230" s="7" t="str">
        <f t="shared" si="214"/>
        <v>pr.mid.ba</v>
      </c>
      <c r="M1230" s="7" t="str">
        <f t="shared" si="215"/>
        <v>M.Pramay</v>
      </c>
      <c r="N1230" s="6">
        <f t="shared" si="210"/>
        <v>0</v>
      </c>
      <c r="O1230" s="6">
        <f t="shared" si="209"/>
        <v>0</v>
      </c>
      <c r="P1230" s="6" t="str">
        <f t="shared" si="216"/>
        <v>N</v>
      </c>
      <c r="Q1230" s="6">
        <f t="shared" si="217"/>
        <v>12</v>
      </c>
      <c r="R1230" s="6" t="str">
        <f t="shared" si="218"/>
        <v>2018</v>
      </c>
      <c r="S1230" s="6" t="str">
        <f t="shared" si="219"/>
        <v>Jan</v>
      </c>
    </row>
    <row r="1231" spans="1:19" x14ac:dyDescent="0.25">
      <c r="A1231" s="6">
        <v>660</v>
      </c>
      <c r="B1231" s="6" t="str">
        <f t="shared" si="211"/>
        <v>NIKPRO00660</v>
      </c>
      <c r="C1231" s="7" t="s">
        <v>327</v>
      </c>
      <c r="D1231" s="7" t="s">
        <v>296</v>
      </c>
      <c r="E1231" s="7" t="str">
        <f t="shared" si="212"/>
        <v>PAYAL DEEPAK</v>
      </c>
      <c r="F1231" s="7" t="s">
        <v>16</v>
      </c>
      <c r="G1231" s="22">
        <v>42979</v>
      </c>
      <c r="H1231" s="8">
        <v>37078</v>
      </c>
      <c r="I1231" s="7" t="str">
        <f t="shared" si="213"/>
        <v>payal.deepak@pr.dek.ba</v>
      </c>
      <c r="J1231" s="6" t="s">
        <v>1540</v>
      </c>
      <c r="K1231" s="6">
        <v>75</v>
      </c>
      <c r="L1231" s="7" t="str">
        <f t="shared" si="214"/>
        <v>pr.dek.ba</v>
      </c>
      <c r="M1231" s="7" t="str">
        <f t="shared" si="215"/>
        <v>D.Payal</v>
      </c>
      <c r="N1231" s="6">
        <f t="shared" si="210"/>
        <v>0</v>
      </c>
      <c r="O1231" s="6">
        <f t="shared" si="209"/>
        <v>2</v>
      </c>
      <c r="P1231" s="6" t="str">
        <f t="shared" si="216"/>
        <v>N</v>
      </c>
      <c r="Q1231" s="6">
        <f t="shared" si="217"/>
        <v>11</v>
      </c>
      <c r="R1231" s="6" t="str">
        <f t="shared" si="218"/>
        <v>2017</v>
      </c>
      <c r="S1231" s="6" t="str">
        <f t="shared" si="219"/>
        <v>Sep</v>
      </c>
    </row>
    <row r="1232" spans="1:19" x14ac:dyDescent="0.25">
      <c r="A1232" s="6">
        <v>663</v>
      </c>
      <c r="B1232" s="6" t="str">
        <f t="shared" si="211"/>
        <v>NIKPRO00663</v>
      </c>
      <c r="C1232" s="7" t="s">
        <v>842</v>
      </c>
      <c r="D1232" s="7" t="s">
        <v>243</v>
      </c>
      <c r="E1232" s="7" t="str">
        <f t="shared" si="212"/>
        <v>HIMANSHI AGARWAL</v>
      </c>
      <c r="F1232" s="7" t="s">
        <v>16</v>
      </c>
      <c r="G1232" s="22">
        <v>42614</v>
      </c>
      <c r="H1232" s="8">
        <v>97766</v>
      </c>
      <c r="I1232" s="7" t="str">
        <f t="shared" si="213"/>
        <v>himanshi.agarwal@pr.agl.ba</v>
      </c>
      <c r="J1232" s="6" t="s">
        <v>1539</v>
      </c>
      <c r="K1232" s="6">
        <v>87</v>
      </c>
      <c r="L1232" s="7" t="str">
        <f t="shared" si="214"/>
        <v>pr.agl.ba</v>
      </c>
      <c r="M1232" s="7" t="str">
        <f t="shared" si="215"/>
        <v>A.Himanshi</v>
      </c>
      <c r="N1232" s="6">
        <f t="shared" si="210"/>
        <v>0</v>
      </c>
      <c r="O1232" s="6">
        <f t="shared" si="209"/>
        <v>0</v>
      </c>
      <c r="P1232" s="6" t="str">
        <f t="shared" si="216"/>
        <v>N</v>
      </c>
      <c r="Q1232" s="6">
        <f t="shared" si="217"/>
        <v>15</v>
      </c>
      <c r="R1232" s="6" t="str">
        <f t="shared" si="218"/>
        <v>2016</v>
      </c>
      <c r="S1232" s="6" t="str">
        <f t="shared" si="219"/>
        <v>Sep</v>
      </c>
    </row>
    <row r="1233" spans="1:19" x14ac:dyDescent="0.25">
      <c r="A1233" s="6">
        <v>669</v>
      </c>
      <c r="B1233" s="6" t="str">
        <f t="shared" si="211"/>
        <v>NIKPRO00669</v>
      </c>
      <c r="C1233" s="7" t="s">
        <v>121</v>
      </c>
      <c r="D1233" s="7" t="s">
        <v>849</v>
      </c>
      <c r="E1233" s="7" t="str">
        <f t="shared" si="212"/>
        <v>RICHA VAID</v>
      </c>
      <c r="F1233" s="7" t="s">
        <v>16</v>
      </c>
      <c r="G1233" s="22">
        <v>42835</v>
      </c>
      <c r="H1233" s="8">
        <v>48148</v>
      </c>
      <c r="I1233" s="7" t="str">
        <f t="shared" si="213"/>
        <v>richa.vaid@pr.vad.ba</v>
      </c>
      <c r="J1233" s="6" t="s">
        <v>1544</v>
      </c>
      <c r="K1233" s="6">
        <v>36</v>
      </c>
      <c r="L1233" s="7" t="str">
        <f t="shared" si="214"/>
        <v>pr.vad.ba</v>
      </c>
      <c r="M1233" s="7" t="str">
        <f t="shared" si="215"/>
        <v>V.Richa</v>
      </c>
      <c r="N1233" s="6">
        <f t="shared" si="210"/>
        <v>0</v>
      </c>
      <c r="O1233" s="6">
        <f t="shared" si="209"/>
        <v>0</v>
      </c>
      <c r="P1233" s="6" t="str">
        <f t="shared" si="216"/>
        <v>N</v>
      </c>
      <c r="Q1233" s="6">
        <f t="shared" si="217"/>
        <v>9</v>
      </c>
      <c r="R1233" s="6" t="str">
        <f t="shared" si="218"/>
        <v>2017</v>
      </c>
      <c r="S1233" s="6" t="str">
        <f t="shared" si="219"/>
        <v>Apr</v>
      </c>
    </row>
    <row r="1234" spans="1:19" x14ac:dyDescent="0.25">
      <c r="A1234" s="6">
        <v>695</v>
      </c>
      <c r="B1234" s="6" t="str">
        <f t="shared" si="211"/>
        <v>NIKPRO00695</v>
      </c>
      <c r="C1234" s="7" t="s">
        <v>871</v>
      </c>
      <c r="D1234" s="7" t="s">
        <v>79</v>
      </c>
      <c r="E1234" s="7" t="str">
        <f t="shared" si="212"/>
        <v>KHUSHBU TYAGI</v>
      </c>
      <c r="F1234" s="7" t="s">
        <v>16</v>
      </c>
      <c r="G1234" s="22">
        <v>42418</v>
      </c>
      <c r="H1234" s="8">
        <v>47682</v>
      </c>
      <c r="I1234" s="7" t="str">
        <f t="shared" si="213"/>
        <v>khushbu.tyagi@pr.tyi.ba</v>
      </c>
      <c r="J1234" s="6" t="s">
        <v>1542</v>
      </c>
      <c r="K1234" s="6">
        <v>78</v>
      </c>
      <c r="L1234" s="7" t="str">
        <f t="shared" si="214"/>
        <v>pr.tyi.ba</v>
      </c>
      <c r="M1234" s="7" t="str">
        <f t="shared" si="215"/>
        <v>T.Khushbu</v>
      </c>
      <c r="N1234" s="6">
        <f t="shared" si="210"/>
        <v>0</v>
      </c>
      <c r="O1234" s="6">
        <f t="shared" si="209"/>
        <v>0</v>
      </c>
      <c r="P1234" s="6" t="str">
        <f t="shared" si="216"/>
        <v>N</v>
      </c>
      <c r="Q1234" s="6">
        <f t="shared" si="217"/>
        <v>12</v>
      </c>
      <c r="R1234" s="6" t="str">
        <f t="shared" si="218"/>
        <v>2016</v>
      </c>
      <c r="S1234" s="6" t="str">
        <f t="shared" si="219"/>
        <v>Feb</v>
      </c>
    </row>
    <row r="1235" spans="1:19" x14ac:dyDescent="0.25">
      <c r="A1235" s="6">
        <v>705</v>
      </c>
      <c r="B1235" s="6" t="str">
        <f t="shared" si="211"/>
        <v>NIKPRO00705</v>
      </c>
      <c r="C1235" s="7" t="s">
        <v>881</v>
      </c>
      <c r="D1235" s="7" t="s">
        <v>629</v>
      </c>
      <c r="E1235" s="7" t="str">
        <f t="shared" si="212"/>
        <v>SHREYA DIWEDI</v>
      </c>
      <c r="F1235" s="7" t="s">
        <v>16</v>
      </c>
      <c r="G1235" s="22">
        <v>41918</v>
      </c>
      <c r="H1235" s="8">
        <v>96107</v>
      </c>
      <c r="I1235" s="7" t="str">
        <f t="shared" si="213"/>
        <v>shreya.diwedi@pr.dii.ba</v>
      </c>
      <c r="J1235" s="6" t="s">
        <v>1551</v>
      </c>
      <c r="K1235" s="6">
        <v>47</v>
      </c>
      <c r="L1235" s="7" t="str">
        <f t="shared" si="214"/>
        <v>pr.dii.ba</v>
      </c>
      <c r="M1235" s="7" t="str">
        <f t="shared" si="215"/>
        <v>D.Shreya</v>
      </c>
      <c r="N1235" s="6">
        <f t="shared" si="210"/>
        <v>4</v>
      </c>
      <c r="O1235" s="6">
        <f t="shared" si="209"/>
        <v>4</v>
      </c>
      <c r="P1235" s="6" t="str">
        <f t="shared" si="216"/>
        <v>Y</v>
      </c>
      <c r="Q1235" s="6">
        <f t="shared" si="217"/>
        <v>12</v>
      </c>
      <c r="R1235" s="6" t="str">
        <f t="shared" si="218"/>
        <v>2014</v>
      </c>
      <c r="S1235" s="6" t="str">
        <f t="shared" si="219"/>
        <v>Oct</v>
      </c>
    </row>
    <row r="1236" spans="1:19" x14ac:dyDescent="0.25">
      <c r="A1236" s="6">
        <v>712</v>
      </c>
      <c r="B1236" s="6" t="str">
        <f t="shared" si="211"/>
        <v>NIKPRO00712</v>
      </c>
      <c r="C1236" s="7" t="s">
        <v>23</v>
      </c>
      <c r="D1236" s="7" t="s">
        <v>890</v>
      </c>
      <c r="E1236" s="7" t="str">
        <f t="shared" si="212"/>
        <v>ROHIT VIJAYKUMAR</v>
      </c>
      <c r="F1236" s="7" t="s">
        <v>16</v>
      </c>
      <c r="G1236" s="22">
        <v>42590</v>
      </c>
      <c r="H1236" s="8">
        <v>107427</v>
      </c>
      <c r="I1236" s="7" t="str">
        <f t="shared" si="213"/>
        <v>rohit.vijaykumar@pr.vir.ba</v>
      </c>
      <c r="J1236" s="6" t="s">
        <v>1549</v>
      </c>
      <c r="K1236" s="6">
        <v>64</v>
      </c>
      <c r="L1236" s="7" t="str">
        <f t="shared" si="214"/>
        <v>pr.vir.ba</v>
      </c>
      <c r="M1236" s="7" t="str">
        <f t="shared" si="215"/>
        <v>V.Rohit</v>
      </c>
      <c r="N1236" s="6">
        <f t="shared" si="210"/>
        <v>0</v>
      </c>
      <c r="O1236" s="6">
        <f t="shared" si="209"/>
        <v>0</v>
      </c>
      <c r="P1236" s="6" t="str">
        <f t="shared" si="216"/>
        <v>N</v>
      </c>
      <c r="Q1236" s="6">
        <f t="shared" si="217"/>
        <v>15</v>
      </c>
      <c r="R1236" s="6" t="str">
        <f t="shared" si="218"/>
        <v>2016</v>
      </c>
      <c r="S1236" s="6" t="str">
        <f t="shared" si="219"/>
        <v>Aug</v>
      </c>
    </row>
    <row r="1237" spans="1:19" x14ac:dyDescent="0.25">
      <c r="A1237" s="6">
        <v>713</v>
      </c>
      <c r="B1237" s="6" t="str">
        <f t="shared" si="211"/>
        <v>NIKPRO00713</v>
      </c>
      <c r="C1237" s="7" t="s">
        <v>24</v>
      </c>
      <c r="D1237" s="7"/>
      <c r="E1237" s="7" t="str">
        <f t="shared" si="212"/>
        <v>RAVI</v>
      </c>
      <c r="F1237" s="7" t="s">
        <v>16</v>
      </c>
      <c r="G1237" s="22">
        <v>42718</v>
      </c>
      <c r="H1237" s="8">
        <v>31332</v>
      </c>
      <c r="I1237" s="7" t="str">
        <f t="shared" si="213"/>
        <v>ravi.@pr..ba</v>
      </c>
      <c r="J1237" s="6" t="s">
        <v>1534</v>
      </c>
      <c r="K1237" s="6">
        <v>37</v>
      </c>
      <c r="L1237" s="7" t="str">
        <f t="shared" si="214"/>
        <v>pr..ba</v>
      </c>
      <c r="M1237" s="7" t="str">
        <f t="shared" si="215"/>
        <v>.Ravi</v>
      </c>
      <c r="N1237" s="6">
        <f t="shared" si="210"/>
        <v>0</v>
      </c>
      <c r="O1237" s="6">
        <f t="shared" si="209"/>
        <v>0</v>
      </c>
      <c r="P1237" s="6" t="str">
        <f t="shared" si="216"/>
        <v>N</v>
      </c>
      <c r="Q1237" s="6">
        <f t="shared" si="217"/>
        <v>4</v>
      </c>
      <c r="R1237" s="6" t="str">
        <f t="shared" si="218"/>
        <v>2016</v>
      </c>
      <c r="S1237" s="6" t="str">
        <f t="shared" si="219"/>
        <v>Dec</v>
      </c>
    </row>
    <row r="1238" spans="1:19" x14ac:dyDescent="0.25">
      <c r="A1238" s="6">
        <v>714</v>
      </c>
      <c r="B1238" s="6" t="str">
        <f t="shared" si="211"/>
        <v>NIKPRO00714</v>
      </c>
      <c r="C1238" s="7" t="s">
        <v>891</v>
      </c>
      <c r="D1238" s="7" t="s">
        <v>819</v>
      </c>
      <c r="E1238" s="7" t="str">
        <f t="shared" si="212"/>
        <v>POORNIMA ARVIND</v>
      </c>
      <c r="F1238" s="7" t="s">
        <v>16</v>
      </c>
      <c r="G1238" s="22">
        <v>43174</v>
      </c>
      <c r="H1238" s="8">
        <v>35046</v>
      </c>
      <c r="I1238" s="7" t="str">
        <f t="shared" si="213"/>
        <v>poornima.arvind@pr.ard.ba</v>
      </c>
      <c r="J1238" s="6" t="s">
        <v>1548</v>
      </c>
      <c r="K1238" s="6">
        <v>84</v>
      </c>
      <c r="L1238" s="7" t="str">
        <f t="shared" si="214"/>
        <v>pr.ard.ba</v>
      </c>
      <c r="M1238" s="7" t="str">
        <f t="shared" si="215"/>
        <v>A.Poornima</v>
      </c>
      <c r="N1238" s="6">
        <f t="shared" si="210"/>
        <v>0</v>
      </c>
      <c r="O1238" s="6">
        <f t="shared" si="209"/>
        <v>0</v>
      </c>
      <c r="P1238" s="6" t="str">
        <f t="shared" si="216"/>
        <v>N</v>
      </c>
      <c r="Q1238" s="6">
        <f t="shared" si="217"/>
        <v>14</v>
      </c>
      <c r="R1238" s="6" t="str">
        <f t="shared" si="218"/>
        <v>2018</v>
      </c>
      <c r="S1238" s="6" t="str">
        <f t="shared" si="219"/>
        <v>Mar</v>
      </c>
    </row>
    <row r="1239" spans="1:19" x14ac:dyDescent="0.25">
      <c r="A1239" s="6">
        <v>717</v>
      </c>
      <c r="B1239" s="6" t="str">
        <f t="shared" si="211"/>
        <v>NIKPRO00717</v>
      </c>
      <c r="C1239" s="7" t="s">
        <v>213</v>
      </c>
      <c r="D1239" s="7" t="s">
        <v>894</v>
      </c>
      <c r="E1239" s="7" t="str">
        <f t="shared" si="212"/>
        <v>AMOL RAGHUNATH</v>
      </c>
      <c r="F1239" s="7" t="s">
        <v>16</v>
      </c>
      <c r="G1239" s="22">
        <v>42590</v>
      </c>
      <c r="H1239" s="8">
        <v>90132</v>
      </c>
      <c r="I1239" s="7" t="str">
        <f t="shared" si="213"/>
        <v>amol.raghunath@pr.rah.ba</v>
      </c>
      <c r="J1239" s="6" t="s">
        <v>1533</v>
      </c>
      <c r="K1239" s="6">
        <v>57</v>
      </c>
      <c r="L1239" s="7" t="str">
        <f t="shared" si="214"/>
        <v>pr.rah.ba</v>
      </c>
      <c r="M1239" s="7" t="str">
        <f t="shared" si="215"/>
        <v>R.Amol</v>
      </c>
      <c r="N1239" s="6">
        <f t="shared" si="210"/>
        <v>0</v>
      </c>
      <c r="O1239" s="6">
        <f t="shared" si="209"/>
        <v>0</v>
      </c>
      <c r="P1239" s="6" t="str">
        <f t="shared" si="216"/>
        <v>N</v>
      </c>
      <c r="Q1239" s="6">
        <f t="shared" si="217"/>
        <v>13</v>
      </c>
      <c r="R1239" s="6" t="str">
        <f t="shared" si="218"/>
        <v>2016</v>
      </c>
      <c r="S1239" s="6" t="str">
        <f t="shared" si="219"/>
        <v>Aug</v>
      </c>
    </row>
    <row r="1240" spans="1:19" x14ac:dyDescent="0.25">
      <c r="A1240" s="6">
        <v>728</v>
      </c>
      <c r="B1240" s="6" t="str">
        <f t="shared" si="211"/>
        <v>NIKPRO00728</v>
      </c>
      <c r="C1240" s="7" t="s">
        <v>251</v>
      </c>
      <c r="D1240" s="7" t="s">
        <v>68</v>
      </c>
      <c r="E1240" s="7" t="str">
        <f t="shared" si="212"/>
        <v>HIMANSHU KUMAR</v>
      </c>
      <c r="F1240" s="7" t="s">
        <v>16</v>
      </c>
      <c r="G1240" s="22">
        <v>42627</v>
      </c>
      <c r="H1240" s="8">
        <v>60762</v>
      </c>
      <c r="I1240" s="7" t="str">
        <f t="shared" si="213"/>
        <v>himanshu.kumar@pr.kur.ba</v>
      </c>
      <c r="J1240" s="6" t="s">
        <v>1543</v>
      </c>
      <c r="K1240" s="6">
        <v>85</v>
      </c>
      <c r="L1240" s="7" t="str">
        <f t="shared" si="214"/>
        <v>pr.kur.ba</v>
      </c>
      <c r="M1240" s="7" t="str">
        <f t="shared" si="215"/>
        <v>K.Himanshu</v>
      </c>
      <c r="N1240" s="6">
        <f t="shared" si="210"/>
        <v>0</v>
      </c>
      <c r="O1240" s="6">
        <f t="shared" si="209"/>
        <v>0</v>
      </c>
      <c r="P1240" s="6" t="str">
        <f t="shared" si="216"/>
        <v>N</v>
      </c>
      <c r="Q1240" s="6">
        <f t="shared" si="217"/>
        <v>13</v>
      </c>
      <c r="R1240" s="6" t="str">
        <f t="shared" si="218"/>
        <v>2016</v>
      </c>
      <c r="S1240" s="6" t="str">
        <f t="shared" si="219"/>
        <v>Sep</v>
      </c>
    </row>
    <row r="1241" spans="1:19" x14ac:dyDescent="0.25">
      <c r="A1241" s="6">
        <v>733</v>
      </c>
      <c r="B1241" s="6" t="str">
        <f t="shared" si="211"/>
        <v>NIKPRO00733</v>
      </c>
      <c r="C1241" s="7" t="s">
        <v>307</v>
      </c>
      <c r="D1241" s="7" t="s">
        <v>55</v>
      </c>
      <c r="E1241" s="7" t="str">
        <f t="shared" si="212"/>
        <v>HEMANT SHARMA</v>
      </c>
      <c r="F1241" s="7" t="s">
        <v>16</v>
      </c>
      <c r="G1241" s="22">
        <v>42527</v>
      </c>
      <c r="H1241" s="8">
        <v>94164</v>
      </c>
      <c r="I1241" s="7" t="str">
        <f t="shared" si="213"/>
        <v>hemant.sharma@pr.sha.ba</v>
      </c>
      <c r="J1241" s="6" t="s">
        <v>1547</v>
      </c>
      <c r="K1241" s="6">
        <v>70</v>
      </c>
      <c r="L1241" s="7" t="str">
        <f t="shared" si="214"/>
        <v>pr.sha.ba</v>
      </c>
      <c r="M1241" s="7" t="str">
        <f t="shared" si="215"/>
        <v>S.Hemant</v>
      </c>
      <c r="N1241" s="6">
        <f t="shared" si="210"/>
        <v>2</v>
      </c>
      <c r="O1241" s="6">
        <f t="shared" si="209"/>
        <v>0</v>
      </c>
      <c r="P1241" s="6" t="str">
        <f t="shared" si="216"/>
        <v>N</v>
      </c>
      <c r="Q1241" s="6">
        <f t="shared" si="217"/>
        <v>12</v>
      </c>
      <c r="R1241" s="6" t="str">
        <f t="shared" si="218"/>
        <v>2016</v>
      </c>
      <c r="S1241" s="6" t="str">
        <f t="shared" si="219"/>
        <v>Jun</v>
      </c>
    </row>
    <row r="1242" spans="1:19" x14ac:dyDescent="0.25">
      <c r="A1242" s="6">
        <v>740</v>
      </c>
      <c r="B1242" s="6" t="str">
        <f t="shared" si="211"/>
        <v>NIKPRO00740</v>
      </c>
      <c r="C1242" s="7" t="s">
        <v>913</v>
      </c>
      <c r="D1242" s="7" t="s">
        <v>914</v>
      </c>
      <c r="E1242" s="7" t="str">
        <f t="shared" si="212"/>
        <v>JITEN SOMAIYA</v>
      </c>
      <c r="F1242" s="7" t="s">
        <v>16</v>
      </c>
      <c r="G1242" s="22">
        <v>42957</v>
      </c>
      <c r="H1242" s="8">
        <v>107862</v>
      </c>
      <c r="I1242" s="7" t="str">
        <f t="shared" si="213"/>
        <v>jiten.somaiya@pr.soa.ba</v>
      </c>
      <c r="J1242" s="6" t="s">
        <v>1536</v>
      </c>
      <c r="K1242" s="6">
        <v>79</v>
      </c>
      <c r="L1242" s="7" t="str">
        <f t="shared" si="214"/>
        <v>pr.soa.ba</v>
      </c>
      <c r="M1242" s="7" t="str">
        <f t="shared" si="215"/>
        <v>S.Jiten</v>
      </c>
      <c r="N1242" s="6">
        <f t="shared" si="210"/>
        <v>4</v>
      </c>
      <c r="O1242" s="6">
        <f t="shared" si="209"/>
        <v>0</v>
      </c>
      <c r="P1242" s="6" t="str">
        <f t="shared" si="216"/>
        <v>N</v>
      </c>
      <c r="Q1242" s="6">
        <f t="shared" si="217"/>
        <v>12</v>
      </c>
      <c r="R1242" s="6" t="str">
        <f t="shared" si="218"/>
        <v>2017</v>
      </c>
      <c r="S1242" s="6" t="str">
        <f t="shared" si="219"/>
        <v>Aug</v>
      </c>
    </row>
    <row r="1243" spans="1:19" x14ac:dyDescent="0.25">
      <c r="A1243" s="6">
        <v>745</v>
      </c>
      <c r="B1243" s="6" t="str">
        <f t="shared" si="211"/>
        <v>NIKPRO00745</v>
      </c>
      <c r="C1243" s="7" t="s">
        <v>917</v>
      </c>
      <c r="D1243" s="7" t="s">
        <v>114</v>
      </c>
      <c r="E1243" s="7" t="str">
        <f t="shared" si="212"/>
        <v>SETU SUNIL</v>
      </c>
      <c r="F1243" s="7" t="s">
        <v>16</v>
      </c>
      <c r="G1243" s="22">
        <v>43192</v>
      </c>
      <c r="H1243" s="8">
        <v>32224</v>
      </c>
      <c r="I1243" s="7" t="str">
        <f t="shared" si="213"/>
        <v>setu.sunil@pr.sul.ba</v>
      </c>
      <c r="J1243" s="6" t="s">
        <v>1542</v>
      </c>
      <c r="K1243" s="6">
        <v>84</v>
      </c>
      <c r="L1243" s="7" t="str">
        <f t="shared" si="214"/>
        <v>pr.sul.ba</v>
      </c>
      <c r="M1243" s="7" t="str">
        <f t="shared" si="215"/>
        <v>S.Setu</v>
      </c>
      <c r="N1243" s="6">
        <f t="shared" si="210"/>
        <v>2</v>
      </c>
      <c r="O1243" s="6">
        <f t="shared" si="209"/>
        <v>0</v>
      </c>
      <c r="P1243" s="6" t="str">
        <f t="shared" si="216"/>
        <v>N</v>
      </c>
      <c r="Q1243" s="6">
        <f t="shared" si="217"/>
        <v>9</v>
      </c>
      <c r="R1243" s="6" t="str">
        <f t="shared" si="218"/>
        <v>2018</v>
      </c>
      <c r="S1243" s="6" t="str">
        <f t="shared" si="219"/>
        <v>Apr</v>
      </c>
    </row>
    <row r="1244" spans="1:19" x14ac:dyDescent="0.25">
      <c r="A1244" s="6">
        <v>753</v>
      </c>
      <c r="B1244" s="6" t="str">
        <f t="shared" si="211"/>
        <v>NIKPRO00753</v>
      </c>
      <c r="C1244" s="7" t="s">
        <v>826</v>
      </c>
      <c r="D1244" s="7" t="s">
        <v>58</v>
      </c>
      <c r="E1244" s="7" t="str">
        <f t="shared" si="212"/>
        <v>MUKUL BHATIA</v>
      </c>
      <c r="F1244" s="7" t="s">
        <v>16</v>
      </c>
      <c r="G1244" s="22">
        <v>43348</v>
      </c>
      <c r="H1244" s="8">
        <v>78165</v>
      </c>
      <c r="I1244" s="7" t="str">
        <f t="shared" si="213"/>
        <v>mukul.bhatia@pr.bha.ba</v>
      </c>
      <c r="J1244" s="6" t="s">
        <v>1550</v>
      </c>
      <c r="K1244" s="6">
        <v>77</v>
      </c>
      <c r="L1244" s="7" t="str">
        <f t="shared" si="214"/>
        <v>pr.bha.ba</v>
      </c>
      <c r="M1244" s="7" t="str">
        <f t="shared" si="215"/>
        <v>B.Mukul</v>
      </c>
      <c r="N1244" s="6">
        <f t="shared" si="210"/>
        <v>0</v>
      </c>
      <c r="O1244" s="6">
        <f t="shared" si="209"/>
        <v>0</v>
      </c>
      <c r="P1244" s="6" t="str">
        <f t="shared" si="216"/>
        <v>N</v>
      </c>
      <c r="Q1244" s="6">
        <f t="shared" si="217"/>
        <v>11</v>
      </c>
      <c r="R1244" s="6" t="str">
        <f t="shared" si="218"/>
        <v>2018</v>
      </c>
      <c r="S1244" s="6" t="str">
        <f t="shared" si="219"/>
        <v>Sep</v>
      </c>
    </row>
    <row r="1245" spans="1:19" x14ac:dyDescent="0.25">
      <c r="A1245" s="6">
        <v>764</v>
      </c>
      <c r="B1245" s="6" t="str">
        <f t="shared" si="211"/>
        <v>NIKPRO00764</v>
      </c>
      <c r="C1245" s="7" t="s">
        <v>930</v>
      </c>
      <c r="D1245" s="7" t="s">
        <v>931</v>
      </c>
      <c r="E1245" s="7" t="str">
        <f t="shared" si="212"/>
        <v>SNEHAL P</v>
      </c>
      <c r="F1245" s="7" t="s">
        <v>16</v>
      </c>
      <c r="G1245" s="22">
        <v>42718</v>
      </c>
      <c r="H1245" s="8">
        <v>85842</v>
      </c>
      <c r="I1245" s="7" t="str">
        <f t="shared" si="213"/>
        <v>snehal.p@pr.pp.ba</v>
      </c>
      <c r="J1245" s="6" t="s">
        <v>1534</v>
      </c>
      <c r="K1245" s="6">
        <v>43</v>
      </c>
      <c r="L1245" s="7" t="str">
        <f t="shared" si="214"/>
        <v>pr.pp.ba</v>
      </c>
      <c r="M1245" s="7" t="str">
        <f t="shared" si="215"/>
        <v>P.Snehal</v>
      </c>
      <c r="N1245" s="6">
        <f t="shared" si="210"/>
        <v>3</v>
      </c>
      <c r="O1245" s="6">
        <f t="shared" si="209"/>
        <v>0</v>
      </c>
      <c r="P1245" s="6" t="str">
        <f t="shared" si="216"/>
        <v>N</v>
      </c>
      <c r="Q1245" s="6">
        <f t="shared" si="217"/>
        <v>7</v>
      </c>
      <c r="R1245" s="6" t="str">
        <f t="shared" si="218"/>
        <v>2016</v>
      </c>
      <c r="S1245" s="6" t="str">
        <f t="shared" si="219"/>
        <v>Dec</v>
      </c>
    </row>
    <row r="1246" spans="1:19" x14ac:dyDescent="0.25">
      <c r="A1246" s="6">
        <v>766</v>
      </c>
      <c r="B1246" s="6" t="str">
        <f t="shared" si="211"/>
        <v>NIKPRO00766</v>
      </c>
      <c r="C1246" s="7" t="s">
        <v>33</v>
      </c>
      <c r="D1246" s="7"/>
      <c r="E1246" s="7" t="str">
        <f t="shared" si="212"/>
        <v>KIRAN</v>
      </c>
      <c r="F1246" s="7" t="s">
        <v>16</v>
      </c>
      <c r="G1246" s="22">
        <v>42527</v>
      </c>
      <c r="H1246" s="8">
        <v>52501</v>
      </c>
      <c r="I1246" s="7" t="str">
        <f t="shared" si="213"/>
        <v>kiran.@pr..ba</v>
      </c>
      <c r="J1246" s="6" t="s">
        <v>1541</v>
      </c>
      <c r="K1246" s="6">
        <v>75</v>
      </c>
      <c r="L1246" s="7" t="str">
        <f t="shared" si="214"/>
        <v>pr..ba</v>
      </c>
      <c r="M1246" s="7" t="str">
        <f t="shared" si="215"/>
        <v>.Kiran</v>
      </c>
      <c r="N1246" s="6">
        <f t="shared" si="210"/>
        <v>0</v>
      </c>
      <c r="O1246" s="6">
        <f t="shared" si="209"/>
        <v>0</v>
      </c>
      <c r="P1246" s="6" t="str">
        <f t="shared" si="216"/>
        <v>N</v>
      </c>
      <c r="Q1246" s="6">
        <f t="shared" si="217"/>
        <v>5</v>
      </c>
      <c r="R1246" s="6" t="str">
        <f t="shared" si="218"/>
        <v>2016</v>
      </c>
      <c r="S1246" s="6" t="str">
        <f t="shared" si="219"/>
        <v>Jun</v>
      </c>
    </row>
    <row r="1247" spans="1:19" x14ac:dyDescent="0.25">
      <c r="A1247" s="6">
        <v>767</v>
      </c>
      <c r="B1247" s="6" t="str">
        <f t="shared" si="211"/>
        <v>NIKPRO00767</v>
      </c>
      <c r="C1247" s="7" t="s">
        <v>932</v>
      </c>
      <c r="D1247" s="7" t="s">
        <v>245</v>
      </c>
      <c r="E1247" s="7" t="str">
        <f t="shared" si="212"/>
        <v>PALASH PAREEK</v>
      </c>
      <c r="F1247" s="7" t="s">
        <v>16</v>
      </c>
      <c r="G1247" s="22">
        <v>43192</v>
      </c>
      <c r="H1247" s="8">
        <v>46122</v>
      </c>
      <c r="I1247" s="7" t="str">
        <f t="shared" si="213"/>
        <v>palash.pareek@pr.pak.ba</v>
      </c>
      <c r="J1247" s="6" t="s">
        <v>1545</v>
      </c>
      <c r="K1247" s="6">
        <v>59</v>
      </c>
      <c r="L1247" s="7" t="str">
        <f t="shared" si="214"/>
        <v>pr.pak.ba</v>
      </c>
      <c r="M1247" s="7" t="str">
        <f t="shared" si="215"/>
        <v>P.Palash</v>
      </c>
      <c r="N1247" s="6">
        <f t="shared" si="210"/>
        <v>0</v>
      </c>
      <c r="O1247" s="6">
        <f t="shared" si="209"/>
        <v>4</v>
      </c>
      <c r="P1247" s="6" t="str">
        <f t="shared" si="216"/>
        <v>N</v>
      </c>
      <c r="Q1247" s="6">
        <f t="shared" si="217"/>
        <v>12</v>
      </c>
      <c r="R1247" s="6" t="str">
        <f t="shared" si="218"/>
        <v>2018</v>
      </c>
      <c r="S1247" s="6" t="str">
        <f t="shared" si="219"/>
        <v>Apr</v>
      </c>
    </row>
    <row r="1248" spans="1:19" x14ac:dyDescent="0.25">
      <c r="A1248" s="6">
        <v>778</v>
      </c>
      <c r="B1248" s="6" t="str">
        <f t="shared" si="211"/>
        <v>NIKPRO00778</v>
      </c>
      <c r="C1248" s="7" t="s">
        <v>612</v>
      </c>
      <c r="D1248" s="7" t="s">
        <v>941</v>
      </c>
      <c r="E1248" s="7" t="str">
        <f t="shared" si="212"/>
        <v>AVANI KAPSE</v>
      </c>
      <c r="F1248" s="7" t="s">
        <v>16</v>
      </c>
      <c r="G1248" s="22">
        <v>43252</v>
      </c>
      <c r="H1248" s="8">
        <v>99379</v>
      </c>
      <c r="I1248" s="7" t="str">
        <f t="shared" si="213"/>
        <v>avani.kapse@pr.kae.ba</v>
      </c>
      <c r="J1248" s="6" t="s">
        <v>1541</v>
      </c>
      <c r="K1248" s="6">
        <v>90</v>
      </c>
      <c r="L1248" s="7" t="str">
        <f t="shared" si="214"/>
        <v>pr.kae.ba</v>
      </c>
      <c r="M1248" s="7" t="str">
        <f t="shared" si="215"/>
        <v>K.Avani</v>
      </c>
      <c r="N1248" s="6">
        <f t="shared" si="210"/>
        <v>0</v>
      </c>
      <c r="O1248" s="6">
        <f t="shared" si="209"/>
        <v>5</v>
      </c>
      <c r="P1248" s="6" t="str">
        <f t="shared" si="216"/>
        <v>N</v>
      </c>
      <c r="Q1248" s="6">
        <f t="shared" si="217"/>
        <v>10</v>
      </c>
      <c r="R1248" s="6" t="str">
        <f t="shared" si="218"/>
        <v>2018</v>
      </c>
      <c r="S1248" s="6" t="str">
        <f t="shared" si="219"/>
        <v>Jun</v>
      </c>
    </row>
    <row r="1249" spans="1:19" x14ac:dyDescent="0.25">
      <c r="A1249" s="6">
        <v>785</v>
      </c>
      <c r="B1249" s="6" t="str">
        <f t="shared" si="211"/>
        <v>NIKPRO00785</v>
      </c>
      <c r="C1249" s="7" t="s">
        <v>948</v>
      </c>
      <c r="D1249" s="7" t="s">
        <v>156</v>
      </c>
      <c r="E1249" s="7" t="str">
        <f t="shared" si="212"/>
        <v>RONALD R</v>
      </c>
      <c r="F1249" s="7" t="s">
        <v>16</v>
      </c>
      <c r="G1249" s="22">
        <v>41673</v>
      </c>
      <c r="H1249" s="8">
        <v>84098</v>
      </c>
      <c r="I1249" s="7" t="str">
        <f t="shared" si="213"/>
        <v>ronald.r@pr.rr.ba</v>
      </c>
      <c r="J1249" s="6" t="s">
        <v>1548</v>
      </c>
      <c r="K1249" s="6">
        <v>54</v>
      </c>
      <c r="L1249" s="7" t="str">
        <f t="shared" si="214"/>
        <v>pr.rr.ba</v>
      </c>
      <c r="M1249" s="7" t="str">
        <f t="shared" si="215"/>
        <v>R.Ronald</v>
      </c>
      <c r="N1249" s="6">
        <f t="shared" si="210"/>
        <v>0</v>
      </c>
      <c r="O1249" s="6">
        <f t="shared" si="209"/>
        <v>0</v>
      </c>
      <c r="P1249" s="6" t="str">
        <f t="shared" si="216"/>
        <v>N</v>
      </c>
      <c r="Q1249" s="6">
        <f t="shared" si="217"/>
        <v>7</v>
      </c>
      <c r="R1249" s="6" t="str">
        <f t="shared" si="218"/>
        <v>2014</v>
      </c>
      <c r="S1249" s="6" t="str">
        <f t="shared" si="219"/>
        <v>Feb</v>
      </c>
    </row>
    <row r="1250" spans="1:19" x14ac:dyDescent="0.25">
      <c r="A1250" s="6">
        <v>791</v>
      </c>
      <c r="B1250" s="6" t="str">
        <f t="shared" si="211"/>
        <v>NIKPRO00791</v>
      </c>
      <c r="C1250" s="7" t="s">
        <v>141</v>
      </c>
      <c r="D1250" s="7" t="s">
        <v>952</v>
      </c>
      <c r="E1250" s="7" t="str">
        <f t="shared" si="212"/>
        <v>SAURABH DINKAR</v>
      </c>
      <c r="F1250" s="7" t="s">
        <v>16</v>
      </c>
      <c r="G1250" s="22">
        <v>43409</v>
      </c>
      <c r="H1250" s="8">
        <v>73213</v>
      </c>
      <c r="I1250" s="7" t="str">
        <f t="shared" si="213"/>
        <v>saurabh.dinkar@pr.dir.ba</v>
      </c>
      <c r="J1250" s="6" t="s">
        <v>1547</v>
      </c>
      <c r="K1250" s="6">
        <v>55</v>
      </c>
      <c r="L1250" s="7" t="str">
        <f t="shared" si="214"/>
        <v>pr.dir.ba</v>
      </c>
      <c r="M1250" s="7" t="str">
        <f t="shared" si="215"/>
        <v>D.Saurabh</v>
      </c>
      <c r="N1250" s="6">
        <f t="shared" si="210"/>
        <v>0</v>
      </c>
      <c r="O1250" s="6">
        <f t="shared" si="209"/>
        <v>0</v>
      </c>
      <c r="P1250" s="6" t="str">
        <f t="shared" si="216"/>
        <v>N</v>
      </c>
      <c r="Q1250" s="6">
        <f t="shared" si="217"/>
        <v>13</v>
      </c>
      <c r="R1250" s="6" t="str">
        <f t="shared" si="218"/>
        <v>2018</v>
      </c>
      <c r="S1250" s="6" t="str">
        <f t="shared" si="219"/>
        <v>Nov</v>
      </c>
    </row>
    <row r="1251" spans="1:19" x14ac:dyDescent="0.25">
      <c r="A1251" s="6">
        <v>796</v>
      </c>
      <c r="B1251" s="6" t="str">
        <f t="shared" si="211"/>
        <v>NIKPRO00796</v>
      </c>
      <c r="C1251" s="7" t="s">
        <v>957</v>
      </c>
      <c r="D1251" s="7" t="s">
        <v>70</v>
      </c>
      <c r="E1251" s="7" t="str">
        <f t="shared" si="212"/>
        <v>AMARDEEP SINGH</v>
      </c>
      <c r="F1251" s="7" t="s">
        <v>16</v>
      </c>
      <c r="G1251" s="22">
        <v>42198</v>
      </c>
      <c r="H1251" s="8">
        <v>92679</v>
      </c>
      <c r="I1251" s="7" t="str">
        <f t="shared" si="213"/>
        <v>amardeep.singh@pr.sih.ba</v>
      </c>
      <c r="J1251" s="6" t="s">
        <v>1541</v>
      </c>
      <c r="K1251" s="6">
        <v>40</v>
      </c>
      <c r="L1251" s="7" t="str">
        <f t="shared" si="214"/>
        <v>pr.sih.ba</v>
      </c>
      <c r="M1251" s="7" t="str">
        <f t="shared" si="215"/>
        <v>S.Amardeep</v>
      </c>
      <c r="N1251" s="6">
        <f t="shared" si="210"/>
        <v>6</v>
      </c>
      <c r="O1251" s="6">
        <f t="shared" si="209"/>
        <v>0</v>
      </c>
      <c r="P1251" s="6" t="str">
        <f t="shared" si="216"/>
        <v>N</v>
      </c>
      <c r="Q1251" s="6">
        <f t="shared" si="217"/>
        <v>13</v>
      </c>
      <c r="R1251" s="6" t="str">
        <f t="shared" si="218"/>
        <v>2015</v>
      </c>
      <c r="S1251" s="6" t="str">
        <f t="shared" si="219"/>
        <v>Jul</v>
      </c>
    </row>
    <row r="1252" spans="1:19" x14ac:dyDescent="0.25">
      <c r="A1252" s="6">
        <v>797</v>
      </c>
      <c r="B1252" s="6" t="str">
        <f t="shared" si="211"/>
        <v>NIKPRO00797</v>
      </c>
      <c r="C1252" s="7" t="s">
        <v>338</v>
      </c>
      <c r="D1252" s="7" t="s">
        <v>958</v>
      </c>
      <c r="E1252" s="7" t="str">
        <f t="shared" si="212"/>
        <v>BHAVESH MANILAL</v>
      </c>
      <c r="F1252" s="7" t="s">
        <v>16</v>
      </c>
      <c r="G1252" s="22">
        <v>43451</v>
      </c>
      <c r="H1252" s="8">
        <v>85888</v>
      </c>
      <c r="I1252" s="7" t="str">
        <f t="shared" si="213"/>
        <v>bhavesh.manilal@pr.mal.ba</v>
      </c>
      <c r="J1252" s="6" t="s">
        <v>1535</v>
      </c>
      <c r="K1252" s="6">
        <v>71</v>
      </c>
      <c r="L1252" s="7" t="str">
        <f t="shared" si="214"/>
        <v>pr.mal.ba</v>
      </c>
      <c r="M1252" s="7" t="str">
        <f t="shared" si="215"/>
        <v>M.Bhavesh</v>
      </c>
      <c r="N1252" s="6">
        <f t="shared" si="210"/>
        <v>5</v>
      </c>
      <c r="O1252" s="6">
        <f t="shared" si="209"/>
        <v>0</v>
      </c>
      <c r="P1252" s="6" t="str">
        <f t="shared" si="216"/>
        <v>N</v>
      </c>
      <c r="Q1252" s="6">
        <f t="shared" si="217"/>
        <v>14</v>
      </c>
      <c r="R1252" s="6" t="str">
        <f t="shared" si="218"/>
        <v>2018</v>
      </c>
      <c r="S1252" s="6" t="str">
        <f t="shared" si="219"/>
        <v>Dec</v>
      </c>
    </row>
    <row r="1253" spans="1:19" x14ac:dyDescent="0.25">
      <c r="A1253" s="6">
        <v>803</v>
      </c>
      <c r="B1253" s="6" t="str">
        <f t="shared" si="211"/>
        <v>NIKPRO00803</v>
      </c>
      <c r="C1253" s="7" t="s">
        <v>965</v>
      </c>
      <c r="D1253" s="7" t="s">
        <v>966</v>
      </c>
      <c r="E1253" s="7" t="str">
        <f t="shared" si="212"/>
        <v>TITIKSHA PANDAY</v>
      </c>
      <c r="F1253" s="7" t="s">
        <v>16</v>
      </c>
      <c r="G1253" s="22">
        <v>43192</v>
      </c>
      <c r="H1253" s="8">
        <v>52510</v>
      </c>
      <c r="I1253" s="7" t="str">
        <f t="shared" si="213"/>
        <v>titiksha.panday@pr.pay.ba</v>
      </c>
      <c r="J1253" s="6" t="s">
        <v>1538</v>
      </c>
      <c r="K1253" s="6">
        <v>88</v>
      </c>
      <c r="L1253" s="7" t="str">
        <f t="shared" si="214"/>
        <v>pr.pay.ba</v>
      </c>
      <c r="M1253" s="7" t="str">
        <f t="shared" si="215"/>
        <v>P.Titiksha</v>
      </c>
      <c r="N1253" s="6">
        <f t="shared" si="210"/>
        <v>0</v>
      </c>
      <c r="O1253" s="6">
        <f t="shared" si="209"/>
        <v>0</v>
      </c>
      <c r="P1253" s="6" t="str">
        <f t="shared" si="216"/>
        <v>N</v>
      </c>
      <c r="Q1253" s="6">
        <f t="shared" si="217"/>
        <v>14</v>
      </c>
      <c r="R1253" s="6" t="str">
        <f t="shared" si="218"/>
        <v>2018</v>
      </c>
      <c r="S1253" s="6" t="str">
        <f t="shared" si="219"/>
        <v>Apr</v>
      </c>
    </row>
    <row r="1254" spans="1:19" x14ac:dyDescent="0.25">
      <c r="A1254" s="6">
        <v>806</v>
      </c>
      <c r="B1254" s="6" t="str">
        <f t="shared" si="211"/>
        <v>NIKPRO00806</v>
      </c>
      <c r="C1254" s="7" t="s">
        <v>320</v>
      </c>
      <c r="D1254" s="7" t="s">
        <v>968</v>
      </c>
      <c r="E1254" s="7" t="str">
        <f t="shared" si="212"/>
        <v>VISHAL MITTAL</v>
      </c>
      <c r="F1254" s="7" t="s">
        <v>16</v>
      </c>
      <c r="G1254" s="22">
        <v>42110</v>
      </c>
      <c r="H1254" s="8">
        <v>36201</v>
      </c>
      <c r="I1254" s="7" t="str">
        <f t="shared" si="213"/>
        <v>vishal.mittal@pr.mil.ba</v>
      </c>
      <c r="J1254" s="6" t="s">
        <v>1549</v>
      </c>
      <c r="K1254" s="6">
        <v>87</v>
      </c>
      <c r="L1254" s="7" t="str">
        <f t="shared" si="214"/>
        <v>pr.mil.ba</v>
      </c>
      <c r="M1254" s="7" t="str">
        <f t="shared" si="215"/>
        <v>M.Vishal</v>
      </c>
      <c r="N1254" s="6">
        <f t="shared" si="210"/>
        <v>0</v>
      </c>
      <c r="O1254" s="6">
        <f t="shared" si="209"/>
        <v>0</v>
      </c>
      <c r="P1254" s="6" t="str">
        <f t="shared" si="216"/>
        <v>N</v>
      </c>
      <c r="Q1254" s="6">
        <f t="shared" si="217"/>
        <v>12</v>
      </c>
      <c r="R1254" s="6" t="str">
        <f t="shared" si="218"/>
        <v>2015</v>
      </c>
      <c r="S1254" s="6" t="str">
        <f t="shared" si="219"/>
        <v>Apr</v>
      </c>
    </row>
    <row r="1255" spans="1:19" x14ac:dyDescent="0.25">
      <c r="A1255" s="6">
        <v>824</v>
      </c>
      <c r="B1255" s="6" t="str">
        <f t="shared" si="211"/>
        <v>NIKPRO00824</v>
      </c>
      <c r="C1255" s="7" t="s">
        <v>984</v>
      </c>
      <c r="D1255" s="7" t="s">
        <v>731</v>
      </c>
      <c r="E1255" s="7" t="str">
        <f t="shared" si="212"/>
        <v>SANJANA GHOSH</v>
      </c>
      <c r="F1255" s="7" t="s">
        <v>16</v>
      </c>
      <c r="G1255" s="22">
        <v>42870</v>
      </c>
      <c r="H1255" s="8">
        <v>30981</v>
      </c>
      <c r="I1255" s="7" t="str">
        <f t="shared" si="213"/>
        <v>sanjana.ghosh@pr.ghh.ba</v>
      </c>
      <c r="J1255" s="6" t="s">
        <v>1537</v>
      </c>
      <c r="K1255" s="6">
        <v>49</v>
      </c>
      <c r="L1255" s="7" t="str">
        <f t="shared" si="214"/>
        <v>pr.ghh.ba</v>
      </c>
      <c r="M1255" s="7" t="str">
        <f t="shared" si="215"/>
        <v>G.Sanjana</v>
      </c>
      <c r="N1255" s="6">
        <f t="shared" si="210"/>
        <v>0</v>
      </c>
      <c r="O1255" s="6">
        <f t="shared" si="209"/>
        <v>0</v>
      </c>
      <c r="P1255" s="6" t="str">
        <f t="shared" si="216"/>
        <v>N</v>
      </c>
      <c r="Q1255" s="6">
        <f t="shared" si="217"/>
        <v>12</v>
      </c>
      <c r="R1255" s="6" t="str">
        <f t="shared" si="218"/>
        <v>2017</v>
      </c>
      <c r="S1255" s="6" t="str">
        <f t="shared" si="219"/>
        <v>May</v>
      </c>
    </row>
    <row r="1256" spans="1:19" x14ac:dyDescent="0.25">
      <c r="A1256" s="6">
        <v>830</v>
      </c>
      <c r="B1256" s="6" t="str">
        <f t="shared" si="211"/>
        <v>NIKPRO00830</v>
      </c>
      <c r="C1256" s="7" t="s">
        <v>987</v>
      </c>
      <c r="D1256" s="7" t="s">
        <v>557</v>
      </c>
      <c r="E1256" s="7" t="str">
        <f t="shared" si="212"/>
        <v>PARAGI DUBEY</v>
      </c>
      <c r="F1256" s="7" t="s">
        <v>16</v>
      </c>
      <c r="G1256" s="22">
        <v>41505</v>
      </c>
      <c r="H1256" s="8">
        <v>101721</v>
      </c>
      <c r="I1256" s="7" t="str">
        <f t="shared" si="213"/>
        <v>paragi.dubey@pr.duy.ba</v>
      </c>
      <c r="J1256" s="6" t="s">
        <v>1545</v>
      </c>
      <c r="K1256" s="6">
        <v>74</v>
      </c>
      <c r="L1256" s="7" t="str">
        <f t="shared" si="214"/>
        <v>pr.duy.ba</v>
      </c>
      <c r="M1256" s="7" t="str">
        <f t="shared" si="215"/>
        <v>D.Paragi</v>
      </c>
      <c r="N1256" s="6">
        <f t="shared" si="210"/>
        <v>0</v>
      </c>
      <c r="O1256" s="6">
        <f t="shared" si="209"/>
        <v>4</v>
      </c>
      <c r="P1256" s="6" t="str">
        <f t="shared" si="216"/>
        <v>N</v>
      </c>
      <c r="Q1256" s="6">
        <f t="shared" si="217"/>
        <v>11</v>
      </c>
      <c r="R1256" s="6" t="str">
        <f t="shared" si="218"/>
        <v>2013</v>
      </c>
      <c r="S1256" s="6" t="str">
        <f t="shared" si="219"/>
        <v>Aug</v>
      </c>
    </row>
    <row r="1257" spans="1:19" x14ac:dyDescent="0.25">
      <c r="A1257" s="6">
        <v>834</v>
      </c>
      <c r="B1257" s="6" t="str">
        <f t="shared" si="211"/>
        <v>NIKPRO00834</v>
      </c>
      <c r="C1257" s="7" t="s">
        <v>990</v>
      </c>
      <c r="D1257" s="7" t="s">
        <v>991</v>
      </c>
      <c r="E1257" s="7" t="str">
        <f t="shared" si="212"/>
        <v>NEENAL MOGRA</v>
      </c>
      <c r="F1257" s="7" t="s">
        <v>16</v>
      </c>
      <c r="G1257" s="22">
        <v>42804</v>
      </c>
      <c r="H1257" s="8">
        <v>57780</v>
      </c>
      <c r="I1257" s="7" t="str">
        <f t="shared" si="213"/>
        <v>neenal.mogra@pr.moa.ba</v>
      </c>
      <c r="J1257" s="6" t="s">
        <v>1534</v>
      </c>
      <c r="K1257" s="6">
        <v>76</v>
      </c>
      <c r="L1257" s="7" t="str">
        <f t="shared" si="214"/>
        <v>pr.moa.ba</v>
      </c>
      <c r="M1257" s="7" t="str">
        <f t="shared" si="215"/>
        <v>M.Neenal</v>
      </c>
      <c r="N1257" s="6">
        <f t="shared" si="210"/>
        <v>2</v>
      </c>
      <c r="O1257" s="6">
        <f t="shared" si="209"/>
        <v>0</v>
      </c>
      <c r="P1257" s="6" t="str">
        <f t="shared" si="216"/>
        <v>N</v>
      </c>
      <c r="Q1257" s="6">
        <f t="shared" si="217"/>
        <v>11</v>
      </c>
      <c r="R1257" s="6" t="str">
        <f t="shared" si="218"/>
        <v>2017</v>
      </c>
      <c r="S1257" s="6" t="str">
        <f t="shared" si="219"/>
        <v>Mar</v>
      </c>
    </row>
    <row r="1258" spans="1:19" x14ac:dyDescent="0.25">
      <c r="A1258" s="6">
        <v>840</v>
      </c>
      <c r="B1258" s="6" t="str">
        <f t="shared" si="211"/>
        <v>NIKPRO00840</v>
      </c>
      <c r="C1258" s="7" t="s">
        <v>296</v>
      </c>
      <c r="D1258" s="7" t="s">
        <v>68</v>
      </c>
      <c r="E1258" s="7" t="str">
        <f t="shared" si="212"/>
        <v>DEEPAK KUMAR</v>
      </c>
      <c r="F1258" s="7" t="s">
        <v>16</v>
      </c>
      <c r="G1258" s="22">
        <v>43570</v>
      </c>
      <c r="H1258" s="8">
        <v>50611</v>
      </c>
      <c r="I1258" s="7" t="str">
        <f t="shared" si="213"/>
        <v>deepak.kumar@pr.kur.ba</v>
      </c>
      <c r="J1258" s="6" t="s">
        <v>1532</v>
      </c>
      <c r="K1258" s="6">
        <v>38</v>
      </c>
      <c r="L1258" s="7" t="str">
        <f t="shared" si="214"/>
        <v>pr.kur.ba</v>
      </c>
      <c r="M1258" s="7" t="str">
        <f t="shared" si="215"/>
        <v>K.Deepak</v>
      </c>
      <c r="N1258" s="6">
        <f t="shared" si="210"/>
        <v>2</v>
      </c>
      <c r="O1258" s="6">
        <f t="shared" si="209"/>
        <v>0</v>
      </c>
      <c r="P1258" s="6" t="str">
        <f t="shared" si="216"/>
        <v>N</v>
      </c>
      <c r="Q1258" s="6">
        <f t="shared" si="217"/>
        <v>11</v>
      </c>
      <c r="R1258" s="6" t="str">
        <f t="shared" si="218"/>
        <v>2019</v>
      </c>
      <c r="S1258" s="6" t="str">
        <f t="shared" si="219"/>
        <v>Apr</v>
      </c>
    </row>
    <row r="1259" spans="1:19" x14ac:dyDescent="0.25">
      <c r="A1259" s="6">
        <v>844</v>
      </c>
      <c r="B1259" s="6" t="str">
        <f t="shared" si="211"/>
        <v>NIKPRO00844</v>
      </c>
      <c r="C1259" s="7" t="s">
        <v>996</v>
      </c>
      <c r="D1259" s="7" t="s">
        <v>997</v>
      </c>
      <c r="E1259" s="7" t="str">
        <f t="shared" si="212"/>
        <v>MAKARAND SADANAND</v>
      </c>
      <c r="F1259" s="7" t="s">
        <v>16</v>
      </c>
      <c r="G1259" s="22">
        <v>42614</v>
      </c>
      <c r="H1259" s="8">
        <v>91083</v>
      </c>
      <c r="I1259" s="7" t="str">
        <f t="shared" si="213"/>
        <v>makarand.sadanand@pr.sad.ba</v>
      </c>
      <c r="J1259" s="6" t="s">
        <v>1545</v>
      </c>
      <c r="K1259" s="6">
        <v>47</v>
      </c>
      <c r="L1259" s="7" t="str">
        <f t="shared" si="214"/>
        <v>pr.sad.ba</v>
      </c>
      <c r="M1259" s="7" t="str">
        <f t="shared" si="215"/>
        <v>S.Makarand</v>
      </c>
      <c r="N1259" s="6">
        <f t="shared" si="210"/>
        <v>0</v>
      </c>
      <c r="O1259" s="6">
        <f t="shared" si="209"/>
        <v>0</v>
      </c>
      <c r="P1259" s="6" t="str">
        <f t="shared" si="216"/>
        <v>N</v>
      </c>
      <c r="Q1259" s="6">
        <f t="shared" si="217"/>
        <v>16</v>
      </c>
      <c r="R1259" s="6" t="str">
        <f t="shared" si="218"/>
        <v>2016</v>
      </c>
      <c r="S1259" s="6" t="str">
        <f t="shared" si="219"/>
        <v>Sep</v>
      </c>
    </row>
    <row r="1260" spans="1:19" x14ac:dyDescent="0.25">
      <c r="A1260" s="6">
        <v>845</v>
      </c>
      <c r="B1260" s="6" t="str">
        <f t="shared" si="211"/>
        <v>NIKPRO00845</v>
      </c>
      <c r="C1260" s="7" t="s">
        <v>998</v>
      </c>
      <c r="D1260" s="7" t="s">
        <v>999</v>
      </c>
      <c r="E1260" s="7" t="str">
        <f t="shared" si="212"/>
        <v>LILADHAR SANKHALA</v>
      </c>
      <c r="F1260" s="7" t="s">
        <v>16</v>
      </c>
      <c r="G1260" s="22">
        <v>42948</v>
      </c>
      <c r="H1260" s="8">
        <v>106941</v>
      </c>
      <c r="I1260" s="7" t="str">
        <f t="shared" si="213"/>
        <v>liladhar.sankhala@pr.saa.ba</v>
      </c>
      <c r="J1260" s="6" t="s">
        <v>1533</v>
      </c>
      <c r="K1260" s="6">
        <v>68</v>
      </c>
      <c r="L1260" s="7" t="str">
        <f t="shared" si="214"/>
        <v>pr.saa.ba</v>
      </c>
      <c r="M1260" s="7" t="str">
        <f t="shared" si="215"/>
        <v>S.Liladhar</v>
      </c>
      <c r="N1260" s="6">
        <f t="shared" si="210"/>
        <v>0</v>
      </c>
      <c r="O1260" s="6">
        <f t="shared" ref="O1260:O1323" si="220">IFERROR(SEARCH("e",D1260),0)</f>
        <v>0</v>
      </c>
      <c r="P1260" s="6" t="str">
        <f t="shared" si="216"/>
        <v>N</v>
      </c>
      <c r="Q1260" s="6">
        <f t="shared" si="217"/>
        <v>16</v>
      </c>
      <c r="R1260" s="6" t="str">
        <f t="shared" si="218"/>
        <v>2017</v>
      </c>
      <c r="S1260" s="6" t="str">
        <f t="shared" si="219"/>
        <v>Aug</v>
      </c>
    </row>
    <row r="1261" spans="1:19" x14ac:dyDescent="0.25">
      <c r="A1261" s="6">
        <v>857</v>
      </c>
      <c r="B1261" s="6" t="str">
        <f t="shared" si="211"/>
        <v>NIKPRO00857</v>
      </c>
      <c r="C1261" s="7" t="s">
        <v>1005</v>
      </c>
      <c r="D1261" s="7" t="s">
        <v>1006</v>
      </c>
      <c r="E1261" s="7" t="str">
        <f t="shared" si="212"/>
        <v>VEDANGEE NAYAN</v>
      </c>
      <c r="F1261" s="7" t="s">
        <v>16</v>
      </c>
      <c r="G1261" s="22">
        <v>42590</v>
      </c>
      <c r="H1261" s="8">
        <v>76219</v>
      </c>
      <c r="I1261" s="7" t="str">
        <f t="shared" si="213"/>
        <v>vedangee.nayan@pr.nan.ba</v>
      </c>
      <c r="J1261" s="6" t="s">
        <v>1534</v>
      </c>
      <c r="K1261" s="6">
        <v>73</v>
      </c>
      <c r="L1261" s="7" t="str">
        <f t="shared" si="214"/>
        <v>pr.nan.ba</v>
      </c>
      <c r="M1261" s="7" t="str">
        <f t="shared" si="215"/>
        <v>N.Vedangee</v>
      </c>
      <c r="N1261" s="6">
        <f t="shared" si="210"/>
        <v>2</v>
      </c>
      <c r="O1261" s="6">
        <f t="shared" si="220"/>
        <v>0</v>
      </c>
      <c r="P1261" s="6" t="str">
        <f t="shared" si="216"/>
        <v>N</v>
      </c>
      <c r="Q1261" s="6">
        <f t="shared" si="217"/>
        <v>13</v>
      </c>
      <c r="R1261" s="6" t="str">
        <f t="shared" si="218"/>
        <v>2016</v>
      </c>
      <c r="S1261" s="6" t="str">
        <f t="shared" si="219"/>
        <v>Aug</v>
      </c>
    </row>
    <row r="1262" spans="1:19" x14ac:dyDescent="0.25">
      <c r="A1262" s="6">
        <v>865</v>
      </c>
      <c r="B1262" s="6" t="str">
        <f t="shared" si="211"/>
        <v>NIKPRO00865</v>
      </c>
      <c r="C1262" s="7" t="s">
        <v>546</v>
      </c>
      <c r="D1262" s="7" t="s">
        <v>154</v>
      </c>
      <c r="E1262" s="7" t="str">
        <f t="shared" si="212"/>
        <v>RISHAB BHARDWAJ</v>
      </c>
      <c r="F1262" s="7" t="s">
        <v>16</v>
      </c>
      <c r="G1262" s="22">
        <v>43390</v>
      </c>
      <c r="H1262" s="8">
        <v>26698</v>
      </c>
      <c r="I1262" s="7" t="str">
        <f t="shared" si="213"/>
        <v>rishab.bhardwaj@pr.bhj.ba</v>
      </c>
      <c r="J1262" s="6" t="s">
        <v>1547</v>
      </c>
      <c r="K1262" s="6">
        <v>36</v>
      </c>
      <c r="L1262" s="7" t="str">
        <f t="shared" si="214"/>
        <v>pr.bhj.ba</v>
      </c>
      <c r="M1262" s="7" t="str">
        <f t="shared" si="215"/>
        <v>B.Rishab</v>
      </c>
      <c r="N1262" s="6">
        <f t="shared" ref="N1262:N1325" si="221">IFERROR(SEARCH("e",C1262),0)</f>
        <v>0</v>
      </c>
      <c r="O1262" s="6">
        <f t="shared" si="220"/>
        <v>0</v>
      </c>
      <c r="P1262" s="6" t="str">
        <f t="shared" si="216"/>
        <v>N</v>
      </c>
      <c r="Q1262" s="6">
        <f t="shared" si="217"/>
        <v>14</v>
      </c>
      <c r="R1262" s="6" t="str">
        <f t="shared" si="218"/>
        <v>2018</v>
      </c>
      <c r="S1262" s="6" t="str">
        <f t="shared" si="219"/>
        <v>Oct</v>
      </c>
    </row>
    <row r="1263" spans="1:19" x14ac:dyDescent="0.25">
      <c r="A1263" s="6">
        <v>869</v>
      </c>
      <c r="B1263" s="6" t="str">
        <f t="shared" si="211"/>
        <v>NIKPRO00869</v>
      </c>
      <c r="C1263" s="7" t="s">
        <v>1015</v>
      </c>
      <c r="D1263" s="7" t="s">
        <v>62</v>
      </c>
      <c r="E1263" s="7" t="str">
        <f t="shared" si="212"/>
        <v>ASTHA JAIN</v>
      </c>
      <c r="F1263" s="7" t="s">
        <v>16</v>
      </c>
      <c r="G1263" s="22">
        <v>43595</v>
      </c>
      <c r="H1263" s="8">
        <v>30292</v>
      </c>
      <c r="I1263" s="7" t="str">
        <f t="shared" si="213"/>
        <v>astha.jain@pr.jan.ba</v>
      </c>
      <c r="J1263" s="6" t="s">
        <v>1549</v>
      </c>
      <c r="K1263" s="6">
        <v>41</v>
      </c>
      <c r="L1263" s="7" t="str">
        <f t="shared" si="214"/>
        <v>pr.jan.ba</v>
      </c>
      <c r="M1263" s="7" t="str">
        <f t="shared" si="215"/>
        <v>J.Astha</v>
      </c>
      <c r="N1263" s="6">
        <f t="shared" si="221"/>
        <v>0</v>
      </c>
      <c r="O1263" s="6">
        <f t="shared" si="220"/>
        <v>0</v>
      </c>
      <c r="P1263" s="6" t="str">
        <f t="shared" si="216"/>
        <v>N</v>
      </c>
      <c r="Q1263" s="6">
        <f t="shared" si="217"/>
        <v>9</v>
      </c>
      <c r="R1263" s="6" t="str">
        <f t="shared" si="218"/>
        <v>2019</v>
      </c>
      <c r="S1263" s="6" t="str">
        <f t="shared" si="219"/>
        <v>May</v>
      </c>
    </row>
    <row r="1264" spans="1:19" x14ac:dyDescent="0.25">
      <c r="A1264" s="6">
        <v>879</v>
      </c>
      <c r="B1264" s="6" t="str">
        <f t="shared" si="211"/>
        <v>NIKPRO00879</v>
      </c>
      <c r="C1264" s="7" t="s">
        <v>419</v>
      </c>
      <c r="D1264" s="7" t="s">
        <v>68</v>
      </c>
      <c r="E1264" s="7" t="str">
        <f t="shared" si="212"/>
        <v>SURENDRA KUMAR</v>
      </c>
      <c r="F1264" s="7" t="s">
        <v>16</v>
      </c>
      <c r="G1264" s="22">
        <v>43619</v>
      </c>
      <c r="H1264" s="8">
        <v>99950</v>
      </c>
      <c r="I1264" s="7" t="str">
        <f t="shared" si="213"/>
        <v>surendra.kumar@pr.kur.ba</v>
      </c>
      <c r="J1264" s="6" t="s">
        <v>1539</v>
      </c>
      <c r="K1264" s="6">
        <v>84</v>
      </c>
      <c r="L1264" s="7" t="str">
        <f t="shared" si="214"/>
        <v>pr.kur.ba</v>
      </c>
      <c r="M1264" s="7" t="str">
        <f t="shared" si="215"/>
        <v>K.Surendra</v>
      </c>
      <c r="N1264" s="6">
        <f t="shared" si="221"/>
        <v>4</v>
      </c>
      <c r="O1264" s="6">
        <f t="shared" si="220"/>
        <v>0</v>
      </c>
      <c r="P1264" s="6" t="str">
        <f t="shared" si="216"/>
        <v>N</v>
      </c>
      <c r="Q1264" s="6">
        <f t="shared" si="217"/>
        <v>13</v>
      </c>
      <c r="R1264" s="6" t="str">
        <f t="shared" si="218"/>
        <v>2019</v>
      </c>
      <c r="S1264" s="6" t="str">
        <f t="shared" si="219"/>
        <v>Jun</v>
      </c>
    </row>
    <row r="1265" spans="1:19" x14ac:dyDescent="0.25">
      <c r="A1265" s="6">
        <v>888</v>
      </c>
      <c r="B1265" s="6" t="str">
        <f t="shared" si="211"/>
        <v>NIKPRO00888</v>
      </c>
      <c r="C1265" s="7" t="s">
        <v>254</v>
      </c>
      <c r="D1265" s="7" t="s">
        <v>1031</v>
      </c>
      <c r="E1265" s="7" t="str">
        <f t="shared" si="212"/>
        <v>SUHAS SUDHAKARRAO</v>
      </c>
      <c r="F1265" s="7" t="s">
        <v>16</v>
      </c>
      <c r="G1265" s="22">
        <v>42625</v>
      </c>
      <c r="H1265" s="8">
        <v>91842</v>
      </c>
      <c r="I1265" s="7" t="str">
        <f t="shared" si="213"/>
        <v>suhas.sudhakarrao@pr.suo.ba</v>
      </c>
      <c r="J1265" s="6" t="s">
        <v>1547</v>
      </c>
      <c r="K1265" s="6">
        <v>68</v>
      </c>
      <c r="L1265" s="7" t="str">
        <f t="shared" si="214"/>
        <v>pr.suo.ba</v>
      </c>
      <c r="M1265" s="7" t="str">
        <f t="shared" si="215"/>
        <v>S.Suhas</v>
      </c>
      <c r="N1265" s="6">
        <f t="shared" si="221"/>
        <v>0</v>
      </c>
      <c r="O1265" s="6">
        <f t="shared" si="220"/>
        <v>0</v>
      </c>
      <c r="P1265" s="6" t="str">
        <f t="shared" si="216"/>
        <v>N</v>
      </c>
      <c r="Q1265" s="6">
        <f t="shared" si="217"/>
        <v>16</v>
      </c>
      <c r="R1265" s="6" t="str">
        <f t="shared" si="218"/>
        <v>2016</v>
      </c>
      <c r="S1265" s="6" t="str">
        <f t="shared" si="219"/>
        <v>Sep</v>
      </c>
    </row>
    <row r="1266" spans="1:19" x14ac:dyDescent="0.25">
      <c r="A1266" s="6">
        <v>889</v>
      </c>
      <c r="B1266" s="6" t="str">
        <f t="shared" si="211"/>
        <v>NIKPRO00889</v>
      </c>
      <c r="C1266" s="7" t="s">
        <v>1032</v>
      </c>
      <c r="D1266" s="7" t="s">
        <v>68</v>
      </c>
      <c r="E1266" s="7" t="str">
        <f t="shared" si="212"/>
        <v>JINESH KUMAR</v>
      </c>
      <c r="F1266" s="7" t="s">
        <v>16</v>
      </c>
      <c r="G1266" s="22">
        <v>42784</v>
      </c>
      <c r="H1266" s="8">
        <v>31033</v>
      </c>
      <c r="I1266" s="7" t="str">
        <f t="shared" si="213"/>
        <v>jinesh.kumar@pr.kur.ba</v>
      </c>
      <c r="J1266" s="6" t="s">
        <v>1541</v>
      </c>
      <c r="K1266" s="6">
        <v>74</v>
      </c>
      <c r="L1266" s="7" t="str">
        <f t="shared" si="214"/>
        <v>pr.kur.ba</v>
      </c>
      <c r="M1266" s="7" t="str">
        <f t="shared" si="215"/>
        <v>K.Jinesh</v>
      </c>
      <c r="N1266" s="6">
        <f t="shared" si="221"/>
        <v>4</v>
      </c>
      <c r="O1266" s="6">
        <f t="shared" si="220"/>
        <v>0</v>
      </c>
      <c r="P1266" s="6" t="str">
        <f t="shared" si="216"/>
        <v>N</v>
      </c>
      <c r="Q1266" s="6">
        <f t="shared" si="217"/>
        <v>11</v>
      </c>
      <c r="R1266" s="6" t="str">
        <f t="shared" si="218"/>
        <v>2017</v>
      </c>
      <c r="S1266" s="6" t="str">
        <f t="shared" si="219"/>
        <v>Feb</v>
      </c>
    </row>
    <row r="1267" spans="1:19" x14ac:dyDescent="0.25">
      <c r="A1267" s="6">
        <v>897</v>
      </c>
      <c r="B1267" s="6" t="str">
        <f t="shared" si="211"/>
        <v>NIKPRO00897</v>
      </c>
      <c r="C1267" s="7" t="s">
        <v>1036</v>
      </c>
      <c r="D1267" s="7" t="s">
        <v>897</v>
      </c>
      <c r="E1267" s="7" t="str">
        <f t="shared" si="212"/>
        <v>HARITA RAMESH</v>
      </c>
      <c r="F1267" s="7" t="s">
        <v>16</v>
      </c>
      <c r="G1267" s="22">
        <v>43481</v>
      </c>
      <c r="H1267" s="8">
        <v>46578</v>
      </c>
      <c r="I1267" s="7" t="str">
        <f t="shared" si="213"/>
        <v>harita.ramesh@pr.rah.ba</v>
      </c>
      <c r="J1267" s="6" t="s">
        <v>1539</v>
      </c>
      <c r="K1267" s="6">
        <v>84</v>
      </c>
      <c r="L1267" s="7" t="str">
        <f t="shared" si="214"/>
        <v>pr.rah.ba</v>
      </c>
      <c r="M1267" s="7" t="str">
        <f t="shared" si="215"/>
        <v>R.Harita</v>
      </c>
      <c r="N1267" s="6">
        <f t="shared" si="221"/>
        <v>0</v>
      </c>
      <c r="O1267" s="6">
        <f t="shared" si="220"/>
        <v>4</v>
      </c>
      <c r="P1267" s="6" t="str">
        <f t="shared" si="216"/>
        <v>N</v>
      </c>
      <c r="Q1267" s="6">
        <f t="shared" si="217"/>
        <v>12</v>
      </c>
      <c r="R1267" s="6" t="str">
        <f t="shared" si="218"/>
        <v>2019</v>
      </c>
      <c r="S1267" s="6" t="str">
        <f t="shared" si="219"/>
        <v>Jan</v>
      </c>
    </row>
    <row r="1268" spans="1:19" x14ac:dyDescent="0.25">
      <c r="A1268" s="6">
        <v>901</v>
      </c>
      <c r="B1268" s="6" t="str">
        <f t="shared" si="211"/>
        <v>NIKPRO00901</v>
      </c>
      <c r="C1268" s="7" t="s">
        <v>823</v>
      </c>
      <c r="D1268" s="7" t="s">
        <v>49</v>
      </c>
      <c r="E1268" s="7" t="str">
        <f t="shared" si="212"/>
        <v>ANUJ MATHUR</v>
      </c>
      <c r="F1268" s="7" t="s">
        <v>16</v>
      </c>
      <c r="G1268" s="22">
        <v>43570</v>
      </c>
      <c r="H1268" s="8">
        <v>62761</v>
      </c>
      <c r="I1268" s="7" t="str">
        <f t="shared" si="213"/>
        <v>anuj.mathur@pr.mar.ba</v>
      </c>
      <c r="J1268" s="6" t="s">
        <v>1538</v>
      </c>
      <c r="K1268" s="6">
        <v>70</v>
      </c>
      <c r="L1268" s="7" t="str">
        <f t="shared" si="214"/>
        <v>pr.mar.ba</v>
      </c>
      <c r="M1268" s="7" t="str">
        <f t="shared" si="215"/>
        <v>M.Anuj</v>
      </c>
      <c r="N1268" s="6">
        <f t="shared" si="221"/>
        <v>0</v>
      </c>
      <c r="O1268" s="6">
        <f t="shared" si="220"/>
        <v>0</v>
      </c>
      <c r="P1268" s="6" t="str">
        <f t="shared" si="216"/>
        <v>N</v>
      </c>
      <c r="Q1268" s="6">
        <f t="shared" si="217"/>
        <v>10</v>
      </c>
      <c r="R1268" s="6" t="str">
        <f t="shared" si="218"/>
        <v>2019</v>
      </c>
      <c r="S1268" s="6" t="str">
        <f t="shared" si="219"/>
        <v>Apr</v>
      </c>
    </row>
    <row r="1269" spans="1:19" x14ac:dyDescent="0.25">
      <c r="A1269" s="6">
        <v>918</v>
      </c>
      <c r="B1269" s="6" t="str">
        <f t="shared" si="211"/>
        <v>NIKPRO00918</v>
      </c>
      <c r="C1269" s="7" t="s">
        <v>250</v>
      </c>
      <c r="D1269" s="7" t="s">
        <v>1059</v>
      </c>
      <c r="E1269" s="7" t="str">
        <f t="shared" si="212"/>
        <v>TUSHAR RAMI</v>
      </c>
      <c r="F1269" s="7" t="s">
        <v>16</v>
      </c>
      <c r="G1269" s="22">
        <v>43012</v>
      </c>
      <c r="H1269" s="8">
        <v>73476</v>
      </c>
      <c r="I1269" s="7" t="str">
        <f t="shared" si="213"/>
        <v>tushar.rami@pr.rai.ba</v>
      </c>
      <c r="J1269" s="6" t="s">
        <v>1538</v>
      </c>
      <c r="K1269" s="6">
        <v>44</v>
      </c>
      <c r="L1269" s="7" t="str">
        <f t="shared" si="214"/>
        <v>pr.rai.ba</v>
      </c>
      <c r="M1269" s="7" t="str">
        <f t="shared" si="215"/>
        <v>R.Tushar</v>
      </c>
      <c r="N1269" s="6">
        <f t="shared" si="221"/>
        <v>0</v>
      </c>
      <c r="O1269" s="6">
        <f t="shared" si="220"/>
        <v>0</v>
      </c>
      <c r="P1269" s="6" t="str">
        <f t="shared" si="216"/>
        <v>N</v>
      </c>
      <c r="Q1269" s="6">
        <f t="shared" si="217"/>
        <v>10</v>
      </c>
      <c r="R1269" s="6" t="str">
        <f t="shared" si="218"/>
        <v>2017</v>
      </c>
      <c r="S1269" s="6" t="str">
        <f t="shared" si="219"/>
        <v>Oct</v>
      </c>
    </row>
    <row r="1270" spans="1:19" x14ac:dyDescent="0.25">
      <c r="A1270" s="6">
        <v>923</v>
      </c>
      <c r="B1270" s="6" t="str">
        <f t="shared" si="211"/>
        <v>NIKPRO00923</v>
      </c>
      <c r="C1270" s="7" t="s">
        <v>1063</v>
      </c>
      <c r="D1270" s="7" t="s">
        <v>1064</v>
      </c>
      <c r="E1270" s="7" t="str">
        <f t="shared" si="212"/>
        <v>HARIYANI RADHIKA</v>
      </c>
      <c r="F1270" s="7" t="s">
        <v>16</v>
      </c>
      <c r="G1270" s="22">
        <v>43862</v>
      </c>
      <c r="H1270" s="8">
        <v>30237</v>
      </c>
      <c r="I1270" s="7" t="str">
        <f t="shared" si="213"/>
        <v>hariyani.radhika@pr.raa.ba</v>
      </c>
      <c r="J1270" s="6" t="s">
        <v>1549</v>
      </c>
      <c r="K1270" s="6">
        <v>64</v>
      </c>
      <c r="L1270" s="7" t="str">
        <f t="shared" si="214"/>
        <v>pr.raa.ba</v>
      </c>
      <c r="M1270" s="7" t="str">
        <f t="shared" si="215"/>
        <v>R.Hariyani</v>
      </c>
      <c r="N1270" s="6">
        <f t="shared" si="221"/>
        <v>0</v>
      </c>
      <c r="O1270" s="6">
        <f t="shared" si="220"/>
        <v>0</v>
      </c>
      <c r="P1270" s="6" t="str">
        <f t="shared" si="216"/>
        <v>N</v>
      </c>
      <c r="Q1270" s="6">
        <f t="shared" si="217"/>
        <v>15</v>
      </c>
      <c r="R1270" s="6" t="str">
        <f t="shared" si="218"/>
        <v>2020</v>
      </c>
      <c r="S1270" s="6" t="str">
        <f t="shared" si="219"/>
        <v>Feb</v>
      </c>
    </row>
    <row r="1271" spans="1:19" x14ac:dyDescent="0.25">
      <c r="A1271" s="6">
        <v>931</v>
      </c>
      <c r="B1271" s="6" t="str">
        <f t="shared" si="211"/>
        <v>NIKPRO00931</v>
      </c>
      <c r="C1271" s="7" t="s">
        <v>1072</v>
      </c>
      <c r="D1271" s="7" t="s">
        <v>83</v>
      </c>
      <c r="E1271" s="7" t="str">
        <f t="shared" si="212"/>
        <v>AMAN PREM</v>
      </c>
      <c r="F1271" s="7" t="s">
        <v>16</v>
      </c>
      <c r="G1271" s="22">
        <v>43739</v>
      </c>
      <c r="H1271" s="8">
        <v>108676</v>
      </c>
      <c r="I1271" s="7" t="str">
        <f t="shared" si="213"/>
        <v>aman.prem@pr.prm.ba</v>
      </c>
      <c r="J1271" s="6" t="s">
        <v>1540</v>
      </c>
      <c r="K1271" s="6">
        <v>81</v>
      </c>
      <c r="L1271" s="7" t="str">
        <f t="shared" si="214"/>
        <v>pr.prm.ba</v>
      </c>
      <c r="M1271" s="7" t="str">
        <f t="shared" si="215"/>
        <v>P.Aman</v>
      </c>
      <c r="N1271" s="6">
        <f t="shared" si="221"/>
        <v>0</v>
      </c>
      <c r="O1271" s="6">
        <f t="shared" si="220"/>
        <v>3</v>
      </c>
      <c r="P1271" s="6" t="str">
        <f t="shared" si="216"/>
        <v>N</v>
      </c>
      <c r="Q1271" s="6">
        <f t="shared" si="217"/>
        <v>8</v>
      </c>
      <c r="R1271" s="6" t="str">
        <f t="shared" si="218"/>
        <v>2019</v>
      </c>
      <c r="S1271" s="6" t="str">
        <f t="shared" si="219"/>
        <v>Oct</v>
      </c>
    </row>
    <row r="1272" spans="1:19" x14ac:dyDescent="0.25">
      <c r="A1272" s="6">
        <v>944</v>
      </c>
      <c r="B1272" s="6" t="str">
        <f t="shared" si="211"/>
        <v>NIKPRO00944</v>
      </c>
      <c r="C1272" s="7" t="s">
        <v>1078</v>
      </c>
      <c r="D1272" s="7" t="s">
        <v>1079</v>
      </c>
      <c r="E1272" s="7" t="str">
        <f t="shared" si="212"/>
        <v>VIRAT RAMESHBHAI</v>
      </c>
      <c r="F1272" s="7" t="s">
        <v>16</v>
      </c>
      <c r="G1272" s="22">
        <v>43283</v>
      </c>
      <c r="H1272" s="8">
        <v>47786</v>
      </c>
      <c r="I1272" s="7" t="str">
        <f t="shared" si="213"/>
        <v>virat.rameshbhai@pr.rai.ba</v>
      </c>
      <c r="J1272" s="6" t="s">
        <v>1549</v>
      </c>
      <c r="K1272" s="6">
        <v>72</v>
      </c>
      <c r="L1272" s="7" t="str">
        <f t="shared" si="214"/>
        <v>pr.rai.ba</v>
      </c>
      <c r="M1272" s="7" t="str">
        <f t="shared" si="215"/>
        <v>R.Virat</v>
      </c>
      <c r="N1272" s="6">
        <f t="shared" si="221"/>
        <v>0</v>
      </c>
      <c r="O1272" s="6">
        <f t="shared" si="220"/>
        <v>4</v>
      </c>
      <c r="P1272" s="6" t="str">
        <f t="shared" si="216"/>
        <v>N</v>
      </c>
      <c r="Q1272" s="6">
        <f t="shared" si="217"/>
        <v>15</v>
      </c>
      <c r="R1272" s="6" t="str">
        <f t="shared" si="218"/>
        <v>2018</v>
      </c>
      <c r="S1272" s="6" t="str">
        <f t="shared" si="219"/>
        <v>Jul</v>
      </c>
    </row>
    <row r="1273" spans="1:19" x14ac:dyDescent="0.25">
      <c r="A1273" s="6">
        <v>946</v>
      </c>
      <c r="B1273" s="6" t="str">
        <f t="shared" si="211"/>
        <v>NIKPRO00946</v>
      </c>
      <c r="C1273" s="7" t="s">
        <v>690</v>
      </c>
      <c r="D1273" s="7" t="s">
        <v>55</v>
      </c>
      <c r="E1273" s="7" t="str">
        <f t="shared" si="212"/>
        <v>SHILPA SHARMA</v>
      </c>
      <c r="F1273" s="7" t="s">
        <v>16</v>
      </c>
      <c r="G1273" s="22">
        <v>43586</v>
      </c>
      <c r="H1273" s="8">
        <v>92018</v>
      </c>
      <c r="I1273" s="7" t="str">
        <f t="shared" si="213"/>
        <v>shilpa.sharma@pr.sha.ba</v>
      </c>
      <c r="J1273" s="6" t="s">
        <v>1547</v>
      </c>
      <c r="K1273" s="6">
        <v>49</v>
      </c>
      <c r="L1273" s="7" t="str">
        <f t="shared" si="214"/>
        <v>pr.sha.ba</v>
      </c>
      <c r="M1273" s="7" t="str">
        <f t="shared" si="215"/>
        <v>S.Shilpa</v>
      </c>
      <c r="N1273" s="6">
        <f t="shared" si="221"/>
        <v>0</v>
      </c>
      <c r="O1273" s="6">
        <f t="shared" si="220"/>
        <v>0</v>
      </c>
      <c r="P1273" s="6" t="str">
        <f t="shared" si="216"/>
        <v>N</v>
      </c>
      <c r="Q1273" s="6">
        <f t="shared" si="217"/>
        <v>12</v>
      </c>
      <c r="R1273" s="6" t="str">
        <f t="shared" si="218"/>
        <v>2019</v>
      </c>
      <c r="S1273" s="6" t="str">
        <f t="shared" si="219"/>
        <v>May</v>
      </c>
    </row>
    <row r="1274" spans="1:19" x14ac:dyDescent="0.25">
      <c r="A1274" s="6">
        <v>956</v>
      </c>
      <c r="B1274" s="6" t="str">
        <f t="shared" si="211"/>
        <v>NIKPRO00956</v>
      </c>
      <c r="C1274" s="7" t="s">
        <v>747</v>
      </c>
      <c r="D1274" s="7" t="s">
        <v>1085</v>
      </c>
      <c r="E1274" s="7" t="str">
        <f t="shared" si="212"/>
        <v>SONAL HIRALAL</v>
      </c>
      <c r="F1274" s="7" t="s">
        <v>16</v>
      </c>
      <c r="G1274" s="22">
        <v>43710</v>
      </c>
      <c r="H1274" s="8">
        <v>63053</v>
      </c>
      <c r="I1274" s="7" t="str">
        <f t="shared" si="213"/>
        <v>sonal.hiralal@pr.hil.ba</v>
      </c>
      <c r="J1274" s="6" t="s">
        <v>1545</v>
      </c>
      <c r="K1274" s="6">
        <v>70</v>
      </c>
      <c r="L1274" s="7" t="str">
        <f t="shared" si="214"/>
        <v>pr.hil.ba</v>
      </c>
      <c r="M1274" s="7" t="str">
        <f t="shared" si="215"/>
        <v>H.Sonal</v>
      </c>
      <c r="N1274" s="6">
        <f t="shared" si="221"/>
        <v>0</v>
      </c>
      <c r="O1274" s="6">
        <f t="shared" si="220"/>
        <v>0</v>
      </c>
      <c r="P1274" s="6" t="str">
        <f t="shared" si="216"/>
        <v>N</v>
      </c>
      <c r="Q1274" s="6">
        <f t="shared" si="217"/>
        <v>12</v>
      </c>
      <c r="R1274" s="6" t="str">
        <f t="shared" si="218"/>
        <v>2019</v>
      </c>
      <c r="S1274" s="6" t="str">
        <f t="shared" si="219"/>
        <v>Sep</v>
      </c>
    </row>
    <row r="1275" spans="1:19" x14ac:dyDescent="0.25">
      <c r="A1275" s="6">
        <v>965</v>
      </c>
      <c r="B1275" s="6" t="str">
        <f t="shared" si="211"/>
        <v>NIKPRO00965</v>
      </c>
      <c r="C1275" s="7" t="s">
        <v>71</v>
      </c>
      <c r="D1275" s="7" t="s">
        <v>539</v>
      </c>
      <c r="E1275" s="7" t="str">
        <f t="shared" si="212"/>
        <v>ARUN TOMAR</v>
      </c>
      <c r="F1275" s="7" t="s">
        <v>16</v>
      </c>
      <c r="G1275" s="22">
        <v>43717</v>
      </c>
      <c r="H1275" s="8">
        <v>96077</v>
      </c>
      <c r="I1275" s="7" t="str">
        <f t="shared" si="213"/>
        <v>arun.tomar@pr.tor.ba</v>
      </c>
      <c r="J1275" s="6" t="s">
        <v>1539</v>
      </c>
      <c r="K1275" s="6">
        <v>85</v>
      </c>
      <c r="L1275" s="7" t="str">
        <f t="shared" si="214"/>
        <v>pr.tor.ba</v>
      </c>
      <c r="M1275" s="7" t="str">
        <f t="shared" si="215"/>
        <v>T.Arun</v>
      </c>
      <c r="N1275" s="6">
        <f t="shared" si="221"/>
        <v>0</v>
      </c>
      <c r="O1275" s="6">
        <f t="shared" si="220"/>
        <v>0</v>
      </c>
      <c r="P1275" s="6" t="str">
        <f t="shared" si="216"/>
        <v>N</v>
      </c>
      <c r="Q1275" s="6">
        <f t="shared" si="217"/>
        <v>9</v>
      </c>
      <c r="R1275" s="6" t="str">
        <f t="shared" si="218"/>
        <v>2019</v>
      </c>
      <c r="S1275" s="6" t="str">
        <f t="shared" si="219"/>
        <v>Sep</v>
      </c>
    </row>
    <row r="1276" spans="1:19" x14ac:dyDescent="0.25">
      <c r="A1276" s="6">
        <v>969</v>
      </c>
      <c r="B1276" s="6" t="str">
        <f t="shared" si="211"/>
        <v>NIKPRO00969</v>
      </c>
      <c r="C1276" s="7" t="s">
        <v>1096</v>
      </c>
      <c r="D1276" s="7" t="s">
        <v>1097</v>
      </c>
      <c r="E1276" s="7" t="str">
        <f t="shared" si="212"/>
        <v>DIMPAL TANWAR</v>
      </c>
      <c r="F1276" s="7" t="s">
        <v>16</v>
      </c>
      <c r="G1276" s="22">
        <v>43252</v>
      </c>
      <c r="H1276" s="8">
        <v>38037</v>
      </c>
      <c r="I1276" s="7" t="str">
        <f t="shared" si="213"/>
        <v>dimpal.tanwar@pr.tar.ba</v>
      </c>
      <c r="J1276" s="6" t="s">
        <v>1551</v>
      </c>
      <c r="K1276" s="6">
        <v>44</v>
      </c>
      <c r="L1276" s="7" t="str">
        <f t="shared" si="214"/>
        <v>pr.tar.ba</v>
      </c>
      <c r="M1276" s="7" t="str">
        <f t="shared" si="215"/>
        <v>T.Dimpal</v>
      </c>
      <c r="N1276" s="6">
        <f t="shared" si="221"/>
        <v>0</v>
      </c>
      <c r="O1276" s="6">
        <f t="shared" si="220"/>
        <v>0</v>
      </c>
      <c r="P1276" s="6" t="str">
        <f t="shared" si="216"/>
        <v>N</v>
      </c>
      <c r="Q1276" s="6">
        <f t="shared" si="217"/>
        <v>12</v>
      </c>
      <c r="R1276" s="6" t="str">
        <f t="shared" si="218"/>
        <v>2018</v>
      </c>
      <c r="S1276" s="6" t="str">
        <f t="shared" si="219"/>
        <v>Jun</v>
      </c>
    </row>
    <row r="1277" spans="1:19" x14ac:dyDescent="0.25">
      <c r="A1277" s="6">
        <v>970</v>
      </c>
      <c r="B1277" s="6" t="str">
        <f t="shared" si="211"/>
        <v>NIKPRO00970</v>
      </c>
      <c r="C1277" s="7" t="s">
        <v>1098</v>
      </c>
      <c r="D1277" s="7" t="s">
        <v>1099</v>
      </c>
      <c r="E1277" s="7" t="str">
        <f t="shared" si="212"/>
        <v>SNEHA NAGESH</v>
      </c>
      <c r="F1277" s="7" t="s">
        <v>16</v>
      </c>
      <c r="G1277" s="22">
        <v>43710</v>
      </c>
      <c r="H1277" s="8">
        <v>90009</v>
      </c>
      <c r="I1277" s="7" t="str">
        <f t="shared" si="213"/>
        <v>sneha.nagesh@pr.nah.ba</v>
      </c>
      <c r="J1277" s="6" t="s">
        <v>1549</v>
      </c>
      <c r="K1277" s="6">
        <v>72</v>
      </c>
      <c r="L1277" s="7" t="str">
        <f t="shared" si="214"/>
        <v>pr.nah.ba</v>
      </c>
      <c r="M1277" s="7" t="str">
        <f t="shared" si="215"/>
        <v>N.Sneha</v>
      </c>
      <c r="N1277" s="6">
        <f t="shared" si="221"/>
        <v>3</v>
      </c>
      <c r="O1277" s="6">
        <f t="shared" si="220"/>
        <v>4</v>
      </c>
      <c r="P1277" s="6" t="str">
        <f t="shared" si="216"/>
        <v>Y</v>
      </c>
      <c r="Q1277" s="6">
        <f t="shared" si="217"/>
        <v>11</v>
      </c>
      <c r="R1277" s="6" t="str">
        <f t="shared" si="218"/>
        <v>2019</v>
      </c>
      <c r="S1277" s="6" t="str">
        <f t="shared" si="219"/>
        <v>Sep</v>
      </c>
    </row>
    <row r="1278" spans="1:19" x14ac:dyDescent="0.25">
      <c r="A1278" s="6">
        <v>973</v>
      </c>
      <c r="B1278" s="6" t="str">
        <f t="shared" si="211"/>
        <v>NIKPRO00973</v>
      </c>
      <c r="C1278" s="7" t="s">
        <v>1053</v>
      </c>
      <c r="D1278" s="7" t="s">
        <v>140</v>
      </c>
      <c r="E1278" s="7" t="str">
        <f t="shared" si="212"/>
        <v>HIMANI MISHRA</v>
      </c>
      <c r="F1278" s="7" t="s">
        <v>16</v>
      </c>
      <c r="G1278" s="22">
        <v>43600</v>
      </c>
      <c r="H1278" s="8">
        <v>48514</v>
      </c>
      <c r="I1278" s="7" t="str">
        <f t="shared" si="213"/>
        <v>himani.mishra@pr.mia.ba</v>
      </c>
      <c r="J1278" s="6" t="s">
        <v>1540</v>
      </c>
      <c r="K1278" s="6">
        <v>76</v>
      </c>
      <c r="L1278" s="7" t="str">
        <f t="shared" si="214"/>
        <v>pr.mia.ba</v>
      </c>
      <c r="M1278" s="7" t="str">
        <f t="shared" si="215"/>
        <v>M.Himani</v>
      </c>
      <c r="N1278" s="6">
        <f t="shared" si="221"/>
        <v>0</v>
      </c>
      <c r="O1278" s="6">
        <f t="shared" si="220"/>
        <v>0</v>
      </c>
      <c r="P1278" s="6" t="str">
        <f t="shared" si="216"/>
        <v>N</v>
      </c>
      <c r="Q1278" s="6">
        <f t="shared" si="217"/>
        <v>12</v>
      </c>
      <c r="R1278" s="6" t="str">
        <f t="shared" si="218"/>
        <v>2019</v>
      </c>
      <c r="S1278" s="6" t="str">
        <f t="shared" si="219"/>
        <v>May</v>
      </c>
    </row>
    <row r="1279" spans="1:19" x14ac:dyDescent="0.25">
      <c r="A1279" s="6">
        <v>990</v>
      </c>
      <c r="B1279" s="6" t="str">
        <f t="shared" si="211"/>
        <v>NIKPRO00990</v>
      </c>
      <c r="C1279" s="7" t="s">
        <v>309</v>
      </c>
      <c r="D1279" s="7" t="s">
        <v>1116</v>
      </c>
      <c r="E1279" s="7" t="str">
        <f t="shared" si="212"/>
        <v>SUMIT UDAYKUMAR</v>
      </c>
      <c r="F1279" s="7" t="s">
        <v>16</v>
      </c>
      <c r="G1279" s="22">
        <v>42917</v>
      </c>
      <c r="H1279" s="8">
        <v>33986</v>
      </c>
      <c r="I1279" s="7" t="str">
        <f t="shared" si="213"/>
        <v>sumit.udaykumar@pr.udr.ba</v>
      </c>
      <c r="J1279" s="6" t="s">
        <v>1536</v>
      </c>
      <c r="K1279" s="6">
        <v>76</v>
      </c>
      <c r="L1279" s="7" t="str">
        <f t="shared" si="214"/>
        <v>pr.udr.ba</v>
      </c>
      <c r="M1279" s="7" t="str">
        <f t="shared" si="215"/>
        <v>U.Sumit</v>
      </c>
      <c r="N1279" s="6">
        <f t="shared" si="221"/>
        <v>0</v>
      </c>
      <c r="O1279" s="6">
        <f t="shared" si="220"/>
        <v>0</v>
      </c>
      <c r="P1279" s="6" t="str">
        <f t="shared" si="216"/>
        <v>N</v>
      </c>
      <c r="Q1279" s="6">
        <f t="shared" si="217"/>
        <v>14</v>
      </c>
      <c r="R1279" s="6" t="str">
        <f t="shared" si="218"/>
        <v>2017</v>
      </c>
      <c r="S1279" s="6" t="str">
        <f t="shared" si="219"/>
        <v>Jul</v>
      </c>
    </row>
    <row r="1280" spans="1:19" x14ac:dyDescent="0.25">
      <c r="A1280" s="6">
        <v>991</v>
      </c>
      <c r="B1280" s="6" t="str">
        <f t="shared" si="211"/>
        <v>NIKPRO00991</v>
      </c>
      <c r="C1280" s="7" t="s">
        <v>261</v>
      </c>
      <c r="D1280" s="7" t="s">
        <v>1117</v>
      </c>
      <c r="E1280" s="7" t="str">
        <f t="shared" si="212"/>
        <v>ADITYA ZINGRU</v>
      </c>
      <c r="F1280" s="7" t="s">
        <v>16</v>
      </c>
      <c r="G1280" s="22">
        <v>43346</v>
      </c>
      <c r="H1280" s="8">
        <v>90570</v>
      </c>
      <c r="I1280" s="7" t="str">
        <f t="shared" si="213"/>
        <v>aditya.zingru@pr.ziu.ba</v>
      </c>
      <c r="J1280" s="6" t="s">
        <v>1541</v>
      </c>
      <c r="K1280" s="6">
        <v>74</v>
      </c>
      <c r="L1280" s="7" t="str">
        <f t="shared" si="214"/>
        <v>pr.ziu.ba</v>
      </c>
      <c r="M1280" s="7" t="str">
        <f t="shared" si="215"/>
        <v>Z.Aditya</v>
      </c>
      <c r="N1280" s="6">
        <f t="shared" si="221"/>
        <v>0</v>
      </c>
      <c r="O1280" s="6">
        <f t="shared" si="220"/>
        <v>0</v>
      </c>
      <c r="P1280" s="6" t="str">
        <f t="shared" si="216"/>
        <v>N</v>
      </c>
      <c r="Q1280" s="6">
        <f t="shared" si="217"/>
        <v>12</v>
      </c>
      <c r="R1280" s="6" t="str">
        <f t="shared" si="218"/>
        <v>2018</v>
      </c>
      <c r="S1280" s="6" t="str">
        <f t="shared" si="219"/>
        <v>Sep</v>
      </c>
    </row>
    <row r="1281" spans="1:19" x14ac:dyDescent="0.25">
      <c r="A1281" s="6">
        <v>1013</v>
      </c>
      <c r="B1281" s="6" t="str">
        <f t="shared" si="211"/>
        <v>NIKPRO01013</v>
      </c>
      <c r="C1281" s="7" t="s">
        <v>1142</v>
      </c>
      <c r="D1281" s="7" t="s">
        <v>1143</v>
      </c>
      <c r="E1281" s="7" t="str">
        <f t="shared" si="212"/>
        <v>NISHIT CHAUN</v>
      </c>
      <c r="F1281" s="7" t="s">
        <v>16</v>
      </c>
      <c r="G1281" s="22">
        <v>43283</v>
      </c>
      <c r="H1281" s="8">
        <v>62636</v>
      </c>
      <c r="I1281" s="7" t="str">
        <f t="shared" si="213"/>
        <v>nishit.chaun@pr.chn.ba</v>
      </c>
      <c r="J1281" s="6" t="s">
        <v>1533</v>
      </c>
      <c r="K1281" s="6">
        <v>57</v>
      </c>
      <c r="L1281" s="7" t="str">
        <f t="shared" si="214"/>
        <v>pr.chn.ba</v>
      </c>
      <c r="M1281" s="7" t="str">
        <f t="shared" si="215"/>
        <v>C.Nishit</v>
      </c>
      <c r="N1281" s="6">
        <f t="shared" si="221"/>
        <v>0</v>
      </c>
      <c r="O1281" s="6">
        <f t="shared" si="220"/>
        <v>0</v>
      </c>
      <c r="P1281" s="6" t="str">
        <f t="shared" si="216"/>
        <v>N</v>
      </c>
      <c r="Q1281" s="6">
        <f t="shared" si="217"/>
        <v>11</v>
      </c>
      <c r="R1281" s="6" t="str">
        <f t="shared" si="218"/>
        <v>2018</v>
      </c>
      <c r="S1281" s="6" t="str">
        <f t="shared" si="219"/>
        <v>Jul</v>
      </c>
    </row>
    <row r="1282" spans="1:19" x14ac:dyDescent="0.25">
      <c r="A1282" s="6">
        <v>1031</v>
      </c>
      <c r="B1282" s="6" t="str">
        <f t="shared" ref="B1282:B1345" si="222">_xlfn.TEXTJOIN("",TRUE,"NIK",UPPER(LEFT(SUBSTITUTE(SUBSTITUTE(F1282," ",""),"&amp;",""),3)),TEXT(A1282,"00000"))</f>
        <v>NIKPRO01031</v>
      </c>
      <c r="C1282" s="7" t="s">
        <v>305</v>
      </c>
      <c r="D1282" s="7" t="s">
        <v>241</v>
      </c>
      <c r="E1282" s="7" t="str">
        <f t="shared" ref="E1282:E1345" si="223">_xlfn.TEXTJOIN(" ",TRUE,C1282,D1282)</f>
        <v>VAISHNAVI KISHOR</v>
      </c>
      <c r="F1282" s="7" t="s">
        <v>16</v>
      </c>
      <c r="G1282" s="22">
        <v>43083</v>
      </c>
      <c r="H1282" s="8">
        <v>55319</v>
      </c>
      <c r="I1282" s="7" t="str">
        <f t="shared" ref="I1282:I1345" si="224">LOWER(C1282&amp;"."&amp;D1282&amp;"@"&amp;LEFT(SUBSTITUTE(F1282," ",""),2))&amp;LOWER("."&amp;LEFT(D1282,2))&amp;LOWER(RIGHT(D1282,1))&amp;".ba"</f>
        <v>vaishnavi.kishor@pr.kir.ba</v>
      </c>
      <c r="J1282" s="6" t="s">
        <v>1532</v>
      </c>
      <c r="K1282" s="6">
        <v>40</v>
      </c>
      <c r="L1282" s="7" t="str">
        <f t="shared" ref="L1282:L1345" si="225">RIGHT(I1282,LEN(I1282)-FIND("@",I1282))</f>
        <v>pr.kir.ba</v>
      </c>
      <c r="M1282" s="7" t="str">
        <f t="shared" ref="M1282:M1345" si="226">UPPER(LEFT(D1282,1))&amp;"."&amp;PROPER(C1282)</f>
        <v>K.Vaishnavi</v>
      </c>
      <c r="N1282" s="6">
        <f t="shared" si="221"/>
        <v>0</v>
      </c>
      <c r="O1282" s="6">
        <f t="shared" si="220"/>
        <v>0</v>
      </c>
      <c r="P1282" s="6" t="str">
        <f t="shared" ref="P1282:P1345" si="227">IF(AND(N1282&gt;=1,O1282&gt;=1),"Y","N")</f>
        <v>N</v>
      </c>
      <c r="Q1282" s="6">
        <f t="shared" ref="Q1282:Q1345" si="228">LEN(SUBSTITUTE(E1282, " ", ""))</f>
        <v>15</v>
      </c>
      <c r="R1282" s="6" t="str">
        <f t="shared" ref="R1282:R1345" si="229">TEXT(G1282,"YYYY")</f>
        <v>2017</v>
      </c>
      <c r="S1282" s="6" t="str">
        <f t="shared" ref="S1282:S1345" si="230">TEXT(G1282,"MMM")</f>
        <v>Dec</v>
      </c>
    </row>
    <row r="1283" spans="1:19" x14ac:dyDescent="0.25">
      <c r="A1283" s="6">
        <v>1032</v>
      </c>
      <c r="B1283" s="6" t="str">
        <f t="shared" si="222"/>
        <v>NIKPRO01032</v>
      </c>
      <c r="C1283" s="7" t="s">
        <v>19</v>
      </c>
      <c r="D1283" s="7" t="s">
        <v>260</v>
      </c>
      <c r="E1283" s="7" t="str">
        <f t="shared" si="223"/>
        <v>AMIT YADAV</v>
      </c>
      <c r="F1283" s="7" t="s">
        <v>16</v>
      </c>
      <c r="G1283" s="22">
        <v>42485</v>
      </c>
      <c r="H1283" s="8">
        <v>51274</v>
      </c>
      <c r="I1283" s="7" t="str">
        <f t="shared" si="224"/>
        <v>amit.yadav@pr.yav.ba</v>
      </c>
      <c r="J1283" s="6" t="s">
        <v>1535</v>
      </c>
      <c r="K1283" s="6">
        <v>61</v>
      </c>
      <c r="L1283" s="7" t="str">
        <f t="shared" si="225"/>
        <v>pr.yav.ba</v>
      </c>
      <c r="M1283" s="7" t="str">
        <f t="shared" si="226"/>
        <v>Y.Amit</v>
      </c>
      <c r="N1283" s="6">
        <f t="shared" si="221"/>
        <v>0</v>
      </c>
      <c r="O1283" s="6">
        <f t="shared" si="220"/>
        <v>0</v>
      </c>
      <c r="P1283" s="6" t="str">
        <f t="shared" si="227"/>
        <v>N</v>
      </c>
      <c r="Q1283" s="6">
        <f t="shared" si="228"/>
        <v>9</v>
      </c>
      <c r="R1283" s="6" t="str">
        <f t="shared" si="229"/>
        <v>2016</v>
      </c>
      <c r="S1283" s="6" t="str">
        <f t="shared" si="230"/>
        <v>Apr</v>
      </c>
    </row>
    <row r="1284" spans="1:19" x14ac:dyDescent="0.25">
      <c r="A1284" s="6">
        <v>1043</v>
      </c>
      <c r="B1284" s="6" t="str">
        <f t="shared" si="222"/>
        <v>NIKPRO01043</v>
      </c>
      <c r="C1284" s="7" t="s">
        <v>724</v>
      </c>
      <c r="D1284" s="7" t="s">
        <v>1162</v>
      </c>
      <c r="E1284" s="7" t="str">
        <f t="shared" si="223"/>
        <v>MANISHA KANANI</v>
      </c>
      <c r="F1284" s="7" t="s">
        <v>16</v>
      </c>
      <c r="G1284" s="22">
        <v>42767</v>
      </c>
      <c r="H1284" s="8">
        <v>84755</v>
      </c>
      <c r="I1284" s="7" t="str">
        <f t="shared" si="224"/>
        <v>manisha.kanani@pr.kai.ba</v>
      </c>
      <c r="J1284" s="6" t="s">
        <v>1548</v>
      </c>
      <c r="K1284" s="6">
        <v>68</v>
      </c>
      <c r="L1284" s="7" t="str">
        <f t="shared" si="225"/>
        <v>pr.kai.ba</v>
      </c>
      <c r="M1284" s="7" t="str">
        <f t="shared" si="226"/>
        <v>K.Manisha</v>
      </c>
      <c r="N1284" s="6">
        <f t="shared" si="221"/>
        <v>0</v>
      </c>
      <c r="O1284" s="6">
        <f t="shared" si="220"/>
        <v>0</v>
      </c>
      <c r="P1284" s="6" t="str">
        <f t="shared" si="227"/>
        <v>N</v>
      </c>
      <c r="Q1284" s="6">
        <f t="shared" si="228"/>
        <v>13</v>
      </c>
      <c r="R1284" s="6" t="str">
        <f t="shared" si="229"/>
        <v>2017</v>
      </c>
      <c r="S1284" s="6" t="str">
        <f t="shared" si="230"/>
        <v>Feb</v>
      </c>
    </row>
    <row r="1285" spans="1:19" x14ac:dyDescent="0.25">
      <c r="A1285" s="6">
        <v>1044</v>
      </c>
      <c r="B1285" s="6" t="str">
        <f t="shared" si="222"/>
        <v>NIKPRO01044</v>
      </c>
      <c r="C1285" s="7" t="s">
        <v>591</v>
      </c>
      <c r="D1285" s="7" t="s">
        <v>68</v>
      </c>
      <c r="E1285" s="7" t="str">
        <f t="shared" si="223"/>
        <v>RAJAT KUMAR</v>
      </c>
      <c r="F1285" s="7" t="s">
        <v>16</v>
      </c>
      <c r="G1285" s="22">
        <v>43661</v>
      </c>
      <c r="H1285" s="8">
        <v>105888</v>
      </c>
      <c r="I1285" s="7" t="str">
        <f t="shared" si="224"/>
        <v>rajat.kumar@pr.kur.ba</v>
      </c>
      <c r="J1285" s="6" t="s">
        <v>1543</v>
      </c>
      <c r="K1285" s="6">
        <v>71</v>
      </c>
      <c r="L1285" s="7" t="str">
        <f t="shared" si="225"/>
        <v>pr.kur.ba</v>
      </c>
      <c r="M1285" s="7" t="str">
        <f t="shared" si="226"/>
        <v>K.Rajat</v>
      </c>
      <c r="N1285" s="6">
        <f t="shared" si="221"/>
        <v>0</v>
      </c>
      <c r="O1285" s="6">
        <f t="shared" si="220"/>
        <v>0</v>
      </c>
      <c r="P1285" s="6" t="str">
        <f t="shared" si="227"/>
        <v>N</v>
      </c>
      <c r="Q1285" s="6">
        <f t="shared" si="228"/>
        <v>10</v>
      </c>
      <c r="R1285" s="6" t="str">
        <f t="shared" si="229"/>
        <v>2019</v>
      </c>
      <c r="S1285" s="6" t="str">
        <f t="shared" si="230"/>
        <v>Jul</v>
      </c>
    </row>
    <row r="1286" spans="1:19" x14ac:dyDescent="0.25">
      <c r="A1286" s="6">
        <v>1046</v>
      </c>
      <c r="B1286" s="6" t="str">
        <f t="shared" si="222"/>
        <v>NIKPRO01046</v>
      </c>
      <c r="C1286" s="7" t="s">
        <v>689</v>
      </c>
      <c r="D1286" s="7" t="s">
        <v>55</v>
      </c>
      <c r="E1286" s="7" t="str">
        <f t="shared" si="223"/>
        <v>HARENDRA SHARMA</v>
      </c>
      <c r="F1286" s="7" t="s">
        <v>16</v>
      </c>
      <c r="G1286" s="22">
        <v>43710</v>
      </c>
      <c r="H1286" s="8">
        <v>44978</v>
      </c>
      <c r="I1286" s="7" t="str">
        <f t="shared" si="224"/>
        <v>harendra.sharma@pr.sha.ba</v>
      </c>
      <c r="J1286" s="6" t="s">
        <v>1534</v>
      </c>
      <c r="K1286" s="6">
        <v>46</v>
      </c>
      <c r="L1286" s="7" t="str">
        <f t="shared" si="225"/>
        <v>pr.sha.ba</v>
      </c>
      <c r="M1286" s="7" t="str">
        <f t="shared" si="226"/>
        <v>S.Harendra</v>
      </c>
      <c r="N1286" s="6">
        <f t="shared" si="221"/>
        <v>4</v>
      </c>
      <c r="O1286" s="6">
        <f t="shared" si="220"/>
        <v>0</v>
      </c>
      <c r="P1286" s="6" t="str">
        <f t="shared" si="227"/>
        <v>N</v>
      </c>
      <c r="Q1286" s="6">
        <f t="shared" si="228"/>
        <v>14</v>
      </c>
      <c r="R1286" s="6" t="str">
        <f t="shared" si="229"/>
        <v>2019</v>
      </c>
      <c r="S1286" s="6" t="str">
        <f t="shared" si="230"/>
        <v>Sep</v>
      </c>
    </row>
    <row r="1287" spans="1:19" x14ac:dyDescent="0.25">
      <c r="A1287" s="6">
        <v>1049</v>
      </c>
      <c r="B1287" s="6" t="str">
        <f t="shared" si="222"/>
        <v>NIKPRO01049</v>
      </c>
      <c r="C1287" s="7" t="s">
        <v>1165</v>
      </c>
      <c r="D1287" s="7" t="s">
        <v>68</v>
      </c>
      <c r="E1287" s="7" t="str">
        <f t="shared" si="223"/>
        <v>BHUSHAN KUMAR</v>
      </c>
      <c r="F1287" s="7" t="s">
        <v>16</v>
      </c>
      <c r="G1287" s="22">
        <v>43720</v>
      </c>
      <c r="H1287" s="8">
        <v>80234</v>
      </c>
      <c r="I1287" s="7" t="str">
        <f t="shared" si="224"/>
        <v>bhushan.kumar@pr.kur.ba</v>
      </c>
      <c r="J1287" s="6" t="s">
        <v>1545</v>
      </c>
      <c r="K1287" s="6">
        <v>48</v>
      </c>
      <c r="L1287" s="7" t="str">
        <f t="shared" si="225"/>
        <v>pr.kur.ba</v>
      </c>
      <c r="M1287" s="7" t="str">
        <f t="shared" si="226"/>
        <v>K.Bhushan</v>
      </c>
      <c r="N1287" s="6">
        <f t="shared" si="221"/>
        <v>0</v>
      </c>
      <c r="O1287" s="6">
        <f t="shared" si="220"/>
        <v>0</v>
      </c>
      <c r="P1287" s="6" t="str">
        <f t="shared" si="227"/>
        <v>N</v>
      </c>
      <c r="Q1287" s="6">
        <f t="shared" si="228"/>
        <v>12</v>
      </c>
      <c r="R1287" s="6" t="str">
        <f t="shared" si="229"/>
        <v>2019</v>
      </c>
      <c r="S1287" s="6" t="str">
        <f t="shared" si="230"/>
        <v>Sep</v>
      </c>
    </row>
    <row r="1288" spans="1:19" x14ac:dyDescent="0.25">
      <c r="A1288" s="6">
        <v>1060</v>
      </c>
      <c r="B1288" s="6" t="str">
        <f t="shared" si="222"/>
        <v>NIKPRO01060</v>
      </c>
      <c r="C1288" s="7" t="s">
        <v>389</v>
      </c>
      <c r="D1288" s="7" t="s">
        <v>339</v>
      </c>
      <c r="E1288" s="7" t="str">
        <f t="shared" si="223"/>
        <v>MADHURI SEN</v>
      </c>
      <c r="F1288" s="7" t="s">
        <v>16</v>
      </c>
      <c r="G1288" s="22">
        <v>42737</v>
      </c>
      <c r="H1288" s="8">
        <v>40445</v>
      </c>
      <c r="I1288" s="7" t="str">
        <f t="shared" si="224"/>
        <v>madhuri.sen@pr.sen.ba</v>
      </c>
      <c r="J1288" s="6" t="s">
        <v>1547</v>
      </c>
      <c r="K1288" s="6">
        <v>88</v>
      </c>
      <c r="L1288" s="7" t="str">
        <f t="shared" si="225"/>
        <v>pr.sen.ba</v>
      </c>
      <c r="M1288" s="7" t="str">
        <f t="shared" si="226"/>
        <v>S.Madhuri</v>
      </c>
      <c r="N1288" s="6">
        <f t="shared" si="221"/>
        <v>0</v>
      </c>
      <c r="O1288" s="6">
        <f t="shared" si="220"/>
        <v>2</v>
      </c>
      <c r="P1288" s="6" t="str">
        <f t="shared" si="227"/>
        <v>N</v>
      </c>
      <c r="Q1288" s="6">
        <f t="shared" si="228"/>
        <v>10</v>
      </c>
      <c r="R1288" s="6" t="str">
        <f t="shared" si="229"/>
        <v>2017</v>
      </c>
      <c r="S1288" s="6" t="str">
        <f t="shared" si="230"/>
        <v>Jan</v>
      </c>
    </row>
    <row r="1289" spans="1:19" x14ac:dyDescent="0.25">
      <c r="A1289" s="6">
        <v>1067</v>
      </c>
      <c r="B1289" s="6" t="str">
        <f t="shared" si="222"/>
        <v>NIKPRO01067</v>
      </c>
      <c r="C1289" s="7" t="s">
        <v>128</v>
      </c>
      <c r="D1289" s="7" t="s">
        <v>68</v>
      </c>
      <c r="E1289" s="7" t="str">
        <f t="shared" si="223"/>
        <v>PRAVEEN KUMAR</v>
      </c>
      <c r="F1289" s="7" t="s">
        <v>16</v>
      </c>
      <c r="G1289" s="22">
        <v>43328</v>
      </c>
      <c r="H1289" s="8">
        <v>34541</v>
      </c>
      <c r="I1289" s="7" t="str">
        <f t="shared" si="224"/>
        <v>praveen.kumar@pr.kur.ba</v>
      </c>
      <c r="J1289" s="6" t="s">
        <v>1549</v>
      </c>
      <c r="K1289" s="6">
        <v>70</v>
      </c>
      <c r="L1289" s="7" t="str">
        <f t="shared" si="225"/>
        <v>pr.kur.ba</v>
      </c>
      <c r="M1289" s="7" t="str">
        <f t="shared" si="226"/>
        <v>K.Praveen</v>
      </c>
      <c r="N1289" s="6">
        <f t="shared" si="221"/>
        <v>5</v>
      </c>
      <c r="O1289" s="6">
        <f t="shared" si="220"/>
        <v>0</v>
      </c>
      <c r="P1289" s="6" t="str">
        <f t="shared" si="227"/>
        <v>N</v>
      </c>
      <c r="Q1289" s="6">
        <f t="shared" si="228"/>
        <v>12</v>
      </c>
      <c r="R1289" s="6" t="str">
        <f t="shared" si="229"/>
        <v>2018</v>
      </c>
      <c r="S1289" s="6" t="str">
        <f t="shared" si="230"/>
        <v>Aug</v>
      </c>
    </row>
    <row r="1290" spans="1:19" x14ac:dyDescent="0.25">
      <c r="A1290" s="6">
        <v>1090</v>
      </c>
      <c r="B1290" s="6" t="str">
        <f t="shared" si="222"/>
        <v>NIKPRO01090</v>
      </c>
      <c r="C1290" s="7" t="s">
        <v>903</v>
      </c>
      <c r="D1290" s="7" t="s">
        <v>95</v>
      </c>
      <c r="E1290" s="7" t="str">
        <f t="shared" si="223"/>
        <v>NUPUR JOSHI</v>
      </c>
      <c r="F1290" s="7" t="s">
        <v>16</v>
      </c>
      <c r="G1290" s="22">
        <v>42046</v>
      </c>
      <c r="H1290" s="8">
        <v>94244</v>
      </c>
      <c r="I1290" s="7" t="str">
        <f t="shared" si="224"/>
        <v>nupur.joshi@pr.joi.ba</v>
      </c>
      <c r="J1290" s="6" t="s">
        <v>1551</v>
      </c>
      <c r="K1290" s="6">
        <v>74</v>
      </c>
      <c r="L1290" s="7" t="str">
        <f t="shared" si="225"/>
        <v>pr.joi.ba</v>
      </c>
      <c r="M1290" s="7" t="str">
        <f t="shared" si="226"/>
        <v>J.Nupur</v>
      </c>
      <c r="N1290" s="6">
        <f t="shared" si="221"/>
        <v>0</v>
      </c>
      <c r="O1290" s="6">
        <f t="shared" si="220"/>
        <v>0</v>
      </c>
      <c r="P1290" s="6" t="str">
        <f t="shared" si="227"/>
        <v>N</v>
      </c>
      <c r="Q1290" s="6">
        <f t="shared" si="228"/>
        <v>10</v>
      </c>
      <c r="R1290" s="6" t="str">
        <f t="shared" si="229"/>
        <v>2015</v>
      </c>
      <c r="S1290" s="6" t="str">
        <f t="shared" si="230"/>
        <v>Feb</v>
      </c>
    </row>
    <row r="1291" spans="1:19" x14ac:dyDescent="0.25">
      <c r="A1291" s="6">
        <v>1091</v>
      </c>
      <c r="B1291" s="6" t="str">
        <f t="shared" si="222"/>
        <v>NIKPRO01091</v>
      </c>
      <c r="C1291" s="7" t="s">
        <v>1202</v>
      </c>
      <c r="D1291" s="7" t="s">
        <v>70</v>
      </c>
      <c r="E1291" s="7" t="str">
        <f t="shared" si="223"/>
        <v>VIRENDRA SINGH</v>
      </c>
      <c r="F1291" s="7" t="s">
        <v>16</v>
      </c>
      <c r="G1291" s="22">
        <v>43710</v>
      </c>
      <c r="H1291" s="8">
        <v>49619</v>
      </c>
      <c r="I1291" s="7" t="str">
        <f t="shared" si="224"/>
        <v>virendra.singh@pr.sih.ba</v>
      </c>
      <c r="J1291" s="6" t="s">
        <v>1550</v>
      </c>
      <c r="K1291" s="6">
        <v>71</v>
      </c>
      <c r="L1291" s="7" t="str">
        <f t="shared" si="225"/>
        <v>pr.sih.ba</v>
      </c>
      <c r="M1291" s="7" t="str">
        <f t="shared" si="226"/>
        <v>S.Virendra</v>
      </c>
      <c r="N1291" s="6">
        <f t="shared" si="221"/>
        <v>4</v>
      </c>
      <c r="O1291" s="6">
        <f t="shared" si="220"/>
        <v>0</v>
      </c>
      <c r="P1291" s="6" t="str">
        <f t="shared" si="227"/>
        <v>N</v>
      </c>
      <c r="Q1291" s="6">
        <f t="shared" si="228"/>
        <v>13</v>
      </c>
      <c r="R1291" s="6" t="str">
        <f t="shared" si="229"/>
        <v>2019</v>
      </c>
      <c r="S1291" s="6" t="str">
        <f t="shared" si="230"/>
        <v>Sep</v>
      </c>
    </row>
    <row r="1292" spans="1:19" x14ac:dyDescent="0.25">
      <c r="A1292" s="6">
        <v>1104</v>
      </c>
      <c r="B1292" s="6" t="str">
        <f t="shared" si="222"/>
        <v>NIKPRO01104</v>
      </c>
      <c r="C1292" s="7" t="s">
        <v>1210</v>
      </c>
      <c r="D1292" s="7" t="s">
        <v>68</v>
      </c>
      <c r="E1292" s="7" t="str">
        <f t="shared" si="223"/>
        <v>KSHITIJA KUMAR</v>
      </c>
      <c r="F1292" s="7" t="s">
        <v>16</v>
      </c>
      <c r="G1292" s="22">
        <v>41365</v>
      </c>
      <c r="H1292" s="8">
        <v>54225</v>
      </c>
      <c r="I1292" s="7" t="str">
        <f t="shared" si="224"/>
        <v>kshitija.kumar@pr.kur.ba</v>
      </c>
      <c r="J1292" s="6" t="s">
        <v>1546</v>
      </c>
      <c r="K1292" s="6">
        <v>37</v>
      </c>
      <c r="L1292" s="7" t="str">
        <f t="shared" si="225"/>
        <v>pr.kur.ba</v>
      </c>
      <c r="M1292" s="7" t="str">
        <f t="shared" si="226"/>
        <v>K.Kshitija</v>
      </c>
      <c r="N1292" s="6">
        <f t="shared" si="221"/>
        <v>0</v>
      </c>
      <c r="O1292" s="6">
        <f t="shared" si="220"/>
        <v>0</v>
      </c>
      <c r="P1292" s="6" t="str">
        <f t="shared" si="227"/>
        <v>N</v>
      </c>
      <c r="Q1292" s="6">
        <f t="shared" si="228"/>
        <v>13</v>
      </c>
      <c r="R1292" s="6" t="str">
        <f t="shared" si="229"/>
        <v>2013</v>
      </c>
      <c r="S1292" s="6" t="str">
        <f t="shared" si="230"/>
        <v>Apr</v>
      </c>
    </row>
    <row r="1293" spans="1:19" x14ac:dyDescent="0.25">
      <c r="A1293" s="6">
        <v>1111</v>
      </c>
      <c r="B1293" s="6" t="str">
        <f t="shared" si="222"/>
        <v>NIKPRO01111</v>
      </c>
      <c r="C1293" s="7" t="s">
        <v>50</v>
      </c>
      <c r="D1293" s="7" t="s">
        <v>1217</v>
      </c>
      <c r="E1293" s="7" t="str">
        <f t="shared" si="223"/>
        <v>SANDEEP CHOUDHARI</v>
      </c>
      <c r="F1293" s="7" t="s">
        <v>16</v>
      </c>
      <c r="G1293" s="22">
        <v>42263</v>
      </c>
      <c r="H1293" s="8">
        <v>64415</v>
      </c>
      <c r="I1293" s="7" t="str">
        <f t="shared" si="224"/>
        <v>sandeep.choudhari@pr.chi.ba</v>
      </c>
      <c r="J1293" s="6" t="s">
        <v>1545</v>
      </c>
      <c r="K1293" s="6">
        <v>69</v>
      </c>
      <c r="L1293" s="7" t="str">
        <f t="shared" si="225"/>
        <v>pr.chi.ba</v>
      </c>
      <c r="M1293" s="7" t="str">
        <f t="shared" si="226"/>
        <v>C.Sandeep</v>
      </c>
      <c r="N1293" s="6">
        <f t="shared" si="221"/>
        <v>5</v>
      </c>
      <c r="O1293" s="6">
        <f t="shared" si="220"/>
        <v>0</v>
      </c>
      <c r="P1293" s="6" t="str">
        <f t="shared" si="227"/>
        <v>N</v>
      </c>
      <c r="Q1293" s="6">
        <f t="shared" si="228"/>
        <v>16</v>
      </c>
      <c r="R1293" s="6" t="str">
        <f t="shared" si="229"/>
        <v>2015</v>
      </c>
      <c r="S1293" s="6" t="str">
        <f t="shared" si="230"/>
        <v>Sep</v>
      </c>
    </row>
    <row r="1294" spans="1:19" x14ac:dyDescent="0.25">
      <c r="A1294" s="6">
        <v>1151</v>
      </c>
      <c r="B1294" s="6" t="str">
        <f t="shared" si="222"/>
        <v>NIKPRO01151</v>
      </c>
      <c r="C1294" s="7" t="s">
        <v>227</v>
      </c>
      <c r="D1294" s="7" t="s">
        <v>70</v>
      </c>
      <c r="E1294" s="7" t="str">
        <f t="shared" si="223"/>
        <v>SATISH SINGH</v>
      </c>
      <c r="F1294" s="7" t="s">
        <v>16</v>
      </c>
      <c r="G1294" s="22">
        <v>43654</v>
      </c>
      <c r="H1294" s="8">
        <v>103612</v>
      </c>
      <c r="I1294" s="7" t="str">
        <f t="shared" si="224"/>
        <v>satish.singh@pr.sih.ba</v>
      </c>
      <c r="J1294" s="6" t="s">
        <v>1533</v>
      </c>
      <c r="K1294" s="6">
        <v>70</v>
      </c>
      <c r="L1294" s="7" t="str">
        <f t="shared" si="225"/>
        <v>pr.sih.ba</v>
      </c>
      <c r="M1294" s="7" t="str">
        <f t="shared" si="226"/>
        <v>S.Satish</v>
      </c>
      <c r="N1294" s="6">
        <f t="shared" si="221"/>
        <v>0</v>
      </c>
      <c r="O1294" s="6">
        <f t="shared" si="220"/>
        <v>0</v>
      </c>
      <c r="P1294" s="6" t="str">
        <f t="shared" si="227"/>
        <v>N</v>
      </c>
      <c r="Q1294" s="6">
        <f t="shared" si="228"/>
        <v>11</v>
      </c>
      <c r="R1294" s="6" t="str">
        <f t="shared" si="229"/>
        <v>2019</v>
      </c>
      <c r="S1294" s="6" t="str">
        <f t="shared" si="230"/>
        <v>Jul</v>
      </c>
    </row>
    <row r="1295" spans="1:19" x14ac:dyDescent="0.25">
      <c r="A1295" s="6">
        <v>1166</v>
      </c>
      <c r="B1295" s="6" t="str">
        <f t="shared" si="222"/>
        <v>NIKPRO01166</v>
      </c>
      <c r="C1295" s="7" t="s">
        <v>134</v>
      </c>
      <c r="D1295" s="7" t="s">
        <v>1256</v>
      </c>
      <c r="E1295" s="7" t="str">
        <f t="shared" si="223"/>
        <v>ABHINAV SANJETI</v>
      </c>
      <c r="F1295" s="7" t="s">
        <v>16</v>
      </c>
      <c r="G1295" s="22">
        <v>43501</v>
      </c>
      <c r="H1295" s="8">
        <v>43842</v>
      </c>
      <c r="I1295" s="7" t="str">
        <f t="shared" si="224"/>
        <v>abhinav.sanjeti@pr.sai.ba</v>
      </c>
      <c r="J1295" s="6" t="s">
        <v>1545</v>
      </c>
      <c r="K1295" s="6">
        <v>56</v>
      </c>
      <c r="L1295" s="7" t="str">
        <f t="shared" si="225"/>
        <v>pr.sai.ba</v>
      </c>
      <c r="M1295" s="7" t="str">
        <f t="shared" si="226"/>
        <v>S.Abhinav</v>
      </c>
      <c r="N1295" s="6">
        <f t="shared" si="221"/>
        <v>0</v>
      </c>
      <c r="O1295" s="6">
        <f t="shared" si="220"/>
        <v>5</v>
      </c>
      <c r="P1295" s="6" t="str">
        <f t="shared" si="227"/>
        <v>N</v>
      </c>
      <c r="Q1295" s="6">
        <f t="shared" si="228"/>
        <v>14</v>
      </c>
      <c r="R1295" s="6" t="str">
        <f t="shared" si="229"/>
        <v>2019</v>
      </c>
      <c r="S1295" s="6" t="str">
        <f t="shared" si="230"/>
        <v>Feb</v>
      </c>
    </row>
    <row r="1296" spans="1:19" x14ac:dyDescent="0.25">
      <c r="A1296" s="6">
        <v>1215</v>
      </c>
      <c r="B1296" s="6" t="str">
        <f t="shared" si="222"/>
        <v>NIKPRO01215</v>
      </c>
      <c r="C1296" s="7" t="s">
        <v>799</v>
      </c>
      <c r="D1296" s="7" t="s">
        <v>156</v>
      </c>
      <c r="E1296" s="7" t="str">
        <f t="shared" si="223"/>
        <v>NIMISHA R</v>
      </c>
      <c r="F1296" s="7" t="s">
        <v>16</v>
      </c>
      <c r="G1296" s="22">
        <v>42464</v>
      </c>
      <c r="H1296" s="8">
        <v>45894</v>
      </c>
      <c r="I1296" s="7" t="str">
        <f t="shared" si="224"/>
        <v>nimisha.r@pr.rr.ba</v>
      </c>
      <c r="J1296" s="6" t="s">
        <v>1544</v>
      </c>
      <c r="K1296" s="6">
        <v>76</v>
      </c>
      <c r="L1296" s="7" t="str">
        <f t="shared" si="225"/>
        <v>pr.rr.ba</v>
      </c>
      <c r="M1296" s="7" t="str">
        <f t="shared" si="226"/>
        <v>R.Nimisha</v>
      </c>
      <c r="N1296" s="6">
        <f t="shared" si="221"/>
        <v>0</v>
      </c>
      <c r="O1296" s="6">
        <f t="shared" si="220"/>
        <v>0</v>
      </c>
      <c r="P1296" s="6" t="str">
        <f t="shared" si="227"/>
        <v>N</v>
      </c>
      <c r="Q1296" s="6">
        <f t="shared" si="228"/>
        <v>8</v>
      </c>
      <c r="R1296" s="6" t="str">
        <f t="shared" si="229"/>
        <v>2016</v>
      </c>
      <c r="S1296" s="6" t="str">
        <f t="shared" si="230"/>
        <v>Apr</v>
      </c>
    </row>
    <row r="1297" spans="1:19" x14ac:dyDescent="0.25">
      <c r="A1297" s="6">
        <v>1224</v>
      </c>
      <c r="B1297" s="6" t="str">
        <f t="shared" si="222"/>
        <v>NIKPRO01224</v>
      </c>
      <c r="C1297" s="7" t="s">
        <v>52</v>
      </c>
      <c r="D1297" s="7" t="s">
        <v>68</v>
      </c>
      <c r="E1297" s="7" t="str">
        <f t="shared" si="223"/>
        <v>LALIT KUMAR</v>
      </c>
      <c r="F1297" s="7" t="s">
        <v>16</v>
      </c>
      <c r="G1297" s="22">
        <v>44748</v>
      </c>
      <c r="H1297" s="8">
        <v>26935</v>
      </c>
      <c r="I1297" s="7" t="str">
        <f t="shared" si="224"/>
        <v>lalit.kumar@pr.kur.ba</v>
      </c>
      <c r="J1297" s="6" t="s">
        <v>1548</v>
      </c>
      <c r="K1297" s="6">
        <v>89</v>
      </c>
      <c r="L1297" s="7" t="str">
        <f t="shared" si="225"/>
        <v>pr.kur.ba</v>
      </c>
      <c r="M1297" s="7" t="str">
        <f t="shared" si="226"/>
        <v>K.Lalit</v>
      </c>
      <c r="N1297" s="6">
        <f t="shared" si="221"/>
        <v>0</v>
      </c>
      <c r="O1297" s="6">
        <f t="shared" si="220"/>
        <v>0</v>
      </c>
      <c r="P1297" s="6" t="str">
        <f t="shared" si="227"/>
        <v>N</v>
      </c>
      <c r="Q1297" s="6">
        <f t="shared" si="228"/>
        <v>10</v>
      </c>
      <c r="R1297" s="6" t="str">
        <f t="shared" si="229"/>
        <v>2022</v>
      </c>
      <c r="S1297" s="6" t="str">
        <f t="shared" si="230"/>
        <v>Jul</v>
      </c>
    </row>
    <row r="1298" spans="1:19" x14ac:dyDescent="0.25">
      <c r="A1298" s="6">
        <v>1233</v>
      </c>
      <c r="B1298" s="6" t="str">
        <f t="shared" si="222"/>
        <v>NIKPRO01233</v>
      </c>
      <c r="C1298" s="7" t="s">
        <v>747</v>
      </c>
      <c r="D1298" s="7" t="s">
        <v>49</v>
      </c>
      <c r="E1298" s="7" t="str">
        <f t="shared" si="223"/>
        <v>SONAL MATHUR</v>
      </c>
      <c r="F1298" s="7" t="s">
        <v>16</v>
      </c>
      <c r="G1298" s="22">
        <v>42226</v>
      </c>
      <c r="H1298" s="8">
        <v>109047</v>
      </c>
      <c r="I1298" s="7" t="str">
        <f t="shared" si="224"/>
        <v>sonal.mathur@pr.mar.ba</v>
      </c>
      <c r="J1298" s="6" t="s">
        <v>1540</v>
      </c>
      <c r="K1298" s="6">
        <v>55</v>
      </c>
      <c r="L1298" s="7" t="str">
        <f t="shared" si="225"/>
        <v>pr.mar.ba</v>
      </c>
      <c r="M1298" s="7" t="str">
        <f t="shared" si="226"/>
        <v>M.Sonal</v>
      </c>
      <c r="N1298" s="6">
        <f t="shared" si="221"/>
        <v>0</v>
      </c>
      <c r="O1298" s="6">
        <f t="shared" si="220"/>
        <v>0</v>
      </c>
      <c r="P1298" s="6" t="str">
        <f t="shared" si="227"/>
        <v>N</v>
      </c>
      <c r="Q1298" s="6">
        <f t="shared" si="228"/>
        <v>11</v>
      </c>
      <c r="R1298" s="6" t="str">
        <f t="shared" si="229"/>
        <v>2015</v>
      </c>
      <c r="S1298" s="6" t="str">
        <f t="shared" si="230"/>
        <v>Aug</v>
      </c>
    </row>
    <row r="1299" spans="1:19" x14ac:dyDescent="0.25">
      <c r="A1299" s="6">
        <v>1235</v>
      </c>
      <c r="B1299" s="6" t="str">
        <f t="shared" si="222"/>
        <v>NIKPRO01235</v>
      </c>
      <c r="C1299" s="7" t="s">
        <v>462</v>
      </c>
      <c r="D1299" s="7" t="s">
        <v>1305</v>
      </c>
      <c r="E1299" s="7" t="str">
        <f t="shared" si="223"/>
        <v>PREETI PANCHBHAI</v>
      </c>
      <c r="F1299" s="7" t="s">
        <v>16</v>
      </c>
      <c r="G1299" s="22">
        <v>44697</v>
      </c>
      <c r="H1299" s="8">
        <v>90549</v>
      </c>
      <c r="I1299" s="7" t="str">
        <f t="shared" si="224"/>
        <v>preeti.panchbhai@pr.pai.ba</v>
      </c>
      <c r="J1299" s="6" t="s">
        <v>1539</v>
      </c>
      <c r="K1299" s="6">
        <v>41</v>
      </c>
      <c r="L1299" s="7" t="str">
        <f t="shared" si="225"/>
        <v>pr.pai.ba</v>
      </c>
      <c r="M1299" s="7" t="str">
        <f t="shared" si="226"/>
        <v>P.Preeti</v>
      </c>
      <c r="N1299" s="6">
        <f t="shared" si="221"/>
        <v>3</v>
      </c>
      <c r="O1299" s="6">
        <f t="shared" si="220"/>
        <v>0</v>
      </c>
      <c r="P1299" s="6" t="str">
        <f t="shared" si="227"/>
        <v>N</v>
      </c>
      <c r="Q1299" s="6">
        <f t="shared" si="228"/>
        <v>15</v>
      </c>
      <c r="R1299" s="6" t="str">
        <f t="shared" si="229"/>
        <v>2022</v>
      </c>
      <c r="S1299" s="6" t="str">
        <f t="shared" si="230"/>
        <v>May</v>
      </c>
    </row>
    <row r="1300" spans="1:19" x14ac:dyDescent="0.25">
      <c r="A1300" s="6">
        <v>1289</v>
      </c>
      <c r="B1300" s="6" t="str">
        <f t="shared" si="222"/>
        <v>NIKPRO01289</v>
      </c>
      <c r="C1300" s="7" t="s">
        <v>166</v>
      </c>
      <c r="D1300" s="7" t="s">
        <v>55</v>
      </c>
      <c r="E1300" s="7" t="str">
        <f t="shared" si="223"/>
        <v>NEHA SHARMA</v>
      </c>
      <c r="F1300" s="7" t="s">
        <v>16</v>
      </c>
      <c r="G1300" s="22">
        <v>40875</v>
      </c>
      <c r="H1300" s="8">
        <v>49523</v>
      </c>
      <c r="I1300" s="7" t="str">
        <f t="shared" si="224"/>
        <v>neha.sharma@pr.sha.ba</v>
      </c>
      <c r="J1300" s="6" t="s">
        <v>1546</v>
      </c>
      <c r="K1300" s="6">
        <v>51</v>
      </c>
      <c r="L1300" s="7" t="str">
        <f t="shared" si="225"/>
        <v>pr.sha.ba</v>
      </c>
      <c r="M1300" s="7" t="str">
        <f t="shared" si="226"/>
        <v>S.Neha</v>
      </c>
      <c r="N1300" s="6">
        <f t="shared" si="221"/>
        <v>2</v>
      </c>
      <c r="O1300" s="6">
        <f t="shared" si="220"/>
        <v>0</v>
      </c>
      <c r="P1300" s="6" t="str">
        <f t="shared" si="227"/>
        <v>N</v>
      </c>
      <c r="Q1300" s="6">
        <f t="shared" si="228"/>
        <v>10</v>
      </c>
      <c r="R1300" s="6" t="str">
        <f t="shared" si="229"/>
        <v>2011</v>
      </c>
      <c r="S1300" s="6" t="str">
        <f t="shared" si="230"/>
        <v>Nov</v>
      </c>
    </row>
    <row r="1301" spans="1:19" x14ac:dyDescent="0.25">
      <c r="A1301" s="6">
        <v>1291</v>
      </c>
      <c r="B1301" s="6" t="str">
        <f t="shared" si="222"/>
        <v>NIKPRO01291</v>
      </c>
      <c r="C1301" s="7" t="s">
        <v>1351</v>
      </c>
      <c r="D1301" s="7" t="s">
        <v>115</v>
      </c>
      <c r="E1301" s="7" t="str">
        <f t="shared" si="223"/>
        <v>LIBIN RAJU</v>
      </c>
      <c r="F1301" s="7" t="s">
        <v>16</v>
      </c>
      <c r="G1301" s="22">
        <v>43570</v>
      </c>
      <c r="H1301" s="8">
        <v>105172</v>
      </c>
      <c r="I1301" s="7" t="str">
        <f t="shared" si="224"/>
        <v>libin.raju@pr.rau.ba</v>
      </c>
      <c r="J1301" s="6" t="s">
        <v>1548</v>
      </c>
      <c r="K1301" s="6">
        <v>46</v>
      </c>
      <c r="L1301" s="7" t="str">
        <f t="shared" si="225"/>
        <v>pr.rau.ba</v>
      </c>
      <c r="M1301" s="7" t="str">
        <f t="shared" si="226"/>
        <v>R.Libin</v>
      </c>
      <c r="N1301" s="6">
        <f t="shared" si="221"/>
        <v>0</v>
      </c>
      <c r="O1301" s="6">
        <f t="shared" si="220"/>
        <v>0</v>
      </c>
      <c r="P1301" s="6" t="str">
        <f t="shared" si="227"/>
        <v>N</v>
      </c>
      <c r="Q1301" s="6">
        <f t="shared" si="228"/>
        <v>9</v>
      </c>
      <c r="R1301" s="6" t="str">
        <f t="shared" si="229"/>
        <v>2019</v>
      </c>
      <c r="S1301" s="6" t="str">
        <f t="shared" si="230"/>
        <v>Apr</v>
      </c>
    </row>
    <row r="1302" spans="1:19" x14ac:dyDescent="0.25">
      <c r="A1302" s="6">
        <v>1300</v>
      </c>
      <c r="B1302" s="6" t="str">
        <f t="shared" si="222"/>
        <v>NIKPRO01300</v>
      </c>
      <c r="C1302" s="7" t="s">
        <v>843</v>
      </c>
      <c r="D1302" s="7" t="s">
        <v>142</v>
      </c>
      <c r="E1302" s="7" t="str">
        <f t="shared" si="223"/>
        <v>NIKHIL RAJ</v>
      </c>
      <c r="F1302" s="7" t="s">
        <v>16</v>
      </c>
      <c r="G1302" s="22">
        <v>44476</v>
      </c>
      <c r="H1302" s="8">
        <v>81982</v>
      </c>
      <c r="I1302" s="7" t="str">
        <f t="shared" si="224"/>
        <v>nikhil.raj@pr.raj.ba</v>
      </c>
      <c r="J1302" s="6" t="s">
        <v>1536</v>
      </c>
      <c r="K1302" s="6">
        <v>84</v>
      </c>
      <c r="L1302" s="7" t="str">
        <f t="shared" si="225"/>
        <v>pr.raj.ba</v>
      </c>
      <c r="M1302" s="7" t="str">
        <f t="shared" si="226"/>
        <v>R.Nikhil</v>
      </c>
      <c r="N1302" s="6">
        <f t="shared" si="221"/>
        <v>0</v>
      </c>
      <c r="O1302" s="6">
        <f t="shared" si="220"/>
        <v>0</v>
      </c>
      <c r="P1302" s="6" t="str">
        <f t="shared" si="227"/>
        <v>N</v>
      </c>
      <c r="Q1302" s="6">
        <f t="shared" si="228"/>
        <v>9</v>
      </c>
      <c r="R1302" s="6" t="str">
        <f t="shared" si="229"/>
        <v>2021</v>
      </c>
      <c r="S1302" s="6" t="str">
        <f t="shared" si="230"/>
        <v>Oct</v>
      </c>
    </row>
    <row r="1303" spans="1:19" x14ac:dyDescent="0.25">
      <c r="A1303" s="6">
        <v>1306</v>
      </c>
      <c r="B1303" s="6" t="str">
        <f t="shared" si="222"/>
        <v>NIKPRO01306</v>
      </c>
      <c r="C1303" s="7" t="s">
        <v>1358</v>
      </c>
      <c r="D1303" s="7" t="s">
        <v>534</v>
      </c>
      <c r="E1303" s="7" t="str">
        <f t="shared" si="223"/>
        <v>BHADULE RUSHIKESH</v>
      </c>
      <c r="F1303" s="7" t="s">
        <v>16</v>
      </c>
      <c r="G1303" s="22">
        <v>44452</v>
      </c>
      <c r="H1303" s="8">
        <v>37722</v>
      </c>
      <c r="I1303" s="7" t="str">
        <f t="shared" si="224"/>
        <v>bhadule.rushikesh@pr.ruh.ba</v>
      </c>
      <c r="J1303" s="6" t="s">
        <v>1536</v>
      </c>
      <c r="K1303" s="6">
        <v>69</v>
      </c>
      <c r="L1303" s="7" t="str">
        <f t="shared" si="225"/>
        <v>pr.ruh.ba</v>
      </c>
      <c r="M1303" s="7" t="str">
        <f t="shared" si="226"/>
        <v>R.Bhadule</v>
      </c>
      <c r="N1303" s="6">
        <f t="shared" si="221"/>
        <v>7</v>
      </c>
      <c r="O1303" s="6">
        <f t="shared" si="220"/>
        <v>7</v>
      </c>
      <c r="P1303" s="6" t="str">
        <f t="shared" si="227"/>
        <v>Y</v>
      </c>
      <c r="Q1303" s="6">
        <f t="shared" si="228"/>
        <v>16</v>
      </c>
      <c r="R1303" s="6" t="str">
        <f t="shared" si="229"/>
        <v>2021</v>
      </c>
      <c r="S1303" s="6" t="str">
        <f t="shared" si="230"/>
        <v>Sep</v>
      </c>
    </row>
    <row r="1304" spans="1:19" x14ac:dyDescent="0.25">
      <c r="A1304" s="6">
        <v>1340</v>
      </c>
      <c r="B1304" s="6" t="str">
        <f t="shared" si="222"/>
        <v>NIKPRO01340</v>
      </c>
      <c r="C1304" s="7" t="s">
        <v>1383</v>
      </c>
      <c r="D1304" s="7" t="s">
        <v>1384</v>
      </c>
      <c r="E1304" s="7" t="str">
        <f t="shared" si="223"/>
        <v>PRATIKSINH AJITSINH</v>
      </c>
      <c r="F1304" s="7" t="s">
        <v>16</v>
      </c>
      <c r="G1304" s="22">
        <v>43654</v>
      </c>
      <c r="H1304" s="8">
        <v>100670</v>
      </c>
      <c r="I1304" s="7" t="str">
        <f t="shared" si="224"/>
        <v>pratiksinh.ajitsinh@pr.ajh.ba</v>
      </c>
      <c r="J1304" s="6" t="s">
        <v>1545</v>
      </c>
      <c r="K1304" s="6">
        <v>50</v>
      </c>
      <c r="L1304" s="7" t="str">
        <f t="shared" si="225"/>
        <v>pr.ajh.ba</v>
      </c>
      <c r="M1304" s="7" t="str">
        <f t="shared" si="226"/>
        <v>A.Pratiksinh</v>
      </c>
      <c r="N1304" s="6">
        <f t="shared" si="221"/>
        <v>0</v>
      </c>
      <c r="O1304" s="6">
        <f t="shared" si="220"/>
        <v>0</v>
      </c>
      <c r="P1304" s="6" t="str">
        <f t="shared" si="227"/>
        <v>N</v>
      </c>
      <c r="Q1304" s="6">
        <f t="shared" si="228"/>
        <v>18</v>
      </c>
      <c r="R1304" s="6" t="str">
        <f t="shared" si="229"/>
        <v>2019</v>
      </c>
      <c r="S1304" s="6" t="str">
        <f t="shared" si="230"/>
        <v>Jul</v>
      </c>
    </row>
    <row r="1305" spans="1:19" x14ac:dyDescent="0.25">
      <c r="A1305" s="6">
        <v>1343</v>
      </c>
      <c r="B1305" s="6" t="str">
        <f t="shared" si="222"/>
        <v>NIKPRO01343</v>
      </c>
      <c r="C1305" s="7" t="s">
        <v>654</v>
      </c>
      <c r="D1305" s="7" t="s">
        <v>1386</v>
      </c>
      <c r="E1305" s="7" t="str">
        <f t="shared" si="223"/>
        <v>SHAH JINAL</v>
      </c>
      <c r="F1305" s="7" t="s">
        <v>16</v>
      </c>
      <c r="G1305" s="22">
        <v>44697</v>
      </c>
      <c r="H1305" s="8">
        <v>107083</v>
      </c>
      <c r="I1305" s="7" t="str">
        <f t="shared" si="224"/>
        <v>shah.jinal@pr.jil.ba</v>
      </c>
      <c r="J1305" s="6" t="s">
        <v>1532</v>
      </c>
      <c r="K1305" s="6">
        <v>88</v>
      </c>
      <c r="L1305" s="7" t="str">
        <f t="shared" si="225"/>
        <v>pr.jil.ba</v>
      </c>
      <c r="M1305" s="7" t="str">
        <f t="shared" si="226"/>
        <v>J.Shah</v>
      </c>
      <c r="N1305" s="6">
        <f t="shared" si="221"/>
        <v>0</v>
      </c>
      <c r="O1305" s="6">
        <f t="shared" si="220"/>
        <v>0</v>
      </c>
      <c r="P1305" s="6" t="str">
        <f t="shared" si="227"/>
        <v>N</v>
      </c>
      <c r="Q1305" s="6">
        <f t="shared" si="228"/>
        <v>9</v>
      </c>
      <c r="R1305" s="6" t="str">
        <f t="shared" si="229"/>
        <v>2022</v>
      </c>
      <c r="S1305" s="6" t="str">
        <f t="shared" si="230"/>
        <v>May</v>
      </c>
    </row>
    <row r="1306" spans="1:19" x14ac:dyDescent="0.25">
      <c r="A1306" s="6">
        <v>1344</v>
      </c>
      <c r="B1306" s="6" t="str">
        <f t="shared" si="222"/>
        <v>NIKPRO01344</v>
      </c>
      <c r="C1306" s="7" t="s">
        <v>209</v>
      </c>
      <c r="D1306" s="7" t="s">
        <v>70</v>
      </c>
      <c r="E1306" s="7" t="str">
        <f t="shared" si="223"/>
        <v>GAURAV SINGH</v>
      </c>
      <c r="F1306" s="7" t="s">
        <v>16</v>
      </c>
      <c r="G1306" s="22">
        <v>44958</v>
      </c>
      <c r="H1306" s="8">
        <v>70199</v>
      </c>
      <c r="I1306" s="7" t="str">
        <f t="shared" si="224"/>
        <v>gaurav.singh@pr.sih.ba</v>
      </c>
      <c r="J1306" s="6" t="s">
        <v>1551</v>
      </c>
      <c r="K1306" s="6">
        <v>52</v>
      </c>
      <c r="L1306" s="7" t="str">
        <f t="shared" si="225"/>
        <v>pr.sih.ba</v>
      </c>
      <c r="M1306" s="7" t="str">
        <f t="shared" si="226"/>
        <v>S.Gaurav</v>
      </c>
      <c r="N1306" s="6">
        <f t="shared" si="221"/>
        <v>0</v>
      </c>
      <c r="O1306" s="6">
        <f t="shared" si="220"/>
        <v>0</v>
      </c>
      <c r="P1306" s="6" t="str">
        <f t="shared" si="227"/>
        <v>N</v>
      </c>
      <c r="Q1306" s="6">
        <f t="shared" si="228"/>
        <v>11</v>
      </c>
      <c r="R1306" s="6" t="str">
        <f t="shared" si="229"/>
        <v>2023</v>
      </c>
      <c r="S1306" s="6" t="str">
        <f t="shared" si="230"/>
        <v>Feb</v>
      </c>
    </row>
    <row r="1307" spans="1:19" x14ac:dyDescent="0.25">
      <c r="A1307" s="6">
        <v>1346</v>
      </c>
      <c r="B1307" s="6" t="str">
        <f t="shared" si="222"/>
        <v>NIKPRO01346</v>
      </c>
      <c r="C1307" s="7" t="s">
        <v>1388</v>
      </c>
      <c r="D1307" s="7" t="s">
        <v>1389</v>
      </c>
      <c r="E1307" s="7" t="str">
        <f t="shared" si="223"/>
        <v>SREEJA RATISH</v>
      </c>
      <c r="F1307" s="7" t="s">
        <v>16</v>
      </c>
      <c r="G1307" s="22">
        <v>44519</v>
      </c>
      <c r="H1307" s="8">
        <v>90661</v>
      </c>
      <c r="I1307" s="7" t="str">
        <f t="shared" si="224"/>
        <v>sreeja.ratish@pr.rah.ba</v>
      </c>
      <c r="J1307" s="6" t="s">
        <v>1548</v>
      </c>
      <c r="K1307" s="6">
        <v>59</v>
      </c>
      <c r="L1307" s="7" t="str">
        <f t="shared" si="225"/>
        <v>pr.rah.ba</v>
      </c>
      <c r="M1307" s="7" t="str">
        <f t="shared" si="226"/>
        <v>R.Sreeja</v>
      </c>
      <c r="N1307" s="6">
        <f t="shared" si="221"/>
        <v>3</v>
      </c>
      <c r="O1307" s="6">
        <f t="shared" si="220"/>
        <v>0</v>
      </c>
      <c r="P1307" s="6" t="str">
        <f t="shared" si="227"/>
        <v>N</v>
      </c>
      <c r="Q1307" s="6">
        <f t="shared" si="228"/>
        <v>12</v>
      </c>
      <c r="R1307" s="6" t="str">
        <f t="shared" si="229"/>
        <v>2021</v>
      </c>
      <c r="S1307" s="6" t="str">
        <f t="shared" si="230"/>
        <v>Nov</v>
      </c>
    </row>
    <row r="1308" spans="1:19" x14ac:dyDescent="0.25">
      <c r="A1308" s="6">
        <v>1350</v>
      </c>
      <c r="B1308" s="6" t="str">
        <f t="shared" si="222"/>
        <v>NIKPRO01350</v>
      </c>
      <c r="C1308" s="7" t="s">
        <v>86</v>
      </c>
      <c r="D1308" s="7" t="s">
        <v>68</v>
      </c>
      <c r="E1308" s="7" t="str">
        <f t="shared" si="223"/>
        <v>MANISH KUMAR</v>
      </c>
      <c r="F1308" s="7" t="s">
        <v>16</v>
      </c>
      <c r="G1308" s="22">
        <v>44928</v>
      </c>
      <c r="H1308" s="8">
        <v>29757</v>
      </c>
      <c r="I1308" s="7" t="str">
        <f t="shared" si="224"/>
        <v>manish.kumar@pr.kur.ba</v>
      </c>
      <c r="J1308" s="6" t="s">
        <v>1542</v>
      </c>
      <c r="K1308" s="6">
        <v>77</v>
      </c>
      <c r="L1308" s="7" t="str">
        <f t="shared" si="225"/>
        <v>pr.kur.ba</v>
      </c>
      <c r="M1308" s="7" t="str">
        <f t="shared" si="226"/>
        <v>K.Manish</v>
      </c>
      <c r="N1308" s="6">
        <f t="shared" si="221"/>
        <v>0</v>
      </c>
      <c r="O1308" s="6">
        <f t="shared" si="220"/>
        <v>0</v>
      </c>
      <c r="P1308" s="6" t="str">
        <f t="shared" si="227"/>
        <v>N</v>
      </c>
      <c r="Q1308" s="6">
        <f t="shared" si="228"/>
        <v>11</v>
      </c>
      <c r="R1308" s="6" t="str">
        <f t="shared" si="229"/>
        <v>2023</v>
      </c>
      <c r="S1308" s="6" t="str">
        <f t="shared" si="230"/>
        <v>Jan</v>
      </c>
    </row>
    <row r="1309" spans="1:19" x14ac:dyDescent="0.25">
      <c r="A1309" s="6">
        <v>1362</v>
      </c>
      <c r="B1309" s="6" t="str">
        <f t="shared" si="222"/>
        <v>NIKPRO01362</v>
      </c>
      <c r="C1309" s="7" t="s">
        <v>1405</v>
      </c>
      <c r="D1309" s="7" t="s">
        <v>68</v>
      </c>
      <c r="E1309" s="7" t="str">
        <f t="shared" si="223"/>
        <v>LAKHAN KUMAR</v>
      </c>
      <c r="F1309" s="7" t="s">
        <v>16</v>
      </c>
      <c r="G1309" s="22">
        <v>43803</v>
      </c>
      <c r="H1309" s="8">
        <v>68147</v>
      </c>
      <c r="I1309" s="7" t="str">
        <f t="shared" si="224"/>
        <v>lakhan.kumar@pr.kur.ba</v>
      </c>
      <c r="J1309" s="6" t="s">
        <v>1550</v>
      </c>
      <c r="K1309" s="6">
        <v>57</v>
      </c>
      <c r="L1309" s="7" t="str">
        <f t="shared" si="225"/>
        <v>pr.kur.ba</v>
      </c>
      <c r="M1309" s="7" t="str">
        <f t="shared" si="226"/>
        <v>K.Lakhan</v>
      </c>
      <c r="N1309" s="6">
        <f t="shared" si="221"/>
        <v>0</v>
      </c>
      <c r="O1309" s="6">
        <f t="shared" si="220"/>
        <v>0</v>
      </c>
      <c r="P1309" s="6" t="str">
        <f t="shared" si="227"/>
        <v>N</v>
      </c>
      <c r="Q1309" s="6">
        <f t="shared" si="228"/>
        <v>11</v>
      </c>
      <c r="R1309" s="6" t="str">
        <f t="shared" si="229"/>
        <v>2019</v>
      </c>
      <c r="S1309" s="6" t="str">
        <f t="shared" si="230"/>
        <v>Dec</v>
      </c>
    </row>
    <row r="1310" spans="1:19" x14ac:dyDescent="0.25">
      <c r="A1310" s="6">
        <v>1373</v>
      </c>
      <c r="B1310" s="6" t="str">
        <f t="shared" si="222"/>
        <v>NIKPRO01373</v>
      </c>
      <c r="C1310" s="7" t="s">
        <v>1413</v>
      </c>
      <c r="D1310" s="7" t="s">
        <v>544</v>
      </c>
      <c r="E1310" s="7" t="str">
        <f t="shared" si="223"/>
        <v>VIRESH C</v>
      </c>
      <c r="F1310" s="7" t="s">
        <v>16</v>
      </c>
      <c r="G1310" s="22">
        <v>44872</v>
      </c>
      <c r="H1310" s="8">
        <v>91571</v>
      </c>
      <c r="I1310" s="7" t="str">
        <f t="shared" si="224"/>
        <v>viresh.c@pr.cc.ba</v>
      </c>
      <c r="J1310" s="6" t="s">
        <v>1547</v>
      </c>
      <c r="K1310" s="6">
        <v>39</v>
      </c>
      <c r="L1310" s="7" t="str">
        <f t="shared" si="225"/>
        <v>pr.cc.ba</v>
      </c>
      <c r="M1310" s="7" t="str">
        <f t="shared" si="226"/>
        <v>C.Viresh</v>
      </c>
      <c r="N1310" s="6">
        <f t="shared" si="221"/>
        <v>4</v>
      </c>
      <c r="O1310" s="6">
        <f t="shared" si="220"/>
        <v>0</v>
      </c>
      <c r="P1310" s="6" t="str">
        <f t="shared" si="227"/>
        <v>N</v>
      </c>
      <c r="Q1310" s="6">
        <f t="shared" si="228"/>
        <v>7</v>
      </c>
      <c r="R1310" s="6" t="str">
        <f t="shared" si="229"/>
        <v>2022</v>
      </c>
      <c r="S1310" s="6" t="str">
        <f t="shared" si="230"/>
        <v>Nov</v>
      </c>
    </row>
    <row r="1311" spans="1:19" x14ac:dyDescent="0.25">
      <c r="A1311" s="6">
        <v>1377</v>
      </c>
      <c r="B1311" s="6" t="str">
        <f t="shared" si="222"/>
        <v>NIKPRO01377</v>
      </c>
      <c r="C1311" s="7" t="s">
        <v>1417</v>
      </c>
      <c r="D1311" s="7" t="s">
        <v>1418</v>
      </c>
      <c r="E1311" s="7" t="str">
        <f t="shared" si="223"/>
        <v>DIYA PODDAR</v>
      </c>
      <c r="F1311" s="7" t="s">
        <v>16</v>
      </c>
      <c r="G1311" s="22">
        <v>45139</v>
      </c>
      <c r="H1311" s="8">
        <v>31302</v>
      </c>
      <c r="I1311" s="7" t="str">
        <f t="shared" si="224"/>
        <v>diya.poddar@pr.por.ba</v>
      </c>
      <c r="J1311" s="6" t="s">
        <v>1536</v>
      </c>
      <c r="K1311" s="6">
        <v>52</v>
      </c>
      <c r="L1311" s="7" t="str">
        <f t="shared" si="225"/>
        <v>pr.por.ba</v>
      </c>
      <c r="M1311" s="7" t="str">
        <f t="shared" si="226"/>
        <v>P.Diya</v>
      </c>
      <c r="N1311" s="6">
        <f t="shared" si="221"/>
        <v>0</v>
      </c>
      <c r="O1311" s="6">
        <f t="shared" si="220"/>
        <v>0</v>
      </c>
      <c r="P1311" s="6" t="str">
        <f t="shared" si="227"/>
        <v>N</v>
      </c>
      <c r="Q1311" s="6">
        <f t="shared" si="228"/>
        <v>10</v>
      </c>
      <c r="R1311" s="6" t="str">
        <f t="shared" si="229"/>
        <v>2023</v>
      </c>
      <c r="S1311" s="6" t="str">
        <f t="shared" si="230"/>
        <v>Aug</v>
      </c>
    </row>
    <row r="1312" spans="1:19" x14ac:dyDescent="0.25">
      <c r="A1312" s="6">
        <v>1388</v>
      </c>
      <c r="B1312" s="6" t="str">
        <f t="shared" si="222"/>
        <v>NIKPRO01388</v>
      </c>
      <c r="C1312" s="7" t="s">
        <v>1429</v>
      </c>
      <c r="D1312" s="7" t="s">
        <v>972</v>
      </c>
      <c r="E1312" s="7" t="str">
        <f t="shared" si="223"/>
        <v>SARANG SUDHIR</v>
      </c>
      <c r="F1312" s="7" t="s">
        <v>16</v>
      </c>
      <c r="G1312" s="22">
        <v>44655</v>
      </c>
      <c r="H1312" s="8">
        <v>69888</v>
      </c>
      <c r="I1312" s="7" t="str">
        <f t="shared" si="224"/>
        <v>sarang.sudhir@pr.sur.ba</v>
      </c>
      <c r="J1312" s="6" t="s">
        <v>1536</v>
      </c>
      <c r="K1312" s="6">
        <v>75</v>
      </c>
      <c r="L1312" s="7" t="str">
        <f t="shared" si="225"/>
        <v>pr.sur.ba</v>
      </c>
      <c r="M1312" s="7" t="str">
        <f t="shared" si="226"/>
        <v>S.Sarang</v>
      </c>
      <c r="N1312" s="6">
        <f t="shared" si="221"/>
        <v>0</v>
      </c>
      <c r="O1312" s="6">
        <f t="shared" si="220"/>
        <v>0</v>
      </c>
      <c r="P1312" s="6" t="str">
        <f t="shared" si="227"/>
        <v>N</v>
      </c>
      <c r="Q1312" s="6">
        <f t="shared" si="228"/>
        <v>12</v>
      </c>
      <c r="R1312" s="6" t="str">
        <f t="shared" si="229"/>
        <v>2022</v>
      </c>
      <c r="S1312" s="6" t="str">
        <f t="shared" si="230"/>
        <v>Apr</v>
      </c>
    </row>
    <row r="1313" spans="1:19" x14ac:dyDescent="0.25">
      <c r="A1313" s="6">
        <v>1393</v>
      </c>
      <c r="B1313" s="6" t="str">
        <f t="shared" si="222"/>
        <v>NIKPRO01393</v>
      </c>
      <c r="C1313" s="7" t="s">
        <v>622</v>
      </c>
      <c r="D1313" s="7" t="s">
        <v>70</v>
      </c>
      <c r="E1313" s="7" t="str">
        <f t="shared" si="223"/>
        <v>JASIMA SINGH</v>
      </c>
      <c r="F1313" s="7" t="s">
        <v>16</v>
      </c>
      <c r="G1313" s="22">
        <v>44835</v>
      </c>
      <c r="H1313" s="8">
        <v>104506</v>
      </c>
      <c r="I1313" s="7" t="str">
        <f t="shared" si="224"/>
        <v>jasima.singh@pr.sih.ba</v>
      </c>
      <c r="J1313" s="6" t="s">
        <v>1535</v>
      </c>
      <c r="K1313" s="6">
        <v>45</v>
      </c>
      <c r="L1313" s="7" t="str">
        <f t="shared" si="225"/>
        <v>pr.sih.ba</v>
      </c>
      <c r="M1313" s="7" t="str">
        <f t="shared" si="226"/>
        <v>S.Jasima</v>
      </c>
      <c r="N1313" s="6">
        <f t="shared" si="221"/>
        <v>0</v>
      </c>
      <c r="O1313" s="6">
        <f t="shared" si="220"/>
        <v>0</v>
      </c>
      <c r="P1313" s="6" t="str">
        <f t="shared" si="227"/>
        <v>N</v>
      </c>
      <c r="Q1313" s="6">
        <f t="shared" si="228"/>
        <v>11</v>
      </c>
      <c r="R1313" s="6" t="str">
        <f t="shared" si="229"/>
        <v>2022</v>
      </c>
      <c r="S1313" s="6" t="str">
        <f t="shared" si="230"/>
        <v>Oct</v>
      </c>
    </row>
    <row r="1314" spans="1:19" x14ac:dyDescent="0.25">
      <c r="A1314" s="6">
        <v>1397</v>
      </c>
      <c r="B1314" s="6" t="str">
        <f t="shared" si="222"/>
        <v>NIKPRO01397</v>
      </c>
      <c r="C1314" s="7" t="s">
        <v>1435</v>
      </c>
      <c r="D1314" s="7" t="s">
        <v>1436</v>
      </c>
      <c r="E1314" s="7" t="str">
        <f t="shared" si="223"/>
        <v>KEVINKUMAR JAMANADAS</v>
      </c>
      <c r="F1314" s="7" t="s">
        <v>16</v>
      </c>
      <c r="G1314" s="22">
        <v>42500</v>
      </c>
      <c r="H1314" s="8">
        <v>68553</v>
      </c>
      <c r="I1314" s="7" t="str">
        <f t="shared" si="224"/>
        <v>kevinkumar.jamanadas@pr.jas.ba</v>
      </c>
      <c r="J1314" s="6" t="s">
        <v>1534</v>
      </c>
      <c r="K1314" s="6">
        <v>41</v>
      </c>
      <c r="L1314" s="7" t="str">
        <f t="shared" si="225"/>
        <v>pr.jas.ba</v>
      </c>
      <c r="M1314" s="7" t="str">
        <f t="shared" si="226"/>
        <v>J.Kevinkumar</v>
      </c>
      <c r="N1314" s="6">
        <f t="shared" si="221"/>
        <v>2</v>
      </c>
      <c r="O1314" s="6">
        <f t="shared" si="220"/>
        <v>0</v>
      </c>
      <c r="P1314" s="6" t="str">
        <f t="shared" si="227"/>
        <v>N</v>
      </c>
      <c r="Q1314" s="6">
        <f t="shared" si="228"/>
        <v>19</v>
      </c>
      <c r="R1314" s="6" t="str">
        <f t="shared" si="229"/>
        <v>2016</v>
      </c>
      <c r="S1314" s="6" t="str">
        <f t="shared" si="230"/>
        <v>May</v>
      </c>
    </row>
    <row r="1315" spans="1:19" x14ac:dyDescent="0.25">
      <c r="A1315" s="6">
        <v>1401</v>
      </c>
      <c r="B1315" s="6" t="str">
        <f t="shared" si="222"/>
        <v>NIKPRO01401</v>
      </c>
      <c r="C1315" s="7" t="s">
        <v>688</v>
      </c>
      <c r="D1315" s="7" t="s">
        <v>70</v>
      </c>
      <c r="E1315" s="7" t="str">
        <f t="shared" si="223"/>
        <v>DUSHYANT SINGH</v>
      </c>
      <c r="F1315" s="7" t="s">
        <v>16</v>
      </c>
      <c r="G1315" s="22">
        <v>44844</v>
      </c>
      <c r="H1315" s="8">
        <v>31634</v>
      </c>
      <c r="I1315" s="7" t="str">
        <f t="shared" si="224"/>
        <v>dushyant.singh@pr.sih.ba</v>
      </c>
      <c r="J1315" s="6" t="s">
        <v>1546</v>
      </c>
      <c r="K1315" s="6">
        <v>89</v>
      </c>
      <c r="L1315" s="7" t="str">
        <f t="shared" si="225"/>
        <v>pr.sih.ba</v>
      </c>
      <c r="M1315" s="7" t="str">
        <f t="shared" si="226"/>
        <v>S.Dushyant</v>
      </c>
      <c r="N1315" s="6">
        <f t="shared" si="221"/>
        <v>0</v>
      </c>
      <c r="O1315" s="6">
        <f t="shared" si="220"/>
        <v>0</v>
      </c>
      <c r="P1315" s="6" t="str">
        <f t="shared" si="227"/>
        <v>N</v>
      </c>
      <c r="Q1315" s="6">
        <f t="shared" si="228"/>
        <v>13</v>
      </c>
      <c r="R1315" s="6" t="str">
        <f t="shared" si="229"/>
        <v>2022</v>
      </c>
      <c r="S1315" s="6" t="str">
        <f t="shared" si="230"/>
        <v>Oct</v>
      </c>
    </row>
    <row r="1316" spans="1:19" x14ac:dyDescent="0.25">
      <c r="A1316" s="6">
        <v>1404</v>
      </c>
      <c r="B1316" s="6" t="str">
        <f t="shared" si="222"/>
        <v>NIKPRO01404</v>
      </c>
      <c r="C1316" s="7" t="s">
        <v>1440</v>
      </c>
      <c r="D1316" s="7" t="s">
        <v>1441</v>
      </c>
      <c r="E1316" s="7" t="str">
        <f t="shared" si="223"/>
        <v>NISHITA AMRUTLAL</v>
      </c>
      <c r="F1316" s="7" t="s">
        <v>16</v>
      </c>
      <c r="G1316" s="22">
        <v>43344</v>
      </c>
      <c r="H1316" s="8">
        <v>85790</v>
      </c>
      <c r="I1316" s="7" t="str">
        <f t="shared" si="224"/>
        <v>nishita.amrutlal@pr.aml.ba</v>
      </c>
      <c r="J1316" s="6" t="s">
        <v>1536</v>
      </c>
      <c r="K1316" s="6">
        <v>77</v>
      </c>
      <c r="L1316" s="7" t="str">
        <f t="shared" si="225"/>
        <v>pr.aml.ba</v>
      </c>
      <c r="M1316" s="7" t="str">
        <f t="shared" si="226"/>
        <v>A.Nishita</v>
      </c>
      <c r="N1316" s="6">
        <f t="shared" si="221"/>
        <v>0</v>
      </c>
      <c r="O1316" s="6">
        <f t="shared" si="220"/>
        <v>0</v>
      </c>
      <c r="P1316" s="6" t="str">
        <f t="shared" si="227"/>
        <v>N</v>
      </c>
      <c r="Q1316" s="6">
        <f t="shared" si="228"/>
        <v>15</v>
      </c>
      <c r="R1316" s="6" t="str">
        <f t="shared" si="229"/>
        <v>2018</v>
      </c>
      <c r="S1316" s="6" t="str">
        <f t="shared" si="230"/>
        <v>Sep</v>
      </c>
    </row>
    <row r="1317" spans="1:19" x14ac:dyDescent="0.25">
      <c r="A1317" s="6">
        <v>1408</v>
      </c>
      <c r="B1317" s="6" t="str">
        <f t="shared" si="222"/>
        <v>NIKPRO01408</v>
      </c>
      <c r="C1317" s="7" t="s">
        <v>1444</v>
      </c>
      <c r="D1317" s="7" t="s">
        <v>1376</v>
      </c>
      <c r="E1317" s="7" t="str">
        <f t="shared" si="223"/>
        <v>ARTI DIPAKBHAI</v>
      </c>
      <c r="F1317" s="7" t="s">
        <v>16</v>
      </c>
      <c r="G1317" s="22">
        <v>45170</v>
      </c>
      <c r="H1317" s="8">
        <v>105530</v>
      </c>
      <c r="I1317" s="7" t="str">
        <f t="shared" si="224"/>
        <v>arti.dipakbhai@pr.dii.ba</v>
      </c>
      <c r="J1317" s="6" t="s">
        <v>1540</v>
      </c>
      <c r="K1317" s="6">
        <v>73</v>
      </c>
      <c r="L1317" s="7" t="str">
        <f t="shared" si="225"/>
        <v>pr.dii.ba</v>
      </c>
      <c r="M1317" s="7" t="str">
        <f t="shared" si="226"/>
        <v>D.Arti</v>
      </c>
      <c r="N1317" s="6">
        <f t="shared" si="221"/>
        <v>0</v>
      </c>
      <c r="O1317" s="6">
        <f t="shared" si="220"/>
        <v>0</v>
      </c>
      <c r="P1317" s="6" t="str">
        <f t="shared" si="227"/>
        <v>N</v>
      </c>
      <c r="Q1317" s="6">
        <f t="shared" si="228"/>
        <v>13</v>
      </c>
      <c r="R1317" s="6" t="str">
        <f t="shared" si="229"/>
        <v>2023</v>
      </c>
      <c r="S1317" s="6" t="str">
        <f t="shared" si="230"/>
        <v>Sep</v>
      </c>
    </row>
    <row r="1318" spans="1:19" x14ac:dyDescent="0.25">
      <c r="A1318" s="6">
        <v>1411</v>
      </c>
      <c r="B1318" s="6" t="str">
        <f t="shared" si="222"/>
        <v>NIKPRO01411</v>
      </c>
      <c r="C1318" s="7" t="s">
        <v>125</v>
      </c>
      <c r="D1318" s="7" t="s">
        <v>1446</v>
      </c>
      <c r="E1318" s="7" t="str">
        <f t="shared" si="223"/>
        <v>VIKAS SARPAL</v>
      </c>
      <c r="F1318" s="7" t="s">
        <v>16</v>
      </c>
      <c r="G1318" s="22">
        <v>41157</v>
      </c>
      <c r="H1318" s="8">
        <v>63321</v>
      </c>
      <c r="I1318" s="7" t="str">
        <f t="shared" si="224"/>
        <v>vikas.sarpal@pr.sal.ba</v>
      </c>
      <c r="J1318" s="6" t="s">
        <v>1541</v>
      </c>
      <c r="K1318" s="6">
        <v>74</v>
      </c>
      <c r="L1318" s="7" t="str">
        <f t="shared" si="225"/>
        <v>pr.sal.ba</v>
      </c>
      <c r="M1318" s="7" t="str">
        <f t="shared" si="226"/>
        <v>S.Vikas</v>
      </c>
      <c r="N1318" s="6">
        <f t="shared" si="221"/>
        <v>0</v>
      </c>
      <c r="O1318" s="6">
        <f t="shared" si="220"/>
        <v>0</v>
      </c>
      <c r="P1318" s="6" t="str">
        <f t="shared" si="227"/>
        <v>N</v>
      </c>
      <c r="Q1318" s="6">
        <f t="shared" si="228"/>
        <v>11</v>
      </c>
      <c r="R1318" s="6" t="str">
        <f t="shared" si="229"/>
        <v>2012</v>
      </c>
      <c r="S1318" s="6" t="str">
        <f t="shared" si="230"/>
        <v>Sep</v>
      </c>
    </row>
    <row r="1319" spans="1:19" x14ac:dyDescent="0.25">
      <c r="A1319" s="6">
        <v>1422</v>
      </c>
      <c r="B1319" s="6" t="str">
        <f t="shared" si="222"/>
        <v>NIKPRO01422</v>
      </c>
      <c r="C1319" s="7" t="s">
        <v>363</v>
      </c>
      <c r="D1319" s="7" t="s">
        <v>1163</v>
      </c>
      <c r="E1319" s="7" t="str">
        <f t="shared" si="223"/>
        <v>MEDHA AJIT</v>
      </c>
      <c r="F1319" s="7" t="s">
        <v>16</v>
      </c>
      <c r="G1319" s="22">
        <v>45002</v>
      </c>
      <c r="H1319" s="8">
        <v>69385</v>
      </c>
      <c r="I1319" s="7" t="str">
        <f t="shared" si="224"/>
        <v>medha.ajit@pr.ajt.ba</v>
      </c>
      <c r="J1319" s="6" t="s">
        <v>1535</v>
      </c>
      <c r="K1319" s="6">
        <v>51</v>
      </c>
      <c r="L1319" s="7" t="str">
        <f t="shared" si="225"/>
        <v>pr.ajt.ba</v>
      </c>
      <c r="M1319" s="7" t="str">
        <f t="shared" si="226"/>
        <v>A.Medha</v>
      </c>
      <c r="N1319" s="6">
        <f t="shared" si="221"/>
        <v>2</v>
      </c>
      <c r="O1319" s="6">
        <f t="shared" si="220"/>
        <v>0</v>
      </c>
      <c r="P1319" s="6" t="str">
        <f t="shared" si="227"/>
        <v>N</v>
      </c>
      <c r="Q1319" s="6">
        <f t="shared" si="228"/>
        <v>9</v>
      </c>
      <c r="R1319" s="6" t="str">
        <f t="shared" si="229"/>
        <v>2023</v>
      </c>
      <c r="S1319" s="6" t="str">
        <f t="shared" si="230"/>
        <v>Mar</v>
      </c>
    </row>
    <row r="1320" spans="1:19" x14ac:dyDescent="0.25">
      <c r="A1320" s="6">
        <v>1432</v>
      </c>
      <c r="B1320" s="6" t="str">
        <f t="shared" si="222"/>
        <v>NIKPRO01432</v>
      </c>
      <c r="C1320" s="7" t="s">
        <v>1465</v>
      </c>
      <c r="D1320" s="7" t="s">
        <v>1240</v>
      </c>
      <c r="E1320" s="7" t="str">
        <f t="shared" si="223"/>
        <v>Anjali Sharma</v>
      </c>
      <c r="F1320" s="7" t="s">
        <v>16</v>
      </c>
      <c r="G1320" s="22">
        <v>45413</v>
      </c>
      <c r="H1320" s="8">
        <v>65032</v>
      </c>
      <c r="I1320" s="7" t="str">
        <f t="shared" si="224"/>
        <v>anjali.sharma@pr.sha.ba</v>
      </c>
      <c r="J1320" s="6" t="s">
        <v>1537</v>
      </c>
      <c r="K1320" s="6">
        <v>85</v>
      </c>
      <c r="L1320" s="7" t="str">
        <f t="shared" si="225"/>
        <v>pr.sha.ba</v>
      </c>
      <c r="M1320" s="7" t="str">
        <f t="shared" si="226"/>
        <v>S.Anjali</v>
      </c>
      <c r="N1320" s="6">
        <f t="shared" si="221"/>
        <v>0</v>
      </c>
      <c r="O1320" s="6">
        <f t="shared" si="220"/>
        <v>0</v>
      </c>
      <c r="P1320" s="6" t="str">
        <f t="shared" si="227"/>
        <v>N</v>
      </c>
      <c r="Q1320" s="6">
        <f t="shared" si="228"/>
        <v>12</v>
      </c>
      <c r="R1320" s="6" t="str">
        <f t="shared" si="229"/>
        <v>2024</v>
      </c>
      <c r="S1320" s="6" t="str">
        <f t="shared" si="230"/>
        <v>May</v>
      </c>
    </row>
    <row r="1321" spans="1:19" x14ac:dyDescent="0.25">
      <c r="A1321" s="6">
        <v>1448</v>
      </c>
      <c r="B1321" s="6" t="str">
        <f t="shared" si="222"/>
        <v>NIKPRO01448</v>
      </c>
      <c r="C1321" s="7" t="s">
        <v>1488</v>
      </c>
      <c r="D1321" s="7" t="s">
        <v>1489</v>
      </c>
      <c r="E1321" s="7" t="str">
        <f t="shared" si="223"/>
        <v>Aasim Anis</v>
      </c>
      <c r="F1321" s="7" t="s">
        <v>16</v>
      </c>
      <c r="G1321" s="22">
        <v>45352</v>
      </c>
      <c r="H1321" s="8">
        <v>52735</v>
      </c>
      <c r="I1321" s="7" t="str">
        <f t="shared" si="224"/>
        <v>aasim.anis@pr.ans.ba</v>
      </c>
      <c r="J1321" s="6" t="s">
        <v>1545</v>
      </c>
      <c r="K1321" s="6">
        <v>77</v>
      </c>
      <c r="L1321" s="7" t="str">
        <f t="shared" si="225"/>
        <v>pr.ans.ba</v>
      </c>
      <c r="M1321" s="7" t="str">
        <f t="shared" si="226"/>
        <v>A.Aasim</v>
      </c>
      <c r="N1321" s="6">
        <f t="shared" si="221"/>
        <v>0</v>
      </c>
      <c r="O1321" s="6">
        <f t="shared" si="220"/>
        <v>0</v>
      </c>
      <c r="P1321" s="6" t="str">
        <f t="shared" si="227"/>
        <v>N</v>
      </c>
      <c r="Q1321" s="6">
        <f t="shared" si="228"/>
        <v>9</v>
      </c>
      <c r="R1321" s="6" t="str">
        <f t="shared" si="229"/>
        <v>2024</v>
      </c>
      <c r="S1321" s="6" t="str">
        <f t="shared" si="230"/>
        <v>Mar</v>
      </c>
    </row>
    <row r="1322" spans="1:19" x14ac:dyDescent="0.25">
      <c r="A1322" s="6">
        <v>1463</v>
      </c>
      <c r="B1322" s="6" t="str">
        <f t="shared" si="222"/>
        <v>NIKPRO01463</v>
      </c>
      <c r="C1322" s="7" t="s">
        <v>847</v>
      </c>
      <c r="D1322" s="7" t="s">
        <v>530</v>
      </c>
      <c r="E1322" s="7" t="str">
        <f t="shared" si="223"/>
        <v>KHUSHBOO KHURANA</v>
      </c>
      <c r="F1322" s="7" t="s">
        <v>16</v>
      </c>
      <c r="G1322" s="22">
        <v>45516</v>
      </c>
      <c r="H1322" s="8">
        <v>104029</v>
      </c>
      <c r="I1322" s="7" t="str">
        <f t="shared" si="224"/>
        <v>khushboo.khurana@pr.kha.ba</v>
      </c>
      <c r="J1322" s="6" t="s">
        <v>1543</v>
      </c>
      <c r="K1322" s="6">
        <v>41</v>
      </c>
      <c r="L1322" s="7" t="str">
        <f t="shared" si="225"/>
        <v>pr.kha.ba</v>
      </c>
      <c r="M1322" s="7" t="str">
        <f t="shared" si="226"/>
        <v>K.Khushboo</v>
      </c>
      <c r="N1322" s="6">
        <f t="shared" si="221"/>
        <v>0</v>
      </c>
      <c r="O1322" s="6">
        <f t="shared" si="220"/>
        <v>0</v>
      </c>
      <c r="P1322" s="6" t="str">
        <f t="shared" si="227"/>
        <v>N</v>
      </c>
      <c r="Q1322" s="6">
        <f t="shared" si="228"/>
        <v>15</v>
      </c>
      <c r="R1322" s="6" t="str">
        <f t="shared" si="229"/>
        <v>2024</v>
      </c>
      <c r="S1322" s="6" t="str">
        <f t="shared" si="230"/>
        <v>Aug</v>
      </c>
    </row>
    <row r="1323" spans="1:19" x14ac:dyDescent="0.25">
      <c r="A1323" s="6">
        <v>1464</v>
      </c>
      <c r="B1323" s="6" t="str">
        <f t="shared" si="222"/>
        <v>NIKPRO01464</v>
      </c>
      <c r="C1323" s="7" t="s">
        <v>1507</v>
      </c>
      <c r="D1323" s="7" t="s">
        <v>1508</v>
      </c>
      <c r="E1323" s="7" t="str">
        <f t="shared" si="223"/>
        <v>Avani Mayank</v>
      </c>
      <c r="F1323" s="7" t="s">
        <v>16</v>
      </c>
      <c r="G1323" s="22">
        <v>45188</v>
      </c>
      <c r="H1323" s="8">
        <v>53878</v>
      </c>
      <c r="I1323" s="7" t="str">
        <f t="shared" si="224"/>
        <v>avani.mayank@pr.mak.ba</v>
      </c>
      <c r="J1323" s="6" t="s">
        <v>1534</v>
      </c>
      <c r="K1323" s="6">
        <v>40</v>
      </c>
      <c r="L1323" s="7" t="str">
        <f t="shared" si="225"/>
        <v>pr.mak.ba</v>
      </c>
      <c r="M1323" s="7" t="str">
        <f t="shared" si="226"/>
        <v>M.Avani</v>
      </c>
      <c r="N1323" s="6">
        <f t="shared" si="221"/>
        <v>0</v>
      </c>
      <c r="O1323" s="6">
        <f t="shared" si="220"/>
        <v>0</v>
      </c>
      <c r="P1323" s="6" t="str">
        <f t="shared" si="227"/>
        <v>N</v>
      </c>
      <c r="Q1323" s="6">
        <f t="shared" si="228"/>
        <v>11</v>
      </c>
      <c r="R1323" s="6" t="str">
        <f t="shared" si="229"/>
        <v>2023</v>
      </c>
      <c r="S1323" s="6" t="str">
        <f t="shared" si="230"/>
        <v>Sep</v>
      </c>
    </row>
    <row r="1324" spans="1:19" x14ac:dyDescent="0.25">
      <c r="A1324" s="6">
        <v>1466</v>
      </c>
      <c r="B1324" s="6" t="str">
        <f t="shared" si="222"/>
        <v>NIKPRO01466</v>
      </c>
      <c r="C1324" s="7" t="s">
        <v>1511</v>
      </c>
      <c r="D1324" s="7" t="s">
        <v>1512</v>
      </c>
      <c r="E1324" s="7" t="str">
        <f t="shared" si="223"/>
        <v>Anjani Ganguly</v>
      </c>
      <c r="F1324" s="7" t="s">
        <v>16</v>
      </c>
      <c r="G1324" s="22">
        <v>43328</v>
      </c>
      <c r="H1324" s="8">
        <v>61426</v>
      </c>
      <c r="I1324" s="7" t="str">
        <f t="shared" si="224"/>
        <v>anjani.ganguly@pr.gay.ba</v>
      </c>
      <c r="J1324" s="6" t="s">
        <v>1544</v>
      </c>
      <c r="K1324" s="6">
        <v>67</v>
      </c>
      <c r="L1324" s="7" t="str">
        <f t="shared" si="225"/>
        <v>pr.gay.ba</v>
      </c>
      <c r="M1324" s="7" t="str">
        <f t="shared" si="226"/>
        <v>G.Anjani</v>
      </c>
      <c r="N1324" s="6">
        <f t="shared" si="221"/>
        <v>0</v>
      </c>
      <c r="O1324" s="6">
        <f t="shared" ref="O1324:O1387" si="231">IFERROR(SEARCH("e",D1324),0)</f>
        <v>0</v>
      </c>
      <c r="P1324" s="6" t="str">
        <f t="shared" si="227"/>
        <v>N</v>
      </c>
      <c r="Q1324" s="6">
        <f t="shared" si="228"/>
        <v>13</v>
      </c>
      <c r="R1324" s="6" t="str">
        <f t="shared" si="229"/>
        <v>2018</v>
      </c>
      <c r="S1324" s="6" t="str">
        <f t="shared" si="230"/>
        <v>Aug</v>
      </c>
    </row>
    <row r="1325" spans="1:19" x14ac:dyDescent="0.25">
      <c r="A1325" s="6">
        <v>14</v>
      </c>
      <c r="B1325" s="6" t="str">
        <f t="shared" si="222"/>
        <v>NIKTEC00014</v>
      </c>
      <c r="C1325" s="7" t="s">
        <v>71</v>
      </c>
      <c r="D1325" s="7" t="s">
        <v>72</v>
      </c>
      <c r="E1325" s="7" t="str">
        <f t="shared" si="223"/>
        <v>ARUN KUMAWAT</v>
      </c>
      <c r="F1325" s="7" t="s">
        <v>17</v>
      </c>
      <c r="G1325" s="22">
        <v>39209</v>
      </c>
      <c r="H1325" s="8">
        <v>82455</v>
      </c>
      <c r="I1325" s="7" t="str">
        <f t="shared" si="224"/>
        <v>arun.kumawat@te.kut.ba</v>
      </c>
      <c r="J1325" s="6" t="s">
        <v>1545</v>
      </c>
      <c r="K1325" s="6">
        <v>56</v>
      </c>
      <c r="L1325" s="7" t="str">
        <f t="shared" si="225"/>
        <v>te.kut.ba</v>
      </c>
      <c r="M1325" s="7" t="str">
        <f t="shared" si="226"/>
        <v>K.Arun</v>
      </c>
      <c r="N1325" s="6">
        <f t="shared" si="221"/>
        <v>0</v>
      </c>
      <c r="O1325" s="6">
        <f t="shared" si="231"/>
        <v>0</v>
      </c>
      <c r="P1325" s="6" t="str">
        <f t="shared" si="227"/>
        <v>N</v>
      </c>
      <c r="Q1325" s="6">
        <f t="shared" si="228"/>
        <v>11</v>
      </c>
      <c r="R1325" s="6" t="str">
        <f t="shared" si="229"/>
        <v>2007</v>
      </c>
      <c r="S1325" s="6" t="str">
        <f t="shared" si="230"/>
        <v>May</v>
      </c>
    </row>
    <row r="1326" spans="1:19" x14ac:dyDescent="0.25">
      <c r="A1326" s="6">
        <v>17</v>
      </c>
      <c r="B1326" s="6" t="str">
        <f t="shared" si="222"/>
        <v>NIKTEC00017</v>
      </c>
      <c r="C1326" s="7" t="s">
        <v>77</v>
      </c>
      <c r="D1326" s="7" t="s">
        <v>68</v>
      </c>
      <c r="E1326" s="7" t="str">
        <f t="shared" si="223"/>
        <v>RAJEEV KUMAR</v>
      </c>
      <c r="F1326" s="7" t="s">
        <v>17</v>
      </c>
      <c r="G1326" s="22">
        <v>39210</v>
      </c>
      <c r="H1326" s="8">
        <v>104656</v>
      </c>
      <c r="I1326" s="7" t="str">
        <f t="shared" si="224"/>
        <v>rajeev.kumar@te.kur.ba</v>
      </c>
      <c r="J1326" s="6" t="s">
        <v>1548</v>
      </c>
      <c r="K1326" s="6">
        <v>56</v>
      </c>
      <c r="L1326" s="7" t="str">
        <f t="shared" si="225"/>
        <v>te.kur.ba</v>
      </c>
      <c r="M1326" s="7" t="str">
        <f t="shared" si="226"/>
        <v>K.Rajeev</v>
      </c>
      <c r="N1326" s="6">
        <f t="shared" ref="N1326:N1389" si="232">IFERROR(SEARCH("e",C1326),0)</f>
        <v>4</v>
      </c>
      <c r="O1326" s="6">
        <f t="shared" si="231"/>
        <v>0</v>
      </c>
      <c r="P1326" s="6" t="str">
        <f t="shared" si="227"/>
        <v>N</v>
      </c>
      <c r="Q1326" s="6">
        <f t="shared" si="228"/>
        <v>11</v>
      </c>
      <c r="R1326" s="6" t="str">
        <f t="shared" si="229"/>
        <v>2007</v>
      </c>
      <c r="S1326" s="6" t="str">
        <f t="shared" si="230"/>
        <v>May</v>
      </c>
    </row>
    <row r="1327" spans="1:19" x14ac:dyDescent="0.25">
      <c r="A1327" s="6">
        <v>27</v>
      </c>
      <c r="B1327" s="6" t="str">
        <f t="shared" si="222"/>
        <v>NIKTEC00027</v>
      </c>
      <c r="C1327" s="7" t="s">
        <v>19</v>
      </c>
      <c r="D1327" s="7" t="s">
        <v>91</v>
      </c>
      <c r="E1327" s="7" t="str">
        <f t="shared" si="223"/>
        <v>AMIT PATERIYA</v>
      </c>
      <c r="F1327" s="7" t="s">
        <v>17</v>
      </c>
      <c r="G1327" s="22">
        <v>39349</v>
      </c>
      <c r="H1327" s="8">
        <v>53449</v>
      </c>
      <c r="I1327" s="7" t="str">
        <f t="shared" si="224"/>
        <v>amit.pateriya@te.paa.ba</v>
      </c>
      <c r="J1327" s="6" t="s">
        <v>1549</v>
      </c>
      <c r="K1327" s="6">
        <v>78</v>
      </c>
      <c r="L1327" s="7" t="str">
        <f t="shared" si="225"/>
        <v>te.paa.ba</v>
      </c>
      <c r="M1327" s="7" t="str">
        <f t="shared" si="226"/>
        <v>P.Amit</v>
      </c>
      <c r="N1327" s="6">
        <f t="shared" si="232"/>
        <v>0</v>
      </c>
      <c r="O1327" s="6">
        <f t="shared" si="231"/>
        <v>4</v>
      </c>
      <c r="P1327" s="6" t="str">
        <f t="shared" si="227"/>
        <v>N</v>
      </c>
      <c r="Q1327" s="6">
        <f t="shared" si="228"/>
        <v>12</v>
      </c>
      <c r="R1327" s="6" t="str">
        <f t="shared" si="229"/>
        <v>2007</v>
      </c>
      <c r="S1327" s="6" t="str">
        <f t="shared" si="230"/>
        <v>Sep</v>
      </c>
    </row>
    <row r="1328" spans="1:19" x14ac:dyDescent="0.25">
      <c r="A1328" s="6">
        <v>36</v>
      </c>
      <c r="B1328" s="6" t="str">
        <f t="shared" si="222"/>
        <v>NIKTEC00036</v>
      </c>
      <c r="C1328" s="7" t="s">
        <v>105</v>
      </c>
      <c r="D1328" s="7" t="s">
        <v>106</v>
      </c>
      <c r="E1328" s="7" t="str">
        <f t="shared" si="223"/>
        <v>JAIWANT HATE</v>
      </c>
      <c r="F1328" s="7" t="s">
        <v>17</v>
      </c>
      <c r="G1328" s="22">
        <v>39815</v>
      </c>
      <c r="H1328" s="8">
        <v>29380</v>
      </c>
      <c r="I1328" s="7" t="str">
        <f t="shared" si="224"/>
        <v>jaiwant.hate@te.hae.ba</v>
      </c>
      <c r="J1328" s="6" t="s">
        <v>1534</v>
      </c>
      <c r="K1328" s="6">
        <v>64</v>
      </c>
      <c r="L1328" s="7" t="str">
        <f t="shared" si="225"/>
        <v>te.hae.ba</v>
      </c>
      <c r="M1328" s="7" t="str">
        <f t="shared" si="226"/>
        <v>H.Jaiwant</v>
      </c>
      <c r="N1328" s="6">
        <f t="shared" si="232"/>
        <v>0</v>
      </c>
      <c r="O1328" s="6">
        <f t="shared" si="231"/>
        <v>4</v>
      </c>
      <c r="P1328" s="6" t="str">
        <f t="shared" si="227"/>
        <v>N</v>
      </c>
      <c r="Q1328" s="6">
        <f t="shared" si="228"/>
        <v>11</v>
      </c>
      <c r="R1328" s="6" t="str">
        <f t="shared" si="229"/>
        <v>2009</v>
      </c>
      <c r="S1328" s="6" t="str">
        <f t="shared" si="230"/>
        <v>Jan</v>
      </c>
    </row>
    <row r="1329" spans="1:19" x14ac:dyDescent="0.25">
      <c r="A1329" s="6">
        <v>49</v>
      </c>
      <c r="B1329" s="6" t="str">
        <f t="shared" si="222"/>
        <v>NIKTEC00049</v>
      </c>
      <c r="C1329" s="7" t="s">
        <v>123</v>
      </c>
      <c r="D1329" s="7" t="s">
        <v>124</v>
      </c>
      <c r="E1329" s="7" t="str">
        <f t="shared" si="223"/>
        <v>ASHWIN SHUKLA</v>
      </c>
      <c r="F1329" s="7" t="s">
        <v>17</v>
      </c>
      <c r="G1329" s="22">
        <v>40592</v>
      </c>
      <c r="H1329" s="8">
        <v>89274</v>
      </c>
      <c r="I1329" s="7" t="str">
        <f t="shared" si="224"/>
        <v>ashwin.shukla@te.sha.ba</v>
      </c>
      <c r="J1329" s="6" t="s">
        <v>1544</v>
      </c>
      <c r="K1329" s="6">
        <v>83</v>
      </c>
      <c r="L1329" s="7" t="str">
        <f t="shared" si="225"/>
        <v>te.sha.ba</v>
      </c>
      <c r="M1329" s="7" t="str">
        <f t="shared" si="226"/>
        <v>S.Ashwin</v>
      </c>
      <c r="N1329" s="6">
        <f t="shared" si="232"/>
        <v>0</v>
      </c>
      <c r="O1329" s="6">
        <f t="shared" si="231"/>
        <v>0</v>
      </c>
      <c r="P1329" s="6" t="str">
        <f t="shared" si="227"/>
        <v>N</v>
      </c>
      <c r="Q1329" s="6">
        <f t="shared" si="228"/>
        <v>12</v>
      </c>
      <c r="R1329" s="6" t="str">
        <f t="shared" si="229"/>
        <v>2011</v>
      </c>
      <c r="S1329" s="6" t="str">
        <f t="shared" si="230"/>
        <v>Feb</v>
      </c>
    </row>
    <row r="1330" spans="1:19" x14ac:dyDescent="0.25">
      <c r="A1330" s="6">
        <v>55</v>
      </c>
      <c r="B1330" s="6" t="str">
        <f t="shared" si="222"/>
        <v>NIKTEC00055</v>
      </c>
      <c r="C1330" s="7" t="s">
        <v>130</v>
      </c>
      <c r="D1330" s="7" t="s">
        <v>131</v>
      </c>
      <c r="E1330" s="7" t="str">
        <f t="shared" si="223"/>
        <v>DIKSHA RANA</v>
      </c>
      <c r="F1330" s="7" t="s">
        <v>17</v>
      </c>
      <c r="G1330" s="22">
        <v>40904</v>
      </c>
      <c r="H1330" s="8">
        <v>87572</v>
      </c>
      <c r="I1330" s="7" t="str">
        <f t="shared" si="224"/>
        <v>diksha.rana@te.raa.ba</v>
      </c>
      <c r="J1330" s="6" t="s">
        <v>1545</v>
      </c>
      <c r="K1330" s="6">
        <v>59</v>
      </c>
      <c r="L1330" s="7" t="str">
        <f t="shared" si="225"/>
        <v>te.raa.ba</v>
      </c>
      <c r="M1330" s="7" t="str">
        <f t="shared" si="226"/>
        <v>R.Diksha</v>
      </c>
      <c r="N1330" s="6">
        <f t="shared" si="232"/>
        <v>0</v>
      </c>
      <c r="O1330" s="6">
        <f t="shared" si="231"/>
        <v>0</v>
      </c>
      <c r="P1330" s="6" t="str">
        <f t="shared" si="227"/>
        <v>N</v>
      </c>
      <c r="Q1330" s="6">
        <f t="shared" si="228"/>
        <v>10</v>
      </c>
      <c r="R1330" s="6" t="str">
        <f t="shared" si="229"/>
        <v>2011</v>
      </c>
      <c r="S1330" s="6" t="str">
        <f t="shared" si="230"/>
        <v>Dec</v>
      </c>
    </row>
    <row r="1331" spans="1:19" x14ac:dyDescent="0.25">
      <c r="A1331" s="6">
        <v>70</v>
      </c>
      <c r="B1331" s="6" t="str">
        <f t="shared" si="222"/>
        <v>NIKTEC00070</v>
      </c>
      <c r="C1331" s="7" t="s">
        <v>136</v>
      </c>
      <c r="D1331" s="7" t="s">
        <v>70</v>
      </c>
      <c r="E1331" s="7" t="str">
        <f t="shared" si="223"/>
        <v>JASWINDER SINGH</v>
      </c>
      <c r="F1331" s="7" t="s">
        <v>17</v>
      </c>
      <c r="G1331" s="22">
        <v>41519</v>
      </c>
      <c r="H1331" s="8">
        <v>38109</v>
      </c>
      <c r="I1331" s="7" t="str">
        <f t="shared" si="224"/>
        <v>jaswinder.singh@te.sih.ba</v>
      </c>
      <c r="J1331" s="6" t="s">
        <v>1541</v>
      </c>
      <c r="K1331" s="6">
        <v>72</v>
      </c>
      <c r="L1331" s="7" t="str">
        <f t="shared" si="225"/>
        <v>te.sih.ba</v>
      </c>
      <c r="M1331" s="7" t="str">
        <f t="shared" si="226"/>
        <v>S.Jaswinder</v>
      </c>
      <c r="N1331" s="6">
        <f t="shared" si="232"/>
        <v>8</v>
      </c>
      <c r="O1331" s="6">
        <f t="shared" si="231"/>
        <v>0</v>
      </c>
      <c r="P1331" s="6" t="str">
        <f t="shared" si="227"/>
        <v>N</v>
      </c>
      <c r="Q1331" s="6">
        <f t="shared" si="228"/>
        <v>14</v>
      </c>
      <c r="R1331" s="6" t="str">
        <f t="shared" si="229"/>
        <v>2013</v>
      </c>
      <c r="S1331" s="6" t="str">
        <f t="shared" si="230"/>
        <v>Sep</v>
      </c>
    </row>
    <row r="1332" spans="1:19" x14ac:dyDescent="0.25">
      <c r="A1332" s="6">
        <v>80</v>
      </c>
      <c r="B1332" s="6" t="str">
        <f t="shared" si="222"/>
        <v>NIKTEC00080</v>
      </c>
      <c r="C1332" s="7" t="s">
        <v>164</v>
      </c>
      <c r="D1332" s="7" t="s">
        <v>165</v>
      </c>
      <c r="E1332" s="7" t="str">
        <f t="shared" si="223"/>
        <v>KAMTA CHAWARGUWAL</v>
      </c>
      <c r="F1332" s="7" t="s">
        <v>17</v>
      </c>
      <c r="G1332" s="22">
        <v>41922</v>
      </c>
      <c r="H1332" s="8">
        <v>55525</v>
      </c>
      <c r="I1332" s="7" t="str">
        <f t="shared" si="224"/>
        <v>kamta.chawarguwal@te.chl.ba</v>
      </c>
      <c r="J1332" s="6" t="s">
        <v>1535</v>
      </c>
      <c r="K1332" s="6">
        <v>80</v>
      </c>
      <c r="L1332" s="7" t="str">
        <f t="shared" si="225"/>
        <v>te.chl.ba</v>
      </c>
      <c r="M1332" s="7" t="str">
        <f t="shared" si="226"/>
        <v>C.Kamta</v>
      </c>
      <c r="N1332" s="6">
        <f t="shared" si="232"/>
        <v>0</v>
      </c>
      <c r="O1332" s="6">
        <f t="shared" si="231"/>
        <v>0</v>
      </c>
      <c r="P1332" s="6" t="str">
        <f t="shared" si="227"/>
        <v>N</v>
      </c>
      <c r="Q1332" s="6">
        <f t="shared" si="228"/>
        <v>16</v>
      </c>
      <c r="R1332" s="6" t="str">
        <f t="shared" si="229"/>
        <v>2014</v>
      </c>
      <c r="S1332" s="6" t="str">
        <f t="shared" si="230"/>
        <v>Oct</v>
      </c>
    </row>
    <row r="1333" spans="1:19" x14ac:dyDescent="0.25">
      <c r="A1333" s="6">
        <v>91</v>
      </c>
      <c r="B1333" s="6" t="str">
        <f t="shared" si="222"/>
        <v>NIKTEC00091</v>
      </c>
      <c r="C1333" s="7" t="s">
        <v>86</v>
      </c>
      <c r="D1333" s="7" t="s">
        <v>180</v>
      </c>
      <c r="E1333" s="7" t="str">
        <f t="shared" si="223"/>
        <v>MANISH GHUDE</v>
      </c>
      <c r="F1333" s="7" t="s">
        <v>17</v>
      </c>
      <c r="G1333" s="22">
        <v>42249</v>
      </c>
      <c r="H1333" s="8">
        <v>96829</v>
      </c>
      <c r="I1333" s="7" t="str">
        <f t="shared" si="224"/>
        <v>manish.ghude@te.ghe.ba</v>
      </c>
      <c r="J1333" s="6" t="s">
        <v>1547</v>
      </c>
      <c r="K1333" s="6">
        <v>51</v>
      </c>
      <c r="L1333" s="7" t="str">
        <f t="shared" si="225"/>
        <v>te.ghe.ba</v>
      </c>
      <c r="M1333" s="7" t="str">
        <f t="shared" si="226"/>
        <v>G.Manish</v>
      </c>
      <c r="N1333" s="6">
        <f t="shared" si="232"/>
        <v>0</v>
      </c>
      <c r="O1333" s="6">
        <f t="shared" si="231"/>
        <v>5</v>
      </c>
      <c r="P1333" s="6" t="str">
        <f t="shared" si="227"/>
        <v>N</v>
      </c>
      <c r="Q1333" s="6">
        <f t="shared" si="228"/>
        <v>11</v>
      </c>
      <c r="R1333" s="6" t="str">
        <f t="shared" si="229"/>
        <v>2015</v>
      </c>
      <c r="S1333" s="6" t="str">
        <f t="shared" si="230"/>
        <v>Sep</v>
      </c>
    </row>
    <row r="1334" spans="1:19" x14ac:dyDescent="0.25">
      <c r="A1334" s="6">
        <v>105</v>
      </c>
      <c r="B1334" s="6" t="str">
        <f t="shared" si="222"/>
        <v>NIKTEC00105</v>
      </c>
      <c r="C1334" s="7" t="s">
        <v>65</v>
      </c>
      <c r="D1334" s="7" t="s">
        <v>140</v>
      </c>
      <c r="E1334" s="7" t="str">
        <f t="shared" si="223"/>
        <v>RAHUL MISHRA</v>
      </c>
      <c r="F1334" s="7" t="s">
        <v>17</v>
      </c>
      <c r="G1334" s="22">
        <v>42438</v>
      </c>
      <c r="H1334" s="8">
        <v>81783</v>
      </c>
      <c r="I1334" s="7" t="str">
        <f t="shared" si="224"/>
        <v>rahul.mishra@te.mia.ba</v>
      </c>
      <c r="J1334" s="6" t="s">
        <v>1551</v>
      </c>
      <c r="K1334" s="6">
        <v>66</v>
      </c>
      <c r="L1334" s="7" t="str">
        <f t="shared" si="225"/>
        <v>te.mia.ba</v>
      </c>
      <c r="M1334" s="7" t="str">
        <f t="shared" si="226"/>
        <v>M.Rahul</v>
      </c>
      <c r="N1334" s="6">
        <f t="shared" si="232"/>
        <v>0</v>
      </c>
      <c r="O1334" s="6">
        <f t="shared" si="231"/>
        <v>0</v>
      </c>
      <c r="P1334" s="6" t="str">
        <f t="shared" si="227"/>
        <v>N</v>
      </c>
      <c r="Q1334" s="6">
        <f t="shared" si="228"/>
        <v>11</v>
      </c>
      <c r="R1334" s="6" t="str">
        <f t="shared" si="229"/>
        <v>2016</v>
      </c>
      <c r="S1334" s="6" t="str">
        <f t="shared" si="230"/>
        <v>Mar</v>
      </c>
    </row>
    <row r="1335" spans="1:19" x14ac:dyDescent="0.25">
      <c r="A1335" s="6">
        <v>115</v>
      </c>
      <c r="B1335" s="6" t="str">
        <f t="shared" si="222"/>
        <v>NIKTEC00115</v>
      </c>
      <c r="C1335" s="7" t="s">
        <v>210</v>
      </c>
      <c r="D1335" s="7" t="s">
        <v>70</v>
      </c>
      <c r="E1335" s="7" t="str">
        <f t="shared" si="223"/>
        <v>YUVRAJ SINGH</v>
      </c>
      <c r="F1335" s="7" t="s">
        <v>17</v>
      </c>
      <c r="G1335" s="22">
        <v>42534</v>
      </c>
      <c r="H1335" s="8">
        <v>45517</v>
      </c>
      <c r="I1335" s="7" t="str">
        <f t="shared" si="224"/>
        <v>yuvraj.singh@te.sih.ba</v>
      </c>
      <c r="J1335" s="6" t="s">
        <v>1542</v>
      </c>
      <c r="K1335" s="6">
        <v>76</v>
      </c>
      <c r="L1335" s="7" t="str">
        <f t="shared" si="225"/>
        <v>te.sih.ba</v>
      </c>
      <c r="M1335" s="7" t="str">
        <f t="shared" si="226"/>
        <v>S.Yuvraj</v>
      </c>
      <c r="N1335" s="6">
        <f t="shared" si="232"/>
        <v>0</v>
      </c>
      <c r="O1335" s="6">
        <f t="shared" si="231"/>
        <v>0</v>
      </c>
      <c r="P1335" s="6" t="str">
        <f t="shared" si="227"/>
        <v>N</v>
      </c>
      <c r="Q1335" s="6">
        <f t="shared" si="228"/>
        <v>11</v>
      </c>
      <c r="R1335" s="6" t="str">
        <f t="shared" si="229"/>
        <v>2016</v>
      </c>
      <c r="S1335" s="6" t="str">
        <f t="shared" si="230"/>
        <v>Jun</v>
      </c>
    </row>
    <row r="1336" spans="1:19" x14ac:dyDescent="0.25">
      <c r="A1336" s="6">
        <v>116</v>
      </c>
      <c r="B1336" s="6" t="str">
        <f t="shared" si="222"/>
        <v>NIKTEC00116</v>
      </c>
      <c r="C1336" s="7" t="s">
        <v>211</v>
      </c>
      <c r="D1336" s="7" t="s">
        <v>70</v>
      </c>
      <c r="E1336" s="7" t="str">
        <f t="shared" si="223"/>
        <v>ASHOK SINGH</v>
      </c>
      <c r="F1336" s="7" t="s">
        <v>17</v>
      </c>
      <c r="G1336" s="22">
        <v>42551</v>
      </c>
      <c r="H1336" s="8">
        <v>71444</v>
      </c>
      <c r="I1336" s="7" t="str">
        <f t="shared" si="224"/>
        <v>ashok.singh@te.sih.ba</v>
      </c>
      <c r="J1336" s="6" t="s">
        <v>1537</v>
      </c>
      <c r="K1336" s="6">
        <v>55</v>
      </c>
      <c r="L1336" s="7" t="str">
        <f t="shared" si="225"/>
        <v>te.sih.ba</v>
      </c>
      <c r="M1336" s="7" t="str">
        <f t="shared" si="226"/>
        <v>S.Ashok</v>
      </c>
      <c r="N1336" s="6">
        <f t="shared" si="232"/>
        <v>0</v>
      </c>
      <c r="O1336" s="6">
        <f t="shared" si="231"/>
        <v>0</v>
      </c>
      <c r="P1336" s="6" t="str">
        <f t="shared" si="227"/>
        <v>N</v>
      </c>
      <c r="Q1336" s="6">
        <f t="shared" si="228"/>
        <v>10</v>
      </c>
      <c r="R1336" s="6" t="str">
        <f t="shared" si="229"/>
        <v>2016</v>
      </c>
      <c r="S1336" s="6" t="str">
        <f t="shared" si="230"/>
        <v>Jun</v>
      </c>
    </row>
    <row r="1337" spans="1:19" x14ac:dyDescent="0.25">
      <c r="A1337" s="6">
        <v>120</v>
      </c>
      <c r="B1337" s="6" t="str">
        <f t="shared" si="222"/>
        <v>NIKTEC00120</v>
      </c>
      <c r="C1337" s="7" t="s">
        <v>215</v>
      </c>
      <c r="D1337" s="7" t="s">
        <v>216</v>
      </c>
      <c r="E1337" s="7" t="str">
        <f t="shared" si="223"/>
        <v>KRUPANAND RAVINDRANATH</v>
      </c>
      <c r="F1337" s="7" t="s">
        <v>17</v>
      </c>
      <c r="G1337" s="22">
        <v>42583</v>
      </c>
      <c r="H1337" s="8">
        <v>86041</v>
      </c>
      <c r="I1337" s="7" t="str">
        <f t="shared" si="224"/>
        <v>krupanand.ravindranath@te.rah.ba</v>
      </c>
      <c r="J1337" s="6" t="s">
        <v>1544</v>
      </c>
      <c r="K1337" s="6">
        <v>54</v>
      </c>
      <c r="L1337" s="7" t="str">
        <f t="shared" si="225"/>
        <v>te.rah.ba</v>
      </c>
      <c r="M1337" s="7" t="str">
        <f t="shared" si="226"/>
        <v>R.Krupanand</v>
      </c>
      <c r="N1337" s="6">
        <f t="shared" si="232"/>
        <v>0</v>
      </c>
      <c r="O1337" s="6">
        <f t="shared" si="231"/>
        <v>0</v>
      </c>
      <c r="P1337" s="6" t="str">
        <f t="shared" si="227"/>
        <v>N</v>
      </c>
      <c r="Q1337" s="6">
        <f t="shared" si="228"/>
        <v>21</v>
      </c>
      <c r="R1337" s="6" t="str">
        <f t="shared" si="229"/>
        <v>2016</v>
      </c>
      <c r="S1337" s="6" t="str">
        <f t="shared" si="230"/>
        <v>Aug</v>
      </c>
    </row>
    <row r="1338" spans="1:19" x14ac:dyDescent="0.25">
      <c r="A1338" s="6">
        <v>121</v>
      </c>
      <c r="B1338" s="6" t="str">
        <f t="shared" si="222"/>
        <v>NIKTEC00121</v>
      </c>
      <c r="C1338" s="7" t="s">
        <v>217</v>
      </c>
      <c r="D1338" s="7" t="s">
        <v>218</v>
      </c>
      <c r="E1338" s="7" t="str">
        <f t="shared" si="223"/>
        <v>MEER WAJED</v>
      </c>
      <c r="F1338" s="7" t="s">
        <v>17</v>
      </c>
      <c r="G1338" s="22">
        <v>42583</v>
      </c>
      <c r="H1338" s="8">
        <v>97854</v>
      </c>
      <c r="I1338" s="7" t="str">
        <f t="shared" si="224"/>
        <v>meer.wajed@te.wad.ba</v>
      </c>
      <c r="J1338" s="6" t="s">
        <v>1532</v>
      </c>
      <c r="K1338" s="6">
        <v>54</v>
      </c>
      <c r="L1338" s="7" t="str">
        <f t="shared" si="225"/>
        <v>te.wad.ba</v>
      </c>
      <c r="M1338" s="7" t="str">
        <f t="shared" si="226"/>
        <v>W.Meer</v>
      </c>
      <c r="N1338" s="6">
        <f t="shared" si="232"/>
        <v>2</v>
      </c>
      <c r="O1338" s="6">
        <f t="shared" si="231"/>
        <v>4</v>
      </c>
      <c r="P1338" s="6" t="str">
        <f t="shared" si="227"/>
        <v>Y</v>
      </c>
      <c r="Q1338" s="6">
        <f t="shared" si="228"/>
        <v>9</v>
      </c>
      <c r="R1338" s="6" t="str">
        <f t="shared" si="229"/>
        <v>2016</v>
      </c>
      <c r="S1338" s="6" t="str">
        <f t="shared" si="230"/>
        <v>Aug</v>
      </c>
    </row>
    <row r="1339" spans="1:19" x14ac:dyDescent="0.25">
      <c r="A1339" s="6">
        <v>130</v>
      </c>
      <c r="B1339" s="6" t="str">
        <f t="shared" si="222"/>
        <v>NIKTEC00130</v>
      </c>
      <c r="C1339" s="7" t="s">
        <v>232</v>
      </c>
      <c r="D1339" s="7" t="s">
        <v>233</v>
      </c>
      <c r="E1339" s="7" t="str">
        <f t="shared" si="223"/>
        <v>ADNAN SHAKEEL</v>
      </c>
      <c r="F1339" s="7" t="s">
        <v>17</v>
      </c>
      <c r="G1339" s="22">
        <v>42660</v>
      </c>
      <c r="H1339" s="8">
        <v>45813</v>
      </c>
      <c r="I1339" s="7" t="str">
        <f t="shared" si="224"/>
        <v>adnan.shakeel@te.shl.ba</v>
      </c>
      <c r="J1339" s="6" t="s">
        <v>1538</v>
      </c>
      <c r="K1339" s="6">
        <v>36</v>
      </c>
      <c r="L1339" s="7" t="str">
        <f t="shared" si="225"/>
        <v>te.shl.ba</v>
      </c>
      <c r="M1339" s="7" t="str">
        <f t="shared" si="226"/>
        <v>S.Adnan</v>
      </c>
      <c r="N1339" s="6">
        <f t="shared" si="232"/>
        <v>0</v>
      </c>
      <c r="O1339" s="6">
        <f t="shared" si="231"/>
        <v>5</v>
      </c>
      <c r="P1339" s="6" t="str">
        <f t="shared" si="227"/>
        <v>N</v>
      </c>
      <c r="Q1339" s="6">
        <f t="shared" si="228"/>
        <v>12</v>
      </c>
      <c r="R1339" s="6" t="str">
        <f t="shared" si="229"/>
        <v>2016</v>
      </c>
      <c r="S1339" s="6" t="str">
        <f t="shared" si="230"/>
        <v>Oct</v>
      </c>
    </row>
    <row r="1340" spans="1:19" x14ac:dyDescent="0.25">
      <c r="A1340" s="6">
        <v>131</v>
      </c>
      <c r="B1340" s="6" t="str">
        <f t="shared" si="222"/>
        <v>NIKTEC00131</v>
      </c>
      <c r="C1340" s="7" t="s">
        <v>234</v>
      </c>
      <c r="D1340" s="7" t="s">
        <v>235</v>
      </c>
      <c r="E1340" s="7" t="str">
        <f t="shared" si="223"/>
        <v>SHRADDHA SAIPRASAD</v>
      </c>
      <c r="F1340" s="7" t="s">
        <v>17</v>
      </c>
      <c r="G1340" s="22">
        <v>42676</v>
      </c>
      <c r="H1340" s="8">
        <v>76706</v>
      </c>
      <c r="I1340" s="7" t="str">
        <f t="shared" si="224"/>
        <v>shraddha.saiprasad@te.sad.ba</v>
      </c>
      <c r="J1340" s="6" t="s">
        <v>1547</v>
      </c>
      <c r="K1340" s="6">
        <v>54</v>
      </c>
      <c r="L1340" s="7" t="str">
        <f t="shared" si="225"/>
        <v>te.sad.ba</v>
      </c>
      <c r="M1340" s="7" t="str">
        <f t="shared" si="226"/>
        <v>S.Shraddha</v>
      </c>
      <c r="N1340" s="6">
        <f t="shared" si="232"/>
        <v>0</v>
      </c>
      <c r="O1340" s="6">
        <f t="shared" si="231"/>
        <v>0</v>
      </c>
      <c r="P1340" s="6" t="str">
        <f t="shared" si="227"/>
        <v>N</v>
      </c>
      <c r="Q1340" s="6">
        <f t="shared" si="228"/>
        <v>17</v>
      </c>
      <c r="R1340" s="6" t="str">
        <f t="shared" si="229"/>
        <v>2016</v>
      </c>
      <c r="S1340" s="6" t="str">
        <f t="shared" si="230"/>
        <v>Nov</v>
      </c>
    </row>
    <row r="1341" spans="1:19" x14ac:dyDescent="0.25">
      <c r="A1341" s="6">
        <v>138</v>
      </c>
      <c r="B1341" s="6" t="str">
        <f t="shared" si="222"/>
        <v>NIKTEC00138</v>
      </c>
      <c r="C1341" s="7" t="s">
        <v>244</v>
      </c>
      <c r="D1341" s="7" t="s">
        <v>245</v>
      </c>
      <c r="E1341" s="7" t="str">
        <f t="shared" si="223"/>
        <v>PULKIT PAREEK</v>
      </c>
      <c r="F1341" s="7" t="s">
        <v>17</v>
      </c>
      <c r="G1341" s="22">
        <v>42719</v>
      </c>
      <c r="H1341" s="8">
        <v>28744</v>
      </c>
      <c r="I1341" s="7" t="str">
        <f t="shared" si="224"/>
        <v>pulkit.pareek@te.pak.ba</v>
      </c>
      <c r="J1341" s="6" t="s">
        <v>1549</v>
      </c>
      <c r="K1341" s="6">
        <v>67</v>
      </c>
      <c r="L1341" s="7" t="str">
        <f t="shared" si="225"/>
        <v>te.pak.ba</v>
      </c>
      <c r="M1341" s="7" t="str">
        <f t="shared" si="226"/>
        <v>P.Pulkit</v>
      </c>
      <c r="N1341" s="6">
        <f t="shared" si="232"/>
        <v>0</v>
      </c>
      <c r="O1341" s="6">
        <f t="shared" si="231"/>
        <v>4</v>
      </c>
      <c r="P1341" s="6" t="str">
        <f t="shared" si="227"/>
        <v>N</v>
      </c>
      <c r="Q1341" s="6">
        <f t="shared" si="228"/>
        <v>12</v>
      </c>
      <c r="R1341" s="6" t="str">
        <f t="shared" si="229"/>
        <v>2016</v>
      </c>
      <c r="S1341" s="6" t="str">
        <f t="shared" si="230"/>
        <v>Dec</v>
      </c>
    </row>
    <row r="1342" spans="1:19" x14ac:dyDescent="0.25">
      <c r="A1342" s="6">
        <v>150</v>
      </c>
      <c r="B1342" s="6" t="str">
        <f t="shared" si="222"/>
        <v>NIKTEC00150</v>
      </c>
      <c r="C1342" s="7" t="s">
        <v>259</v>
      </c>
      <c r="D1342" s="7" t="s">
        <v>260</v>
      </c>
      <c r="E1342" s="7" t="str">
        <f t="shared" si="223"/>
        <v>ASHISH YADAV</v>
      </c>
      <c r="F1342" s="7" t="s">
        <v>17</v>
      </c>
      <c r="G1342" s="22">
        <v>42961</v>
      </c>
      <c r="H1342" s="8">
        <v>29189</v>
      </c>
      <c r="I1342" s="7" t="str">
        <f t="shared" si="224"/>
        <v>ashish.yadav@te.yav.ba</v>
      </c>
      <c r="J1342" s="6" t="s">
        <v>1540</v>
      </c>
      <c r="K1342" s="6">
        <v>88</v>
      </c>
      <c r="L1342" s="7" t="str">
        <f t="shared" si="225"/>
        <v>te.yav.ba</v>
      </c>
      <c r="M1342" s="7" t="str">
        <f t="shared" si="226"/>
        <v>Y.Ashish</v>
      </c>
      <c r="N1342" s="6">
        <f t="shared" si="232"/>
        <v>0</v>
      </c>
      <c r="O1342" s="6">
        <f t="shared" si="231"/>
        <v>0</v>
      </c>
      <c r="P1342" s="6" t="str">
        <f t="shared" si="227"/>
        <v>N</v>
      </c>
      <c r="Q1342" s="6">
        <f t="shared" si="228"/>
        <v>11</v>
      </c>
      <c r="R1342" s="6" t="str">
        <f t="shared" si="229"/>
        <v>2017</v>
      </c>
      <c r="S1342" s="6" t="str">
        <f t="shared" si="230"/>
        <v>Aug</v>
      </c>
    </row>
    <row r="1343" spans="1:19" x14ac:dyDescent="0.25">
      <c r="A1343" s="6">
        <v>151</v>
      </c>
      <c r="B1343" s="6" t="str">
        <f t="shared" si="222"/>
        <v>NIKTEC00151</v>
      </c>
      <c r="C1343" s="7" t="s">
        <v>261</v>
      </c>
      <c r="D1343" s="7" t="s">
        <v>168</v>
      </c>
      <c r="E1343" s="7" t="str">
        <f t="shared" si="223"/>
        <v>ADITYA TIWARI</v>
      </c>
      <c r="F1343" s="7" t="s">
        <v>17</v>
      </c>
      <c r="G1343" s="22">
        <v>42979</v>
      </c>
      <c r="H1343" s="8">
        <v>101520</v>
      </c>
      <c r="I1343" s="7" t="str">
        <f t="shared" si="224"/>
        <v>aditya.tiwari@te.tii.ba</v>
      </c>
      <c r="J1343" s="6" t="s">
        <v>1550</v>
      </c>
      <c r="K1343" s="6">
        <v>48</v>
      </c>
      <c r="L1343" s="7" t="str">
        <f t="shared" si="225"/>
        <v>te.tii.ba</v>
      </c>
      <c r="M1343" s="7" t="str">
        <f t="shared" si="226"/>
        <v>T.Aditya</v>
      </c>
      <c r="N1343" s="6">
        <f t="shared" si="232"/>
        <v>0</v>
      </c>
      <c r="O1343" s="6">
        <f t="shared" si="231"/>
        <v>0</v>
      </c>
      <c r="P1343" s="6" t="str">
        <f t="shared" si="227"/>
        <v>N</v>
      </c>
      <c r="Q1343" s="6">
        <f t="shared" si="228"/>
        <v>12</v>
      </c>
      <c r="R1343" s="6" t="str">
        <f t="shared" si="229"/>
        <v>2017</v>
      </c>
      <c r="S1343" s="6" t="str">
        <f t="shared" si="230"/>
        <v>Sep</v>
      </c>
    </row>
    <row r="1344" spans="1:19" x14ac:dyDescent="0.25">
      <c r="A1344" s="6">
        <v>157</v>
      </c>
      <c r="B1344" s="6" t="str">
        <f t="shared" si="222"/>
        <v>NIKTEC00157</v>
      </c>
      <c r="C1344" s="7" t="s">
        <v>141</v>
      </c>
      <c r="D1344" s="7" t="s">
        <v>265</v>
      </c>
      <c r="E1344" s="7" t="str">
        <f t="shared" si="223"/>
        <v>SAURABH WADEKAR</v>
      </c>
      <c r="F1344" s="7" t="s">
        <v>17</v>
      </c>
      <c r="G1344" s="22">
        <v>43089</v>
      </c>
      <c r="H1344" s="8">
        <v>87716</v>
      </c>
      <c r="I1344" s="7" t="str">
        <f t="shared" si="224"/>
        <v>saurabh.wadekar@te.war.ba</v>
      </c>
      <c r="J1344" s="6" t="s">
        <v>1550</v>
      </c>
      <c r="K1344" s="6">
        <v>36</v>
      </c>
      <c r="L1344" s="7" t="str">
        <f t="shared" si="225"/>
        <v>te.war.ba</v>
      </c>
      <c r="M1344" s="7" t="str">
        <f t="shared" si="226"/>
        <v>W.Saurabh</v>
      </c>
      <c r="N1344" s="6">
        <f t="shared" si="232"/>
        <v>0</v>
      </c>
      <c r="O1344" s="6">
        <f t="shared" si="231"/>
        <v>4</v>
      </c>
      <c r="P1344" s="6" t="str">
        <f t="shared" si="227"/>
        <v>N</v>
      </c>
      <c r="Q1344" s="6">
        <f t="shared" si="228"/>
        <v>14</v>
      </c>
      <c r="R1344" s="6" t="str">
        <f t="shared" si="229"/>
        <v>2017</v>
      </c>
      <c r="S1344" s="6" t="str">
        <f t="shared" si="230"/>
        <v>Dec</v>
      </c>
    </row>
    <row r="1345" spans="1:19" x14ac:dyDescent="0.25">
      <c r="A1345" s="6">
        <v>178</v>
      </c>
      <c r="B1345" s="6" t="str">
        <f t="shared" si="222"/>
        <v>NIKTEC00178</v>
      </c>
      <c r="C1345" s="7" t="s">
        <v>289</v>
      </c>
      <c r="D1345" s="7" t="s">
        <v>290</v>
      </c>
      <c r="E1345" s="7" t="str">
        <f t="shared" si="223"/>
        <v>PRAVIN BABULAL</v>
      </c>
      <c r="F1345" s="7" t="s">
        <v>17</v>
      </c>
      <c r="G1345" s="22">
        <v>43383</v>
      </c>
      <c r="H1345" s="8">
        <v>48178</v>
      </c>
      <c r="I1345" s="7" t="str">
        <f t="shared" si="224"/>
        <v>pravin.babulal@te.bal.ba</v>
      </c>
      <c r="J1345" s="6" t="s">
        <v>1544</v>
      </c>
      <c r="K1345" s="6">
        <v>51</v>
      </c>
      <c r="L1345" s="7" t="str">
        <f t="shared" si="225"/>
        <v>te.bal.ba</v>
      </c>
      <c r="M1345" s="7" t="str">
        <f t="shared" si="226"/>
        <v>B.Pravin</v>
      </c>
      <c r="N1345" s="6">
        <f t="shared" si="232"/>
        <v>0</v>
      </c>
      <c r="O1345" s="6">
        <f t="shared" si="231"/>
        <v>0</v>
      </c>
      <c r="P1345" s="6" t="str">
        <f t="shared" si="227"/>
        <v>N</v>
      </c>
      <c r="Q1345" s="6">
        <f t="shared" si="228"/>
        <v>13</v>
      </c>
      <c r="R1345" s="6" t="str">
        <f t="shared" si="229"/>
        <v>2018</v>
      </c>
      <c r="S1345" s="6" t="str">
        <f t="shared" si="230"/>
        <v>Oct</v>
      </c>
    </row>
    <row r="1346" spans="1:19" x14ac:dyDescent="0.25">
      <c r="A1346" s="6">
        <v>180</v>
      </c>
      <c r="B1346" s="6" t="str">
        <f t="shared" ref="B1346:B1409" si="233">_xlfn.TEXTJOIN("",TRUE,"NIK",UPPER(LEFT(SUBSTITUTE(SUBSTITUTE(F1346," ",""),"&amp;",""),3)),TEXT(A1346,"00000"))</f>
        <v>NIKTEC00180</v>
      </c>
      <c r="C1346" s="7" t="s">
        <v>291</v>
      </c>
      <c r="D1346" s="7" t="s">
        <v>292</v>
      </c>
      <c r="E1346" s="7" t="str">
        <f t="shared" ref="E1346:E1409" si="234">_xlfn.TEXTJOIN(" ",TRUE,C1346,D1346)</f>
        <v>SUNNY MALALIYA</v>
      </c>
      <c r="F1346" s="7" t="s">
        <v>17</v>
      </c>
      <c r="G1346" s="22">
        <v>43439</v>
      </c>
      <c r="H1346" s="8">
        <v>94915</v>
      </c>
      <c r="I1346" s="7" t="str">
        <f t="shared" ref="I1346:I1409" si="235">LOWER(C1346&amp;"."&amp;D1346&amp;"@"&amp;LEFT(SUBSTITUTE(F1346," ",""),2))&amp;LOWER("."&amp;LEFT(D1346,2))&amp;LOWER(RIGHT(D1346,1))&amp;".ba"</f>
        <v>sunny.malaliya@te.maa.ba</v>
      </c>
      <c r="J1346" s="6" t="s">
        <v>1547</v>
      </c>
      <c r="K1346" s="6">
        <v>90</v>
      </c>
      <c r="L1346" s="7" t="str">
        <f t="shared" ref="L1346:L1409" si="236">RIGHT(I1346,LEN(I1346)-FIND("@",I1346))</f>
        <v>te.maa.ba</v>
      </c>
      <c r="M1346" s="7" t="str">
        <f t="shared" ref="M1346:M1409" si="237">UPPER(LEFT(D1346,1))&amp;"."&amp;PROPER(C1346)</f>
        <v>M.Sunny</v>
      </c>
      <c r="N1346" s="6">
        <f t="shared" si="232"/>
        <v>0</v>
      </c>
      <c r="O1346" s="6">
        <f t="shared" si="231"/>
        <v>0</v>
      </c>
      <c r="P1346" s="6" t="str">
        <f t="shared" ref="P1346:P1409" si="238">IF(AND(N1346&gt;=1,O1346&gt;=1),"Y","N")</f>
        <v>N</v>
      </c>
      <c r="Q1346" s="6">
        <f t="shared" ref="Q1346:Q1409" si="239">LEN(SUBSTITUTE(E1346, " ", ""))</f>
        <v>13</v>
      </c>
      <c r="R1346" s="6" t="str">
        <f t="shared" ref="R1346:R1409" si="240">TEXT(G1346,"YYYY")</f>
        <v>2018</v>
      </c>
      <c r="S1346" s="6" t="str">
        <f t="shared" ref="S1346:S1409" si="241">TEXT(G1346,"MMM")</f>
        <v>Dec</v>
      </c>
    </row>
    <row r="1347" spans="1:19" x14ac:dyDescent="0.25">
      <c r="A1347" s="6">
        <v>183</v>
      </c>
      <c r="B1347" s="6" t="str">
        <f t="shared" si="233"/>
        <v>NIKTEC00183</v>
      </c>
      <c r="C1347" s="7" t="s">
        <v>295</v>
      </c>
      <c r="D1347" s="7" t="s">
        <v>296</v>
      </c>
      <c r="E1347" s="7" t="str">
        <f t="shared" si="234"/>
        <v>JAIMEEN DEEPAK</v>
      </c>
      <c r="F1347" s="7" t="s">
        <v>17</v>
      </c>
      <c r="G1347" s="22">
        <v>43617</v>
      </c>
      <c r="H1347" s="8">
        <v>80820</v>
      </c>
      <c r="I1347" s="7" t="str">
        <f t="shared" si="235"/>
        <v>jaimeen.deepak@te.dek.ba</v>
      </c>
      <c r="J1347" s="6" t="s">
        <v>1537</v>
      </c>
      <c r="K1347" s="6">
        <v>84</v>
      </c>
      <c r="L1347" s="7" t="str">
        <f t="shared" si="236"/>
        <v>te.dek.ba</v>
      </c>
      <c r="M1347" s="7" t="str">
        <f t="shared" si="237"/>
        <v>D.Jaimeen</v>
      </c>
      <c r="N1347" s="6">
        <f t="shared" si="232"/>
        <v>5</v>
      </c>
      <c r="O1347" s="6">
        <f t="shared" si="231"/>
        <v>2</v>
      </c>
      <c r="P1347" s="6" t="str">
        <f t="shared" si="238"/>
        <v>Y</v>
      </c>
      <c r="Q1347" s="6">
        <f t="shared" si="239"/>
        <v>13</v>
      </c>
      <c r="R1347" s="6" t="str">
        <f t="shared" si="240"/>
        <v>2019</v>
      </c>
      <c r="S1347" s="6" t="str">
        <f t="shared" si="241"/>
        <v>Jun</v>
      </c>
    </row>
    <row r="1348" spans="1:19" x14ac:dyDescent="0.25">
      <c r="A1348" s="6">
        <v>190</v>
      </c>
      <c r="B1348" s="6" t="str">
        <f t="shared" si="233"/>
        <v>NIKTEC00190</v>
      </c>
      <c r="C1348" s="7" t="s">
        <v>303</v>
      </c>
      <c r="D1348" s="7" t="s">
        <v>304</v>
      </c>
      <c r="E1348" s="7" t="str">
        <f t="shared" si="234"/>
        <v>VINEY BANSAL</v>
      </c>
      <c r="F1348" s="7" t="s">
        <v>17</v>
      </c>
      <c r="G1348" s="22">
        <v>43741</v>
      </c>
      <c r="H1348" s="8">
        <v>84185</v>
      </c>
      <c r="I1348" s="7" t="str">
        <f t="shared" si="235"/>
        <v>viney.bansal@te.bal.ba</v>
      </c>
      <c r="J1348" s="6" t="s">
        <v>1546</v>
      </c>
      <c r="K1348" s="6">
        <v>74</v>
      </c>
      <c r="L1348" s="7" t="str">
        <f t="shared" si="236"/>
        <v>te.bal.ba</v>
      </c>
      <c r="M1348" s="7" t="str">
        <f t="shared" si="237"/>
        <v>B.Viney</v>
      </c>
      <c r="N1348" s="6">
        <f t="shared" si="232"/>
        <v>4</v>
      </c>
      <c r="O1348" s="6">
        <f t="shared" si="231"/>
        <v>0</v>
      </c>
      <c r="P1348" s="6" t="str">
        <f t="shared" si="238"/>
        <v>N</v>
      </c>
      <c r="Q1348" s="6">
        <f t="shared" si="239"/>
        <v>11</v>
      </c>
      <c r="R1348" s="6" t="str">
        <f t="shared" si="240"/>
        <v>2019</v>
      </c>
      <c r="S1348" s="6" t="str">
        <f t="shared" si="241"/>
        <v>Oct</v>
      </c>
    </row>
    <row r="1349" spans="1:19" x14ac:dyDescent="0.25">
      <c r="A1349" s="6">
        <v>196</v>
      </c>
      <c r="B1349" s="6" t="str">
        <f t="shared" si="233"/>
        <v>NIKTEC00196</v>
      </c>
      <c r="C1349" s="7" t="s">
        <v>312</v>
      </c>
      <c r="D1349" s="7" t="s">
        <v>313</v>
      </c>
      <c r="E1349" s="7" t="str">
        <f t="shared" si="234"/>
        <v>PURVA RATNAKAR</v>
      </c>
      <c r="F1349" s="7" t="s">
        <v>17</v>
      </c>
      <c r="G1349" s="22">
        <v>44092</v>
      </c>
      <c r="H1349" s="8">
        <v>41710</v>
      </c>
      <c r="I1349" s="7" t="str">
        <f t="shared" si="235"/>
        <v>purva.ratnakar@te.rar.ba</v>
      </c>
      <c r="J1349" s="6" t="s">
        <v>1533</v>
      </c>
      <c r="K1349" s="6">
        <v>84</v>
      </c>
      <c r="L1349" s="7" t="str">
        <f t="shared" si="236"/>
        <v>te.rar.ba</v>
      </c>
      <c r="M1349" s="7" t="str">
        <f t="shared" si="237"/>
        <v>R.Purva</v>
      </c>
      <c r="N1349" s="6">
        <f t="shared" si="232"/>
        <v>0</v>
      </c>
      <c r="O1349" s="6">
        <f t="shared" si="231"/>
        <v>0</v>
      </c>
      <c r="P1349" s="6" t="str">
        <f t="shared" si="238"/>
        <v>N</v>
      </c>
      <c r="Q1349" s="6">
        <f t="shared" si="239"/>
        <v>13</v>
      </c>
      <c r="R1349" s="6" t="str">
        <f t="shared" si="240"/>
        <v>2020</v>
      </c>
      <c r="S1349" s="6" t="str">
        <f t="shared" si="241"/>
        <v>Sep</v>
      </c>
    </row>
    <row r="1350" spans="1:19" x14ac:dyDescent="0.25">
      <c r="A1350" s="6">
        <v>212</v>
      </c>
      <c r="B1350" s="6" t="str">
        <f t="shared" si="233"/>
        <v>NIKTEC00212</v>
      </c>
      <c r="C1350" s="7" t="s">
        <v>333</v>
      </c>
      <c r="D1350" s="7" t="s">
        <v>334</v>
      </c>
      <c r="E1350" s="7" t="str">
        <f t="shared" si="234"/>
        <v>ESHAN PUROHIT</v>
      </c>
      <c r="F1350" s="7" t="s">
        <v>17</v>
      </c>
      <c r="G1350" s="22">
        <v>44382</v>
      </c>
      <c r="H1350" s="8">
        <v>27720</v>
      </c>
      <c r="I1350" s="7" t="str">
        <f t="shared" si="235"/>
        <v>eshan.purohit@te.put.ba</v>
      </c>
      <c r="J1350" s="6" t="s">
        <v>1540</v>
      </c>
      <c r="K1350" s="6">
        <v>57</v>
      </c>
      <c r="L1350" s="7" t="str">
        <f t="shared" si="236"/>
        <v>te.put.ba</v>
      </c>
      <c r="M1350" s="7" t="str">
        <f t="shared" si="237"/>
        <v>P.Eshan</v>
      </c>
      <c r="N1350" s="6">
        <f t="shared" si="232"/>
        <v>1</v>
      </c>
      <c r="O1350" s="6">
        <f t="shared" si="231"/>
        <v>0</v>
      </c>
      <c r="P1350" s="6" t="str">
        <f t="shared" si="238"/>
        <v>N</v>
      </c>
      <c r="Q1350" s="6">
        <f t="shared" si="239"/>
        <v>12</v>
      </c>
      <c r="R1350" s="6" t="str">
        <f t="shared" si="240"/>
        <v>2021</v>
      </c>
      <c r="S1350" s="6" t="str">
        <f t="shared" si="241"/>
        <v>Jul</v>
      </c>
    </row>
    <row r="1351" spans="1:19" x14ac:dyDescent="0.25">
      <c r="A1351" s="6">
        <v>226</v>
      </c>
      <c r="B1351" s="6" t="str">
        <f t="shared" si="233"/>
        <v>NIKTEC00226</v>
      </c>
      <c r="C1351" s="7" t="s">
        <v>171</v>
      </c>
      <c r="D1351" s="7" t="s">
        <v>347</v>
      </c>
      <c r="E1351" s="7" t="str">
        <f t="shared" si="234"/>
        <v>RITESH MANOJBHAI</v>
      </c>
      <c r="F1351" s="7" t="s">
        <v>17</v>
      </c>
      <c r="G1351" s="22">
        <v>44518</v>
      </c>
      <c r="H1351" s="8">
        <v>40033</v>
      </c>
      <c r="I1351" s="7" t="str">
        <f t="shared" si="235"/>
        <v>ritesh.manojbhai@te.mai.ba</v>
      </c>
      <c r="J1351" s="6" t="s">
        <v>1549</v>
      </c>
      <c r="K1351" s="6">
        <v>64</v>
      </c>
      <c r="L1351" s="7" t="str">
        <f t="shared" si="236"/>
        <v>te.mai.ba</v>
      </c>
      <c r="M1351" s="7" t="str">
        <f t="shared" si="237"/>
        <v>M.Ritesh</v>
      </c>
      <c r="N1351" s="6">
        <f t="shared" si="232"/>
        <v>4</v>
      </c>
      <c r="O1351" s="6">
        <f t="shared" si="231"/>
        <v>0</v>
      </c>
      <c r="P1351" s="6" t="str">
        <f t="shared" si="238"/>
        <v>N</v>
      </c>
      <c r="Q1351" s="6">
        <f t="shared" si="239"/>
        <v>15</v>
      </c>
      <c r="R1351" s="6" t="str">
        <f t="shared" si="240"/>
        <v>2021</v>
      </c>
      <c r="S1351" s="6" t="str">
        <f t="shared" si="241"/>
        <v>Nov</v>
      </c>
    </row>
    <row r="1352" spans="1:19" x14ac:dyDescent="0.25">
      <c r="A1352" s="6">
        <v>236</v>
      </c>
      <c r="B1352" s="6" t="str">
        <f t="shared" si="233"/>
        <v>NIKTEC00236</v>
      </c>
      <c r="C1352" s="7" t="s">
        <v>362</v>
      </c>
      <c r="D1352" s="7" t="s">
        <v>70</v>
      </c>
      <c r="E1352" s="7" t="str">
        <f t="shared" si="234"/>
        <v>MEHTAB SINGH</v>
      </c>
      <c r="F1352" s="7" t="s">
        <v>17</v>
      </c>
      <c r="G1352" s="22">
        <v>44544</v>
      </c>
      <c r="H1352" s="8">
        <v>91694</v>
      </c>
      <c r="I1352" s="7" t="str">
        <f t="shared" si="235"/>
        <v>mehtab.singh@te.sih.ba</v>
      </c>
      <c r="J1352" s="6" t="s">
        <v>1543</v>
      </c>
      <c r="K1352" s="6">
        <v>47</v>
      </c>
      <c r="L1352" s="7" t="str">
        <f t="shared" si="236"/>
        <v>te.sih.ba</v>
      </c>
      <c r="M1352" s="7" t="str">
        <f t="shared" si="237"/>
        <v>S.Mehtab</v>
      </c>
      <c r="N1352" s="6">
        <f t="shared" si="232"/>
        <v>2</v>
      </c>
      <c r="O1352" s="6">
        <f t="shared" si="231"/>
        <v>0</v>
      </c>
      <c r="P1352" s="6" t="str">
        <f t="shared" si="238"/>
        <v>N</v>
      </c>
      <c r="Q1352" s="6">
        <f t="shared" si="239"/>
        <v>11</v>
      </c>
      <c r="R1352" s="6" t="str">
        <f t="shared" si="240"/>
        <v>2021</v>
      </c>
      <c r="S1352" s="6" t="str">
        <f t="shared" si="241"/>
        <v>Dec</v>
      </c>
    </row>
    <row r="1353" spans="1:19" x14ac:dyDescent="0.25">
      <c r="A1353" s="6">
        <v>247</v>
      </c>
      <c r="B1353" s="6" t="str">
        <f t="shared" si="233"/>
        <v>NIKTEC00247</v>
      </c>
      <c r="C1353" s="7" t="s">
        <v>380</v>
      </c>
      <c r="D1353" s="7" t="s">
        <v>55</v>
      </c>
      <c r="E1353" s="7" t="str">
        <f t="shared" si="234"/>
        <v>SATYENDRA SHARMA</v>
      </c>
      <c r="F1353" s="7" t="s">
        <v>17</v>
      </c>
      <c r="G1353" s="22">
        <v>44653</v>
      </c>
      <c r="H1353" s="8">
        <v>68978</v>
      </c>
      <c r="I1353" s="7" t="str">
        <f t="shared" si="235"/>
        <v>satyendra.sharma@te.sha.ba</v>
      </c>
      <c r="J1353" s="6" t="s">
        <v>1533</v>
      </c>
      <c r="K1353" s="6">
        <v>69</v>
      </c>
      <c r="L1353" s="7" t="str">
        <f t="shared" si="236"/>
        <v>te.sha.ba</v>
      </c>
      <c r="M1353" s="7" t="str">
        <f t="shared" si="237"/>
        <v>S.Satyendra</v>
      </c>
      <c r="N1353" s="6">
        <f t="shared" si="232"/>
        <v>5</v>
      </c>
      <c r="O1353" s="6">
        <f t="shared" si="231"/>
        <v>0</v>
      </c>
      <c r="P1353" s="6" t="str">
        <f t="shared" si="238"/>
        <v>N</v>
      </c>
      <c r="Q1353" s="6">
        <f t="shared" si="239"/>
        <v>15</v>
      </c>
      <c r="R1353" s="6" t="str">
        <f t="shared" si="240"/>
        <v>2022</v>
      </c>
      <c r="S1353" s="6" t="str">
        <f t="shared" si="241"/>
        <v>Apr</v>
      </c>
    </row>
    <row r="1354" spans="1:19" x14ac:dyDescent="0.25">
      <c r="A1354" s="6">
        <v>277</v>
      </c>
      <c r="B1354" s="6" t="str">
        <f t="shared" si="233"/>
        <v>NIKTEC00277</v>
      </c>
      <c r="C1354" s="7" t="s">
        <v>413</v>
      </c>
      <c r="D1354" s="7" t="s">
        <v>396</v>
      </c>
      <c r="E1354" s="7" t="str">
        <f t="shared" si="234"/>
        <v>DIPAL K</v>
      </c>
      <c r="F1354" s="7" t="s">
        <v>17</v>
      </c>
      <c r="G1354" s="22">
        <v>44844</v>
      </c>
      <c r="H1354" s="8">
        <v>44750</v>
      </c>
      <c r="I1354" s="7" t="str">
        <f t="shared" si="235"/>
        <v>dipal.k@te.kk.ba</v>
      </c>
      <c r="J1354" s="6" t="s">
        <v>1550</v>
      </c>
      <c r="K1354" s="6">
        <v>35</v>
      </c>
      <c r="L1354" s="7" t="str">
        <f t="shared" si="236"/>
        <v>te.kk.ba</v>
      </c>
      <c r="M1354" s="7" t="str">
        <f t="shared" si="237"/>
        <v>K.Dipal</v>
      </c>
      <c r="N1354" s="6">
        <f t="shared" si="232"/>
        <v>0</v>
      </c>
      <c r="O1354" s="6">
        <f t="shared" si="231"/>
        <v>0</v>
      </c>
      <c r="P1354" s="6" t="str">
        <f t="shared" si="238"/>
        <v>N</v>
      </c>
      <c r="Q1354" s="6">
        <f t="shared" si="239"/>
        <v>6</v>
      </c>
      <c r="R1354" s="6" t="str">
        <f t="shared" si="240"/>
        <v>2022</v>
      </c>
      <c r="S1354" s="6" t="str">
        <f t="shared" si="241"/>
        <v>Oct</v>
      </c>
    </row>
    <row r="1355" spans="1:19" x14ac:dyDescent="0.25">
      <c r="A1355" s="6">
        <v>283</v>
      </c>
      <c r="B1355" s="6" t="str">
        <f t="shared" si="233"/>
        <v>NIKTEC00283</v>
      </c>
      <c r="C1355" s="7" t="s">
        <v>420</v>
      </c>
      <c r="D1355" s="7" t="s">
        <v>70</v>
      </c>
      <c r="E1355" s="7" t="str">
        <f t="shared" si="234"/>
        <v>RISHABH SINGH</v>
      </c>
      <c r="F1355" s="7" t="s">
        <v>17</v>
      </c>
      <c r="G1355" s="22">
        <v>44866</v>
      </c>
      <c r="H1355" s="8">
        <v>106777</v>
      </c>
      <c r="I1355" s="7" t="str">
        <f t="shared" si="235"/>
        <v>rishabh.singh@te.sih.ba</v>
      </c>
      <c r="J1355" s="6" t="s">
        <v>1549</v>
      </c>
      <c r="K1355" s="6">
        <v>38</v>
      </c>
      <c r="L1355" s="7" t="str">
        <f t="shared" si="236"/>
        <v>te.sih.ba</v>
      </c>
      <c r="M1355" s="7" t="str">
        <f t="shared" si="237"/>
        <v>S.Rishabh</v>
      </c>
      <c r="N1355" s="6">
        <f t="shared" si="232"/>
        <v>0</v>
      </c>
      <c r="O1355" s="6">
        <f t="shared" si="231"/>
        <v>0</v>
      </c>
      <c r="P1355" s="6" t="str">
        <f t="shared" si="238"/>
        <v>N</v>
      </c>
      <c r="Q1355" s="6">
        <f t="shared" si="239"/>
        <v>12</v>
      </c>
      <c r="R1355" s="6" t="str">
        <f t="shared" si="240"/>
        <v>2022</v>
      </c>
      <c r="S1355" s="6" t="str">
        <f t="shared" si="241"/>
        <v>Nov</v>
      </c>
    </row>
    <row r="1356" spans="1:19" x14ac:dyDescent="0.25">
      <c r="A1356" s="6">
        <v>301</v>
      </c>
      <c r="B1356" s="6" t="str">
        <f t="shared" si="233"/>
        <v>NIKTEC00301</v>
      </c>
      <c r="C1356" s="7" t="s">
        <v>447</v>
      </c>
      <c r="D1356" s="7" t="s">
        <v>448</v>
      </c>
      <c r="E1356" s="7" t="str">
        <f t="shared" si="234"/>
        <v>AMAR SAMADHAN</v>
      </c>
      <c r="F1356" s="7" t="s">
        <v>17</v>
      </c>
      <c r="G1356" s="22">
        <v>44943</v>
      </c>
      <c r="H1356" s="8">
        <v>29129</v>
      </c>
      <c r="I1356" s="7" t="str">
        <f t="shared" si="235"/>
        <v>amar.samadhan@te.san.ba</v>
      </c>
      <c r="J1356" s="6" t="s">
        <v>1533</v>
      </c>
      <c r="K1356" s="6">
        <v>81</v>
      </c>
      <c r="L1356" s="7" t="str">
        <f t="shared" si="236"/>
        <v>te.san.ba</v>
      </c>
      <c r="M1356" s="7" t="str">
        <f t="shared" si="237"/>
        <v>S.Amar</v>
      </c>
      <c r="N1356" s="6">
        <f t="shared" si="232"/>
        <v>0</v>
      </c>
      <c r="O1356" s="6">
        <f t="shared" si="231"/>
        <v>0</v>
      </c>
      <c r="P1356" s="6" t="str">
        <f t="shared" si="238"/>
        <v>N</v>
      </c>
      <c r="Q1356" s="6">
        <f t="shared" si="239"/>
        <v>12</v>
      </c>
      <c r="R1356" s="6" t="str">
        <f t="shared" si="240"/>
        <v>2023</v>
      </c>
      <c r="S1356" s="6" t="str">
        <f t="shared" si="241"/>
        <v>Jan</v>
      </c>
    </row>
    <row r="1357" spans="1:19" x14ac:dyDescent="0.25">
      <c r="A1357" s="6">
        <v>311</v>
      </c>
      <c r="B1357" s="6" t="str">
        <f t="shared" si="233"/>
        <v>NIKTEC00311</v>
      </c>
      <c r="C1357" s="7" t="s">
        <v>462</v>
      </c>
      <c r="D1357" s="7" t="s">
        <v>463</v>
      </c>
      <c r="E1357" s="7" t="str">
        <f t="shared" si="234"/>
        <v>PREETI CHANDANI</v>
      </c>
      <c r="F1357" s="7" t="s">
        <v>17</v>
      </c>
      <c r="G1357" s="22">
        <v>45019</v>
      </c>
      <c r="H1357" s="8">
        <v>51565</v>
      </c>
      <c r="I1357" s="7" t="str">
        <f t="shared" si="235"/>
        <v>preeti.chandani@te.chi.ba</v>
      </c>
      <c r="J1357" s="6" t="s">
        <v>1534</v>
      </c>
      <c r="K1357" s="6">
        <v>88</v>
      </c>
      <c r="L1357" s="7" t="str">
        <f t="shared" si="236"/>
        <v>te.chi.ba</v>
      </c>
      <c r="M1357" s="7" t="str">
        <f t="shared" si="237"/>
        <v>C.Preeti</v>
      </c>
      <c r="N1357" s="6">
        <f t="shared" si="232"/>
        <v>3</v>
      </c>
      <c r="O1357" s="6">
        <f t="shared" si="231"/>
        <v>0</v>
      </c>
      <c r="P1357" s="6" t="str">
        <f t="shared" si="238"/>
        <v>N</v>
      </c>
      <c r="Q1357" s="6">
        <f t="shared" si="239"/>
        <v>14</v>
      </c>
      <c r="R1357" s="6" t="str">
        <f t="shared" si="240"/>
        <v>2023</v>
      </c>
      <c r="S1357" s="6" t="str">
        <f t="shared" si="241"/>
        <v>Apr</v>
      </c>
    </row>
    <row r="1358" spans="1:19" x14ac:dyDescent="0.25">
      <c r="A1358" s="6">
        <v>312</v>
      </c>
      <c r="B1358" s="6" t="str">
        <f t="shared" si="233"/>
        <v>NIKTEC00312</v>
      </c>
      <c r="C1358" s="7" t="s">
        <v>464</v>
      </c>
      <c r="D1358" s="7" t="s">
        <v>68</v>
      </c>
      <c r="E1358" s="7" t="str">
        <f t="shared" si="234"/>
        <v>PRASANTH KUMAR</v>
      </c>
      <c r="F1358" s="7" t="s">
        <v>17</v>
      </c>
      <c r="G1358" s="22">
        <v>45026</v>
      </c>
      <c r="H1358" s="8">
        <v>43437</v>
      </c>
      <c r="I1358" s="7" t="str">
        <f t="shared" si="235"/>
        <v>prasanth.kumar@te.kur.ba</v>
      </c>
      <c r="J1358" s="6" t="s">
        <v>1550</v>
      </c>
      <c r="K1358" s="6">
        <v>40</v>
      </c>
      <c r="L1358" s="7" t="str">
        <f t="shared" si="236"/>
        <v>te.kur.ba</v>
      </c>
      <c r="M1358" s="7" t="str">
        <f t="shared" si="237"/>
        <v>K.Prasanth</v>
      </c>
      <c r="N1358" s="6">
        <f t="shared" si="232"/>
        <v>0</v>
      </c>
      <c r="O1358" s="6">
        <f t="shared" si="231"/>
        <v>0</v>
      </c>
      <c r="P1358" s="6" t="str">
        <f t="shared" si="238"/>
        <v>N</v>
      </c>
      <c r="Q1358" s="6">
        <f t="shared" si="239"/>
        <v>13</v>
      </c>
      <c r="R1358" s="6" t="str">
        <f t="shared" si="240"/>
        <v>2023</v>
      </c>
      <c r="S1358" s="6" t="str">
        <f t="shared" si="241"/>
        <v>Apr</v>
      </c>
    </row>
    <row r="1359" spans="1:19" x14ac:dyDescent="0.25">
      <c r="A1359" s="6">
        <v>327</v>
      </c>
      <c r="B1359" s="6" t="str">
        <f t="shared" si="233"/>
        <v>NIKTEC00327</v>
      </c>
      <c r="C1359" s="7" t="s">
        <v>484</v>
      </c>
      <c r="D1359" s="7" t="s">
        <v>485</v>
      </c>
      <c r="E1359" s="7" t="str">
        <f t="shared" si="234"/>
        <v>SHIVANAND KUMBHAR</v>
      </c>
      <c r="F1359" s="7" t="s">
        <v>17</v>
      </c>
      <c r="G1359" s="22">
        <v>45093</v>
      </c>
      <c r="H1359" s="8">
        <v>95543</v>
      </c>
      <c r="I1359" s="7" t="str">
        <f t="shared" si="235"/>
        <v>shivanand.kumbhar@te.kur.ba</v>
      </c>
      <c r="J1359" s="6" t="s">
        <v>1537</v>
      </c>
      <c r="K1359" s="6">
        <v>35</v>
      </c>
      <c r="L1359" s="7" t="str">
        <f t="shared" si="236"/>
        <v>te.kur.ba</v>
      </c>
      <c r="M1359" s="7" t="str">
        <f t="shared" si="237"/>
        <v>K.Shivanand</v>
      </c>
      <c r="N1359" s="6">
        <f t="shared" si="232"/>
        <v>0</v>
      </c>
      <c r="O1359" s="6">
        <f t="shared" si="231"/>
        <v>0</v>
      </c>
      <c r="P1359" s="6" t="str">
        <f t="shared" si="238"/>
        <v>N</v>
      </c>
      <c r="Q1359" s="6">
        <f t="shared" si="239"/>
        <v>16</v>
      </c>
      <c r="R1359" s="6" t="str">
        <f t="shared" si="240"/>
        <v>2023</v>
      </c>
      <c r="S1359" s="6" t="str">
        <f t="shared" si="241"/>
        <v>Jun</v>
      </c>
    </row>
    <row r="1360" spans="1:19" x14ac:dyDescent="0.25">
      <c r="A1360" s="6">
        <v>335</v>
      </c>
      <c r="B1360" s="6" t="str">
        <f t="shared" si="233"/>
        <v>NIKTEC00335</v>
      </c>
      <c r="C1360" s="7" t="s">
        <v>494</v>
      </c>
      <c r="D1360" s="7" t="s">
        <v>495</v>
      </c>
      <c r="E1360" s="7" t="str">
        <f t="shared" si="234"/>
        <v>ABHI TRUSHAR</v>
      </c>
      <c r="F1360" s="7" t="s">
        <v>17</v>
      </c>
      <c r="G1360" s="22">
        <v>45117</v>
      </c>
      <c r="H1360" s="8">
        <v>80850</v>
      </c>
      <c r="I1360" s="7" t="str">
        <f t="shared" si="235"/>
        <v>abhi.trushar@te.trr.ba</v>
      </c>
      <c r="J1360" s="6" t="s">
        <v>1537</v>
      </c>
      <c r="K1360" s="6">
        <v>89</v>
      </c>
      <c r="L1360" s="7" t="str">
        <f t="shared" si="236"/>
        <v>te.trr.ba</v>
      </c>
      <c r="M1360" s="7" t="str">
        <f t="shared" si="237"/>
        <v>T.Abhi</v>
      </c>
      <c r="N1360" s="6">
        <f t="shared" si="232"/>
        <v>0</v>
      </c>
      <c r="O1360" s="6">
        <f t="shared" si="231"/>
        <v>0</v>
      </c>
      <c r="P1360" s="6" t="str">
        <f t="shared" si="238"/>
        <v>N</v>
      </c>
      <c r="Q1360" s="6">
        <f t="shared" si="239"/>
        <v>11</v>
      </c>
      <c r="R1360" s="6" t="str">
        <f t="shared" si="240"/>
        <v>2023</v>
      </c>
      <c r="S1360" s="6" t="str">
        <f t="shared" si="241"/>
        <v>Jul</v>
      </c>
    </row>
    <row r="1361" spans="1:19" x14ac:dyDescent="0.25">
      <c r="A1361" s="6">
        <v>336</v>
      </c>
      <c r="B1361" s="6" t="str">
        <f t="shared" si="233"/>
        <v>NIKTEC00336</v>
      </c>
      <c r="C1361" s="7" t="s">
        <v>261</v>
      </c>
      <c r="D1361" s="7" t="s">
        <v>496</v>
      </c>
      <c r="E1361" s="7" t="str">
        <f t="shared" si="234"/>
        <v>ADITYA SURYAKANT</v>
      </c>
      <c r="F1361" s="7" t="s">
        <v>17</v>
      </c>
      <c r="G1361" s="22">
        <v>45117</v>
      </c>
      <c r="H1361" s="8">
        <v>57178</v>
      </c>
      <c r="I1361" s="7" t="str">
        <f t="shared" si="235"/>
        <v>aditya.suryakant@te.sut.ba</v>
      </c>
      <c r="J1361" s="6" t="s">
        <v>1532</v>
      </c>
      <c r="K1361" s="6">
        <v>40</v>
      </c>
      <c r="L1361" s="7" t="str">
        <f t="shared" si="236"/>
        <v>te.sut.ba</v>
      </c>
      <c r="M1361" s="7" t="str">
        <f t="shared" si="237"/>
        <v>S.Aditya</v>
      </c>
      <c r="N1361" s="6">
        <f t="shared" si="232"/>
        <v>0</v>
      </c>
      <c r="O1361" s="6">
        <f t="shared" si="231"/>
        <v>0</v>
      </c>
      <c r="P1361" s="6" t="str">
        <f t="shared" si="238"/>
        <v>N</v>
      </c>
      <c r="Q1361" s="6">
        <f t="shared" si="239"/>
        <v>15</v>
      </c>
      <c r="R1361" s="6" t="str">
        <f t="shared" si="240"/>
        <v>2023</v>
      </c>
      <c r="S1361" s="6" t="str">
        <f t="shared" si="241"/>
        <v>Jul</v>
      </c>
    </row>
    <row r="1362" spans="1:19" x14ac:dyDescent="0.25">
      <c r="A1362" s="6">
        <v>339</v>
      </c>
      <c r="B1362" s="6" t="str">
        <f t="shared" si="233"/>
        <v>NIKTEC00339</v>
      </c>
      <c r="C1362" s="7" t="s">
        <v>407</v>
      </c>
      <c r="D1362" s="7" t="s">
        <v>501</v>
      </c>
      <c r="E1362" s="7" t="str">
        <f t="shared" si="234"/>
        <v>AVINASH PATEL</v>
      </c>
      <c r="F1362" s="7" t="s">
        <v>17</v>
      </c>
      <c r="G1362" s="22">
        <v>45118</v>
      </c>
      <c r="H1362" s="8">
        <v>57585</v>
      </c>
      <c r="I1362" s="7" t="str">
        <f t="shared" si="235"/>
        <v>avinash.patel@te.pal.ba</v>
      </c>
      <c r="J1362" s="6" t="s">
        <v>1547</v>
      </c>
      <c r="K1362" s="6">
        <v>64</v>
      </c>
      <c r="L1362" s="7" t="str">
        <f t="shared" si="236"/>
        <v>te.pal.ba</v>
      </c>
      <c r="M1362" s="7" t="str">
        <f t="shared" si="237"/>
        <v>P.Avinash</v>
      </c>
      <c r="N1362" s="6">
        <f t="shared" si="232"/>
        <v>0</v>
      </c>
      <c r="O1362" s="6">
        <f t="shared" si="231"/>
        <v>4</v>
      </c>
      <c r="P1362" s="6" t="str">
        <f t="shared" si="238"/>
        <v>N</v>
      </c>
      <c r="Q1362" s="6">
        <f t="shared" si="239"/>
        <v>12</v>
      </c>
      <c r="R1362" s="6" t="str">
        <f t="shared" si="240"/>
        <v>2023</v>
      </c>
      <c r="S1362" s="6" t="str">
        <f t="shared" si="241"/>
        <v>Jul</v>
      </c>
    </row>
    <row r="1363" spans="1:19" x14ac:dyDescent="0.25">
      <c r="A1363" s="6">
        <v>354</v>
      </c>
      <c r="B1363" s="6" t="str">
        <f t="shared" si="233"/>
        <v>NIKTEC00354</v>
      </c>
      <c r="C1363" s="7" t="s">
        <v>18</v>
      </c>
      <c r="D1363" s="7" t="s">
        <v>520</v>
      </c>
      <c r="E1363" s="7" t="str">
        <f t="shared" si="234"/>
        <v>MOHIT KETANKUMAR</v>
      </c>
      <c r="F1363" s="7" t="s">
        <v>17</v>
      </c>
      <c r="G1363" s="22">
        <v>45203</v>
      </c>
      <c r="H1363" s="8">
        <v>48466</v>
      </c>
      <c r="I1363" s="7" t="str">
        <f t="shared" si="235"/>
        <v>mohit.ketankumar@te.ker.ba</v>
      </c>
      <c r="J1363" s="6" t="s">
        <v>1533</v>
      </c>
      <c r="K1363" s="6">
        <v>44</v>
      </c>
      <c r="L1363" s="7" t="str">
        <f t="shared" si="236"/>
        <v>te.ker.ba</v>
      </c>
      <c r="M1363" s="7" t="str">
        <f t="shared" si="237"/>
        <v>K.Mohit</v>
      </c>
      <c r="N1363" s="6">
        <f t="shared" si="232"/>
        <v>0</v>
      </c>
      <c r="O1363" s="6">
        <f t="shared" si="231"/>
        <v>2</v>
      </c>
      <c r="P1363" s="6" t="str">
        <f t="shared" si="238"/>
        <v>N</v>
      </c>
      <c r="Q1363" s="6">
        <f t="shared" si="239"/>
        <v>15</v>
      </c>
      <c r="R1363" s="6" t="str">
        <f t="shared" si="240"/>
        <v>2023</v>
      </c>
      <c r="S1363" s="6" t="str">
        <f t="shared" si="241"/>
        <v>Oct</v>
      </c>
    </row>
    <row r="1364" spans="1:19" x14ac:dyDescent="0.25">
      <c r="A1364" s="6">
        <v>361</v>
      </c>
      <c r="B1364" s="6" t="str">
        <f t="shared" si="233"/>
        <v>NIKTEC00361</v>
      </c>
      <c r="C1364" s="7" t="s">
        <v>241</v>
      </c>
      <c r="D1364" s="7" t="s">
        <v>94</v>
      </c>
      <c r="E1364" s="7" t="str">
        <f t="shared" si="234"/>
        <v>KISHOR VISHWANATH</v>
      </c>
      <c r="F1364" s="7" t="s">
        <v>17</v>
      </c>
      <c r="G1364" s="22">
        <v>45261</v>
      </c>
      <c r="H1364" s="8">
        <v>45485</v>
      </c>
      <c r="I1364" s="7" t="str">
        <f t="shared" si="235"/>
        <v>kishor.vishwanath@te.vih.ba</v>
      </c>
      <c r="J1364" s="6" t="s">
        <v>1551</v>
      </c>
      <c r="K1364" s="6">
        <v>62</v>
      </c>
      <c r="L1364" s="7" t="str">
        <f t="shared" si="236"/>
        <v>te.vih.ba</v>
      </c>
      <c r="M1364" s="7" t="str">
        <f t="shared" si="237"/>
        <v>V.Kishor</v>
      </c>
      <c r="N1364" s="6">
        <f t="shared" si="232"/>
        <v>0</v>
      </c>
      <c r="O1364" s="6">
        <f t="shared" si="231"/>
        <v>0</v>
      </c>
      <c r="P1364" s="6" t="str">
        <f t="shared" si="238"/>
        <v>N</v>
      </c>
      <c r="Q1364" s="6">
        <f t="shared" si="239"/>
        <v>16</v>
      </c>
      <c r="R1364" s="6" t="str">
        <f t="shared" si="240"/>
        <v>2023</v>
      </c>
      <c r="S1364" s="6" t="str">
        <f t="shared" si="241"/>
        <v>Dec</v>
      </c>
    </row>
    <row r="1365" spans="1:19" x14ac:dyDescent="0.25">
      <c r="A1365" s="6">
        <v>371</v>
      </c>
      <c r="B1365" s="6" t="str">
        <f t="shared" si="233"/>
        <v>NIKTEC00371</v>
      </c>
      <c r="C1365" s="7" t="s">
        <v>540</v>
      </c>
      <c r="D1365" s="7" t="s">
        <v>541</v>
      </c>
      <c r="E1365" s="7" t="str">
        <f t="shared" si="234"/>
        <v>RAJPUT SHYAMKISHOR</v>
      </c>
      <c r="F1365" s="7" t="s">
        <v>17</v>
      </c>
      <c r="G1365" s="22">
        <v>45323</v>
      </c>
      <c r="H1365" s="8">
        <v>109884</v>
      </c>
      <c r="I1365" s="7" t="str">
        <f t="shared" si="235"/>
        <v>rajput.shyamkishor@te.shr.ba</v>
      </c>
      <c r="J1365" s="6" t="s">
        <v>1550</v>
      </c>
      <c r="K1365" s="6">
        <v>71</v>
      </c>
      <c r="L1365" s="7" t="str">
        <f t="shared" si="236"/>
        <v>te.shr.ba</v>
      </c>
      <c r="M1365" s="7" t="str">
        <f t="shared" si="237"/>
        <v>S.Rajput</v>
      </c>
      <c r="N1365" s="6">
        <f t="shared" si="232"/>
        <v>0</v>
      </c>
      <c r="O1365" s="6">
        <f t="shared" si="231"/>
        <v>0</v>
      </c>
      <c r="P1365" s="6" t="str">
        <f t="shared" si="238"/>
        <v>N</v>
      </c>
      <c r="Q1365" s="6">
        <f t="shared" si="239"/>
        <v>17</v>
      </c>
      <c r="R1365" s="6" t="str">
        <f t="shared" si="240"/>
        <v>2024</v>
      </c>
      <c r="S1365" s="6" t="str">
        <f t="shared" si="241"/>
        <v>Feb</v>
      </c>
    </row>
    <row r="1366" spans="1:19" x14ac:dyDescent="0.25">
      <c r="A1366" s="6">
        <v>396</v>
      </c>
      <c r="B1366" s="6" t="str">
        <f t="shared" si="233"/>
        <v>NIKTEC00396</v>
      </c>
      <c r="C1366" s="7" t="s">
        <v>415</v>
      </c>
      <c r="D1366" s="7" t="s">
        <v>568</v>
      </c>
      <c r="E1366" s="7" t="str">
        <f t="shared" si="234"/>
        <v>ABHILASH PALIT</v>
      </c>
      <c r="F1366" s="7" t="s">
        <v>17</v>
      </c>
      <c r="G1366" s="22">
        <v>45413</v>
      </c>
      <c r="H1366" s="8">
        <v>56252</v>
      </c>
      <c r="I1366" s="7" t="str">
        <f t="shared" si="235"/>
        <v>abhilash.palit@te.pat.ba</v>
      </c>
      <c r="J1366" s="6" t="s">
        <v>1544</v>
      </c>
      <c r="K1366" s="6">
        <v>81</v>
      </c>
      <c r="L1366" s="7" t="str">
        <f t="shared" si="236"/>
        <v>te.pat.ba</v>
      </c>
      <c r="M1366" s="7" t="str">
        <f t="shared" si="237"/>
        <v>P.Abhilash</v>
      </c>
      <c r="N1366" s="6">
        <f t="shared" si="232"/>
        <v>0</v>
      </c>
      <c r="O1366" s="6">
        <f t="shared" si="231"/>
        <v>0</v>
      </c>
      <c r="P1366" s="6" t="str">
        <f t="shared" si="238"/>
        <v>N</v>
      </c>
      <c r="Q1366" s="6">
        <f t="shared" si="239"/>
        <v>13</v>
      </c>
      <c r="R1366" s="6" t="str">
        <f t="shared" si="240"/>
        <v>2024</v>
      </c>
      <c r="S1366" s="6" t="str">
        <f t="shared" si="241"/>
        <v>May</v>
      </c>
    </row>
    <row r="1367" spans="1:19" x14ac:dyDescent="0.25">
      <c r="A1367" s="6">
        <v>416</v>
      </c>
      <c r="B1367" s="6" t="str">
        <f t="shared" si="233"/>
        <v>NIKTEC00416</v>
      </c>
      <c r="C1367" s="7" t="s">
        <v>477</v>
      </c>
      <c r="D1367" s="7" t="s">
        <v>595</v>
      </c>
      <c r="E1367" s="7" t="str">
        <f t="shared" si="234"/>
        <v>ANISH SAIFI</v>
      </c>
      <c r="F1367" s="7" t="s">
        <v>17</v>
      </c>
      <c r="G1367" s="22">
        <v>45474</v>
      </c>
      <c r="H1367" s="8">
        <v>64939</v>
      </c>
      <c r="I1367" s="7" t="str">
        <f t="shared" si="235"/>
        <v>anish.saifi@te.sai.ba</v>
      </c>
      <c r="J1367" s="6" t="s">
        <v>1545</v>
      </c>
      <c r="K1367" s="6">
        <v>67</v>
      </c>
      <c r="L1367" s="7" t="str">
        <f t="shared" si="236"/>
        <v>te.sai.ba</v>
      </c>
      <c r="M1367" s="7" t="str">
        <f t="shared" si="237"/>
        <v>S.Anish</v>
      </c>
      <c r="N1367" s="6">
        <f t="shared" si="232"/>
        <v>0</v>
      </c>
      <c r="O1367" s="6">
        <f t="shared" si="231"/>
        <v>0</v>
      </c>
      <c r="P1367" s="6" t="str">
        <f t="shared" si="238"/>
        <v>N</v>
      </c>
      <c r="Q1367" s="6">
        <f t="shared" si="239"/>
        <v>10</v>
      </c>
      <c r="R1367" s="6" t="str">
        <f t="shared" si="240"/>
        <v>2024</v>
      </c>
      <c r="S1367" s="6" t="str">
        <f t="shared" si="241"/>
        <v>Jul</v>
      </c>
    </row>
    <row r="1368" spans="1:19" x14ac:dyDescent="0.25">
      <c r="A1368" s="6">
        <v>423</v>
      </c>
      <c r="B1368" s="6" t="str">
        <f t="shared" si="233"/>
        <v>NIKTEC00423</v>
      </c>
      <c r="C1368" s="7" t="s">
        <v>601</v>
      </c>
      <c r="D1368" s="7" t="s">
        <v>70</v>
      </c>
      <c r="E1368" s="7" t="str">
        <f t="shared" si="234"/>
        <v>HARSHITA SINGH</v>
      </c>
      <c r="F1368" s="7" t="s">
        <v>17</v>
      </c>
      <c r="G1368" s="22">
        <v>45491</v>
      </c>
      <c r="H1368" s="8">
        <v>104322</v>
      </c>
      <c r="I1368" s="7" t="str">
        <f t="shared" si="235"/>
        <v>harshita.singh@te.sih.ba</v>
      </c>
      <c r="J1368" s="6" t="s">
        <v>1544</v>
      </c>
      <c r="K1368" s="6">
        <v>83</v>
      </c>
      <c r="L1368" s="7" t="str">
        <f t="shared" si="236"/>
        <v>te.sih.ba</v>
      </c>
      <c r="M1368" s="7" t="str">
        <f t="shared" si="237"/>
        <v>S.Harshita</v>
      </c>
      <c r="N1368" s="6">
        <f t="shared" si="232"/>
        <v>0</v>
      </c>
      <c r="O1368" s="6">
        <f t="shared" si="231"/>
        <v>0</v>
      </c>
      <c r="P1368" s="6" t="str">
        <f t="shared" si="238"/>
        <v>N</v>
      </c>
      <c r="Q1368" s="6">
        <f t="shared" si="239"/>
        <v>13</v>
      </c>
      <c r="R1368" s="6" t="str">
        <f t="shared" si="240"/>
        <v>2024</v>
      </c>
      <c r="S1368" s="6" t="str">
        <f t="shared" si="241"/>
        <v>Jul</v>
      </c>
    </row>
    <row r="1369" spans="1:19" x14ac:dyDescent="0.25">
      <c r="A1369" s="6">
        <v>429</v>
      </c>
      <c r="B1369" s="6" t="str">
        <f t="shared" si="233"/>
        <v>NIKTEC00429</v>
      </c>
      <c r="C1369" s="7" t="s">
        <v>605</v>
      </c>
      <c r="D1369" s="7" t="s">
        <v>48</v>
      </c>
      <c r="E1369" s="7" t="str">
        <f t="shared" si="234"/>
        <v>TANMAY SANJAY</v>
      </c>
      <c r="F1369" s="7" t="s">
        <v>17</v>
      </c>
      <c r="G1369" s="22">
        <v>45512</v>
      </c>
      <c r="H1369" s="8">
        <v>79405</v>
      </c>
      <c r="I1369" s="7" t="str">
        <f t="shared" si="235"/>
        <v>tanmay.sanjay@te.say.ba</v>
      </c>
      <c r="J1369" s="6" t="s">
        <v>1551</v>
      </c>
      <c r="K1369" s="6">
        <v>69</v>
      </c>
      <c r="L1369" s="7" t="str">
        <f t="shared" si="236"/>
        <v>te.say.ba</v>
      </c>
      <c r="M1369" s="7" t="str">
        <f t="shared" si="237"/>
        <v>S.Tanmay</v>
      </c>
      <c r="N1369" s="6">
        <f t="shared" si="232"/>
        <v>0</v>
      </c>
      <c r="O1369" s="6">
        <f t="shared" si="231"/>
        <v>0</v>
      </c>
      <c r="P1369" s="6" t="str">
        <f t="shared" si="238"/>
        <v>N</v>
      </c>
      <c r="Q1369" s="6">
        <f t="shared" si="239"/>
        <v>12</v>
      </c>
      <c r="R1369" s="6" t="str">
        <f t="shared" si="240"/>
        <v>2024</v>
      </c>
      <c r="S1369" s="6" t="str">
        <f t="shared" si="241"/>
        <v>Aug</v>
      </c>
    </row>
    <row r="1370" spans="1:19" x14ac:dyDescent="0.25">
      <c r="A1370" s="6">
        <v>436</v>
      </c>
      <c r="B1370" s="6" t="str">
        <f t="shared" si="233"/>
        <v>NIKTEC00436</v>
      </c>
      <c r="C1370" s="7" t="s">
        <v>613</v>
      </c>
      <c r="D1370" s="7" t="s">
        <v>80</v>
      </c>
      <c r="E1370" s="7" t="str">
        <f t="shared" si="234"/>
        <v>VINIT PRASHANT</v>
      </c>
      <c r="F1370" s="7" t="s">
        <v>17</v>
      </c>
      <c r="G1370" s="22">
        <v>45537</v>
      </c>
      <c r="H1370" s="8">
        <v>77289</v>
      </c>
      <c r="I1370" s="7" t="str">
        <f t="shared" si="235"/>
        <v>vinit.prashant@te.prt.ba</v>
      </c>
      <c r="J1370" s="6" t="s">
        <v>1532</v>
      </c>
      <c r="K1370" s="6">
        <v>35</v>
      </c>
      <c r="L1370" s="7" t="str">
        <f t="shared" si="236"/>
        <v>te.prt.ba</v>
      </c>
      <c r="M1370" s="7" t="str">
        <f t="shared" si="237"/>
        <v>P.Vinit</v>
      </c>
      <c r="N1370" s="6">
        <f t="shared" si="232"/>
        <v>0</v>
      </c>
      <c r="O1370" s="6">
        <f t="shared" si="231"/>
        <v>0</v>
      </c>
      <c r="P1370" s="6" t="str">
        <f t="shared" si="238"/>
        <v>N</v>
      </c>
      <c r="Q1370" s="6">
        <f t="shared" si="239"/>
        <v>13</v>
      </c>
      <c r="R1370" s="6" t="str">
        <f t="shared" si="240"/>
        <v>2024</v>
      </c>
      <c r="S1370" s="6" t="str">
        <f t="shared" si="241"/>
        <v>Sep</v>
      </c>
    </row>
    <row r="1371" spans="1:19" x14ac:dyDescent="0.25">
      <c r="A1371" s="6">
        <v>440</v>
      </c>
      <c r="B1371" s="6" t="str">
        <f t="shared" si="233"/>
        <v>NIKTEC00440</v>
      </c>
      <c r="C1371" s="7" t="s">
        <v>618</v>
      </c>
      <c r="D1371" s="7" t="s">
        <v>619</v>
      </c>
      <c r="E1371" s="7" t="str">
        <f t="shared" si="234"/>
        <v>SHIV SHANKAR</v>
      </c>
      <c r="F1371" s="7" t="s">
        <v>17</v>
      </c>
      <c r="G1371" s="22">
        <v>45540</v>
      </c>
      <c r="H1371" s="8">
        <v>101375</v>
      </c>
      <c r="I1371" s="7" t="str">
        <f t="shared" si="235"/>
        <v>shiv.shankar@te.shr.ba</v>
      </c>
      <c r="J1371" s="6" t="s">
        <v>1533</v>
      </c>
      <c r="K1371" s="6">
        <v>77</v>
      </c>
      <c r="L1371" s="7" t="str">
        <f t="shared" si="236"/>
        <v>te.shr.ba</v>
      </c>
      <c r="M1371" s="7" t="str">
        <f t="shared" si="237"/>
        <v>S.Shiv</v>
      </c>
      <c r="N1371" s="6">
        <f t="shared" si="232"/>
        <v>0</v>
      </c>
      <c r="O1371" s="6">
        <f t="shared" si="231"/>
        <v>0</v>
      </c>
      <c r="P1371" s="6" t="str">
        <f t="shared" si="238"/>
        <v>N</v>
      </c>
      <c r="Q1371" s="6">
        <f t="shared" si="239"/>
        <v>11</v>
      </c>
      <c r="R1371" s="6" t="str">
        <f t="shared" si="240"/>
        <v>2024</v>
      </c>
      <c r="S1371" s="6" t="str">
        <f t="shared" si="241"/>
        <v>Sep</v>
      </c>
    </row>
    <row r="1372" spans="1:19" x14ac:dyDescent="0.25">
      <c r="A1372" s="6">
        <v>454</v>
      </c>
      <c r="B1372" s="6" t="str">
        <f t="shared" si="233"/>
        <v>NIKTEC00454</v>
      </c>
      <c r="C1372" s="7" t="s">
        <v>365</v>
      </c>
      <c r="D1372" s="7" t="s">
        <v>635</v>
      </c>
      <c r="E1372" s="7" t="str">
        <f t="shared" si="234"/>
        <v>SHYAM SUNDAR</v>
      </c>
      <c r="F1372" s="7" t="s">
        <v>17</v>
      </c>
      <c r="G1372" s="22">
        <v>45569</v>
      </c>
      <c r="H1372" s="8">
        <v>33525</v>
      </c>
      <c r="I1372" s="7" t="str">
        <f t="shared" si="235"/>
        <v>shyam.sundar@te.sur.ba</v>
      </c>
      <c r="J1372" s="6" t="s">
        <v>1541</v>
      </c>
      <c r="K1372" s="6">
        <v>79</v>
      </c>
      <c r="L1372" s="7" t="str">
        <f t="shared" si="236"/>
        <v>te.sur.ba</v>
      </c>
      <c r="M1372" s="7" t="str">
        <f t="shared" si="237"/>
        <v>S.Shyam</v>
      </c>
      <c r="N1372" s="6">
        <f t="shared" si="232"/>
        <v>0</v>
      </c>
      <c r="O1372" s="6">
        <f t="shared" si="231"/>
        <v>0</v>
      </c>
      <c r="P1372" s="6" t="str">
        <f t="shared" si="238"/>
        <v>N</v>
      </c>
      <c r="Q1372" s="6">
        <f t="shared" si="239"/>
        <v>11</v>
      </c>
      <c r="R1372" s="6" t="str">
        <f t="shared" si="240"/>
        <v>2024</v>
      </c>
      <c r="S1372" s="6" t="str">
        <f t="shared" si="241"/>
        <v>Oct</v>
      </c>
    </row>
    <row r="1373" spans="1:19" x14ac:dyDescent="0.25">
      <c r="A1373" s="6">
        <v>491</v>
      </c>
      <c r="B1373" s="6" t="str">
        <f t="shared" si="233"/>
        <v>NIKTEC00491</v>
      </c>
      <c r="C1373" s="7" t="s">
        <v>250</v>
      </c>
      <c r="D1373" s="7" t="s">
        <v>675</v>
      </c>
      <c r="E1373" s="7" t="str">
        <f t="shared" si="234"/>
        <v>TUSHAR DEV</v>
      </c>
      <c r="F1373" s="7" t="s">
        <v>17</v>
      </c>
      <c r="G1373" s="22">
        <v>42571</v>
      </c>
      <c r="H1373" s="8">
        <v>106204</v>
      </c>
      <c r="I1373" s="7" t="str">
        <f t="shared" si="235"/>
        <v>tushar.dev@te.dev.ba</v>
      </c>
      <c r="J1373" s="6" t="s">
        <v>1538</v>
      </c>
      <c r="K1373" s="6">
        <v>48</v>
      </c>
      <c r="L1373" s="7" t="str">
        <f t="shared" si="236"/>
        <v>te.dev.ba</v>
      </c>
      <c r="M1373" s="7" t="str">
        <f t="shared" si="237"/>
        <v>D.Tushar</v>
      </c>
      <c r="N1373" s="6">
        <f t="shared" si="232"/>
        <v>0</v>
      </c>
      <c r="O1373" s="6">
        <f t="shared" si="231"/>
        <v>2</v>
      </c>
      <c r="P1373" s="6" t="str">
        <f t="shared" si="238"/>
        <v>N</v>
      </c>
      <c r="Q1373" s="6">
        <f t="shared" si="239"/>
        <v>9</v>
      </c>
      <c r="R1373" s="6" t="str">
        <f t="shared" si="240"/>
        <v>2016</v>
      </c>
      <c r="S1373" s="6" t="str">
        <f t="shared" si="241"/>
        <v>Jul</v>
      </c>
    </row>
    <row r="1374" spans="1:19" x14ac:dyDescent="0.25">
      <c r="A1374" s="6">
        <v>509</v>
      </c>
      <c r="B1374" s="6" t="str">
        <f t="shared" si="233"/>
        <v>NIKTEC00509</v>
      </c>
      <c r="C1374" s="7" t="s">
        <v>693</v>
      </c>
      <c r="D1374" s="7" t="s">
        <v>55</v>
      </c>
      <c r="E1374" s="7" t="str">
        <f t="shared" si="234"/>
        <v>PINKY SHARMA</v>
      </c>
      <c r="F1374" s="7" t="s">
        <v>17</v>
      </c>
      <c r="G1374" s="22">
        <v>41528</v>
      </c>
      <c r="H1374" s="8">
        <v>50579</v>
      </c>
      <c r="I1374" s="7" t="str">
        <f t="shared" si="235"/>
        <v>pinky.sharma@te.sha.ba</v>
      </c>
      <c r="J1374" s="6" t="s">
        <v>1533</v>
      </c>
      <c r="K1374" s="6">
        <v>66</v>
      </c>
      <c r="L1374" s="7" t="str">
        <f t="shared" si="236"/>
        <v>te.sha.ba</v>
      </c>
      <c r="M1374" s="7" t="str">
        <f t="shared" si="237"/>
        <v>S.Pinky</v>
      </c>
      <c r="N1374" s="6">
        <f t="shared" si="232"/>
        <v>0</v>
      </c>
      <c r="O1374" s="6">
        <f t="shared" si="231"/>
        <v>0</v>
      </c>
      <c r="P1374" s="6" t="str">
        <f t="shared" si="238"/>
        <v>N</v>
      </c>
      <c r="Q1374" s="6">
        <f t="shared" si="239"/>
        <v>11</v>
      </c>
      <c r="R1374" s="6" t="str">
        <f t="shared" si="240"/>
        <v>2013</v>
      </c>
      <c r="S1374" s="6" t="str">
        <f t="shared" si="241"/>
        <v>Sep</v>
      </c>
    </row>
    <row r="1375" spans="1:19" x14ac:dyDescent="0.25">
      <c r="A1375" s="6">
        <v>514</v>
      </c>
      <c r="B1375" s="6" t="str">
        <f t="shared" si="233"/>
        <v>NIKTEC00514</v>
      </c>
      <c r="C1375" s="7" t="s">
        <v>267</v>
      </c>
      <c r="D1375" s="7" t="s">
        <v>379</v>
      </c>
      <c r="E1375" s="7" t="str">
        <f t="shared" si="234"/>
        <v>HARSH SACHDEVA</v>
      </c>
      <c r="F1375" s="7" t="s">
        <v>17</v>
      </c>
      <c r="G1375" s="22">
        <v>42648</v>
      </c>
      <c r="H1375" s="8">
        <v>60010</v>
      </c>
      <c r="I1375" s="7" t="str">
        <f t="shared" si="235"/>
        <v>harsh.sachdeva@te.saa.ba</v>
      </c>
      <c r="J1375" s="6" t="s">
        <v>1535</v>
      </c>
      <c r="K1375" s="6">
        <v>69</v>
      </c>
      <c r="L1375" s="7" t="str">
        <f t="shared" si="236"/>
        <v>te.saa.ba</v>
      </c>
      <c r="M1375" s="7" t="str">
        <f t="shared" si="237"/>
        <v>S.Harsh</v>
      </c>
      <c r="N1375" s="6">
        <f t="shared" si="232"/>
        <v>0</v>
      </c>
      <c r="O1375" s="6">
        <f t="shared" si="231"/>
        <v>6</v>
      </c>
      <c r="P1375" s="6" t="str">
        <f t="shared" si="238"/>
        <v>N</v>
      </c>
      <c r="Q1375" s="6">
        <f t="shared" si="239"/>
        <v>13</v>
      </c>
      <c r="R1375" s="6" t="str">
        <f t="shared" si="240"/>
        <v>2016</v>
      </c>
      <c r="S1375" s="6" t="str">
        <f t="shared" si="241"/>
        <v>Oct</v>
      </c>
    </row>
    <row r="1376" spans="1:19" x14ac:dyDescent="0.25">
      <c r="A1376" s="6">
        <v>527</v>
      </c>
      <c r="B1376" s="6" t="str">
        <f t="shared" si="233"/>
        <v>NIKTEC00527</v>
      </c>
      <c r="C1376" s="7" t="s">
        <v>712</v>
      </c>
      <c r="D1376" s="7" t="s">
        <v>713</v>
      </c>
      <c r="E1376" s="7" t="str">
        <f t="shared" si="234"/>
        <v>SHRIKANT SHIVAJI</v>
      </c>
      <c r="F1376" s="7" t="s">
        <v>17</v>
      </c>
      <c r="G1376" s="22">
        <v>42919</v>
      </c>
      <c r="H1376" s="8">
        <v>68652</v>
      </c>
      <c r="I1376" s="7" t="str">
        <f t="shared" si="235"/>
        <v>shrikant.shivaji@te.shi.ba</v>
      </c>
      <c r="J1376" s="6" t="s">
        <v>1549</v>
      </c>
      <c r="K1376" s="6">
        <v>78</v>
      </c>
      <c r="L1376" s="7" t="str">
        <f t="shared" si="236"/>
        <v>te.shi.ba</v>
      </c>
      <c r="M1376" s="7" t="str">
        <f t="shared" si="237"/>
        <v>S.Shrikant</v>
      </c>
      <c r="N1376" s="6">
        <f t="shared" si="232"/>
        <v>0</v>
      </c>
      <c r="O1376" s="6">
        <f t="shared" si="231"/>
        <v>0</v>
      </c>
      <c r="P1376" s="6" t="str">
        <f t="shared" si="238"/>
        <v>N</v>
      </c>
      <c r="Q1376" s="6">
        <f t="shared" si="239"/>
        <v>15</v>
      </c>
      <c r="R1376" s="6" t="str">
        <f t="shared" si="240"/>
        <v>2017</v>
      </c>
      <c r="S1376" s="6" t="str">
        <f t="shared" si="241"/>
        <v>Jul</v>
      </c>
    </row>
    <row r="1377" spans="1:19" x14ac:dyDescent="0.25">
      <c r="A1377" s="6">
        <v>544</v>
      </c>
      <c r="B1377" s="6" t="str">
        <f t="shared" si="233"/>
        <v>NIKTEC00544</v>
      </c>
      <c r="C1377" s="7" t="s">
        <v>726</v>
      </c>
      <c r="D1377" s="7" t="s">
        <v>727</v>
      </c>
      <c r="E1377" s="7" t="str">
        <f t="shared" si="234"/>
        <v>PRITESH YOGENDRA</v>
      </c>
      <c r="F1377" s="7" t="s">
        <v>17</v>
      </c>
      <c r="G1377" s="22">
        <v>42919</v>
      </c>
      <c r="H1377" s="8">
        <v>31087</v>
      </c>
      <c r="I1377" s="7" t="str">
        <f t="shared" si="235"/>
        <v>pritesh.yogendra@te.yoa.ba</v>
      </c>
      <c r="J1377" s="6" t="s">
        <v>1536</v>
      </c>
      <c r="K1377" s="6">
        <v>49</v>
      </c>
      <c r="L1377" s="7" t="str">
        <f t="shared" si="236"/>
        <v>te.yoa.ba</v>
      </c>
      <c r="M1377" s="7" t="str">
        <f t="shared" si="237"/>
        <v>Y.Pritesh</v>
      </c>
      <c r="N1377" s="6">
        <f t="shared" si="232"/>
        <v>5</v>
      </c>
      <c r="O1377" s="6">
        <f t="shared" si="231"/>
        <v>4</v>
      </c>
      <c r="P1377" s="6" t="str">
        <f t="shared" si="238"/>
        <v>Y</v>
      </c>
      <c r="Q1377" s="6">
        <f t="shared" si="239"/>
        <v>15</v>
      </c>
      <c r="R1377" s="6" t="str">
        <f t="shared" si="240"/>
        <v>2017</v>
      </c>
      <c r="S1377" s="6" t="str">
        <f t="shared" si="241"/>
        <v>Jul</v>
      </c>
    </row>
    <row r="1378" spans="1:19" x14ac:dyDescent="0.25">
      <c r="A1378" s="6">
        <v>550</v>
      </c>
      <c r="B1378" s="6" t="str">
        <f t="shared" si="233"/>
        <v>NIKTEC00550</v>
      </c>
      <c r="C1378" s="7" t="s">
        <v>146</v>
      </c>
      <c r="D1378" s="7" t="s">
        <v>731</v>
      </c>
      <c r="E1378" s="7" t="str">
        <f t="shared" si="234"/>
        <v>ANKIT GHOSH</v>
      </c>
      <c r="F1378" s="7" t="s">
        <v>17</v>
      </c>
      <c r="G1378" s="22">
        <v>42830</v>
      </c>
      <c r="H1378" s="8">
        <v>107528</v>
      </c>
      <c r="I1378" s="7" t="str">
        <f t="shared" si="235"/>
        <v>ankit.ghosh@te.ghh.ba</v>
      </c>
      <c r="J1378" s="6" t="s">
        <v>1542</v>
      </c>
      <c r="K1378" s="6">
        <v>36</v>
      </c>
      <c r="L1378" s="7" t="str">
        <f t="shared" si="236"/>
        <v>te.ghh.ba</v>
      </c>
      <c r="M1378" s="7" t="str">
        <f t="shared" si="237"/>
        <v>G.Ankit</v>
      </c>
      <c r="N1378" s="6">
        <f t="shared" si="232"/>
        <v>0</v>
      </c>
      <c r="O1378" s="6">
        <f t="shared" si="231"/>
        <v>0</v>
      </c>
      <c r="P1378" s="6" t="str">
        <f t="shared" si="238"/>
        <v>N</v>
      </c>
      <c r="Q1378" s="6">
        <f t="shared" si="239"/>
        <v>10</v>
      </c>
      <c r="R1378" s="6" t="str">
        <f t="shared" si="240"/>
        <v>2017</v>
      </c>
      <c r="S1378" s="6" t="str">
        <f t="shared" si="241"/>
        <v>Apr</v>
      </c>
    </row>
    <row r="1379" spans="1:19" x14ac:dyDescent="0.25">
      <c r="A1379" s="6">
        <v>554</v>
      </c>
      <c r="B1379" s="6" t="str">
        <f t="shared" si="233"/>
        <v>NIKTEC00554</v>
      </c>
      <c r="C1379" s="7" t="s">
        <v>125</v>
      </c>
      <c r="D1379" s="7" t="s">
        <v>55</v>
      </c>
      <c r="E1379" s="7" t="str">
        <f t="shared" si="234"/>
        <v>VIKAS SHARMA</v>
      </c>
      <c r="F1379" s="7" t="s">
        <v>17</v>
      </c>
      <c r="G1379" s="22">
        <v>42240</v>
      </c>
      <c r="H1379" s="8">
        <v>54302</v>
      </c>
      <c r="I1379" s="7" t="str">
        <f t="shared" si="235"/>
        <v>vikas.sharma@te.sha.ba</v>
      </c>
      <c r="J1379" s="6" t="s">
        <v>1533</v>
      </c>
      <c r="K1379" s="6">
        <v>65</v>
      </c>
      <c r="L1379" s="7" t="str">
        <f t="shared" si="236"/>
        <v>te.sha.ba</v>
      </c>
      <c r="M1379" s="7" t="str">
        <f t="shared" si="237"/>
        <v>S.Vikas</v>
      </c>
      <c r="N1379" s="6">
        <f t="shared" si="232"/>
        <v>0</v>
      </c>
      <c r="O1379" s="6">
        <f t="shared" si="231"/>
        <v>0</v>
      </c>
      <c r="P1379" s="6" t="str">
        <f t="shared" si="238"/>
        <v>N</v>
      </c>
      <c r="Q1379" s="6">
        <f t="shared" si="239"/>
        <v>11</v>
      </c>
      <c r="R1379" s="6" t="str">
        <f t="shared" si="240"/>
        <v>2015</v>
      </c>
      <c r="S1379" s="6" t="str">
        <f t="shared" si="241"/>
        <v>Aug</v>
      </c>
    </row>
    <row r="1380" spans="1:19" x14ac:dyDescent="0.25">
      <c r="A1380" s="6">
        <v>561</v>
      </c>
      <c r="B1380" s="6" t="str">
        <f t="shared" si="233"/>
        <v>NIKTEC00561</v>
      </c>
      <c r="C1380" s="7" t="s">
        <v>181</v>
      </c>
      <c r="D1380" s="7" t="s">
        <v>667</v>
      </c>
      <c r="E1380" s="7" t="str">
        <f t="shared" si="234"/>
        <v>ABHIJEET VAISHNAV</v>
      </c>
      <c r="F1380" s="7" t="s">
        <v>17</v>
      </c>
      <c r="G1380" s="22">
        <v>42541</v>
      </c>
      <c r="H1380" s="8">
        <v>50028</v>
      </c>
      <c r="I1380" s="7" t="str">
        <f t="shared" si="235"/>
        <v>abhijeet.vaishnav@te.vav.ba</v>
      </c>
      <c r="J1380" s="6" t="s">
        <v>1549</v>
      </c>
      <c r="K1380" s="6">
        <v>89</v>
      </c>
      <c r="L1380" s="7" t="str">
        <f t="shared" si="236"/>
        <v>te.vav.ba</v>
      </c>
      <c r="M1380" s="7" t="str">
        <f t="shared" si="237"/>
        <v>V.Abhijeet</v>
      </c>
      <c r="N1380" s="6">
        <f t="shared" si="232"/>
        <v>6</v>
      </c>
      <c r="O1380" s="6">
        <f t="shared" si="231"/>
        <v>0</v>
      </c>
      <c r="P1380" s="6" t="str">
        <f t="shared" si="238"/>
        <v>N</v>
      </c>
      <c r="Q1380" s="6">
        <f t="shared" si="239"/>
        <v>16</v>
      </c>
      <c r="R1380" s="6" t="str">
        <f t="shared" si="240"/>
        <v>2016</v>
      </c>
      <c r="S1380" s="6" t="str">
        <f t="shared" si="241"/>
        <v>Jun</v>
      </c>
    </row>
    <row r="1381" spans="1:19" x14ac:dyDescent="0.25">
      <c r="A1381" s="6">
        <v>569</v>
      </c>
      <c r="B1381" s="6" t="str">
        <f t="shared" si="233"/>
        <v>NIKTEC00569</v>
      </c>
      <c r="C1381" s="7" t="s">
        <v>747</v>
      </c>
      <c r="D1381" s="7" t="s">
        <v>748</v>
      </c>
      <c r="E1381" s="7" t="str">
        <f t="shared" si="234"/>
        <v>SONAL RAMCHANDRA</v>
      </c>
      <c r="F1381" s="7" t="s">
        <v>17</v>
      </c>
      <c r="G1381" s="22">
        <v>42866</v>
      </c>
      <c r="H1381" s="8">
        <v>109431</v>
      </c>
      <c r="I1381" s="7" t="str">
        <f t="shared" si="235"/>
        <v>sonal.ramchandra@te.raa.ba</v>
      </c>
      <c r="J1381" s="6" t="s">
        <v>1548</v>
      </c>
      <c r="K1381" s="6">
        <v>65</v>
      </c>
      <c r="L1381" s="7" t="str">
        <f t="shared" si="236"/>
        <v>te.raa.ba</v>
      </c>
      <c r="M1381" s="7" t="str">
        <f t="shared" si="237"/>
        <v>R.Sonal</v>
      </c>
      <c r="N1381" s="6">
        <f t="shared" si="232"/>
        <v>0</v>
      </c>
      <c r="O1381" s="6">
        <f t="shared" si="231"/>
        <v>0</v>
      </c>
      <c r="P1381" s="6" t="str">
        <f t="shared" si="238"/>
        <v>N</v>
      </c>
      <c r="Q1381" s="6">
        <f t="shared" si="239"/>
        <v>15</v>
      </c>
      <c r="R1381" s="6" t="str">
        <f t="shared" si="240"/>
        <v>2017</v>
      </c>
      <c r="S1381" s="6" t="str">
        <f t="shared" si="241"/>
        <v>May</v>
      </c>
    </row>
    <row r="1382" spans="1:19" x14ac:dyDescent="0.25">
      <c r="A1382" s="6">
        <v>571</v>
      </c>
      <c r="B1382" s="6" t="str">
        <f t="shared" si="233"/>
        <v>NIKTEC00571</v>
      </c>
      <c r="C1382" s="7" t="s">
        <v>259</v>
      </c>
      <c r="D1382" s="7" t="s">
        <v>68</v>
      </c>
      <c r="E1382" s="7" t="str">
        <f t="shared" si="234"/>
        <v>ASHISH KUMAR</v>
      </c>
      <c r="F1382" s="7" t="s">
        <v>17</v>
      </c>
      <c r="G1382" s="22">
        <v>41822</v>
      </c>
      <c r="H1382" s="8">
        <v>26780</v>
      </c>
      <c r="I1382" s="7" t="str">
        <f t="shared" si="235"/>
        <v>ashish.kumar@te.kur.ba</v>
      </c>
      <c r="J1382" s="6" t="s">
        <v>1545</v>
      </c>
      <c r="K1382" s="6">
        <v>39</v>
      </c>
      <c r="L1382" s="7" t="str">
        <f t="shared" si="236"/>
        <v>te.kur.ba</v>
      </c>
      <c r="M1382" s="7" t="str">
        <f t="shared" si="237"/>
        <v>K.Ashish</v>
      </c>
      <c r="N1382" s="6">
        <f t="shared" si="232"/>
        <v>0</v>
      </c>
      <c r="O1382" s="6">
        <f t="shared" si="231"/>
        <v>0</v>
      </c>
      <c r="P1382" s="6" t="str">
        <f t="shared" si="238"/>
        <v>N</v>
      </c>
      <c r="Q1382" s="6">
        <f t="shared" si="239"/>
        <v>11</v>
      </c>
      <c r="R1382" s="6" t="str">
        <f t="shared" si="240"/>
        <v>2014</v>
      </c>
      <c r="S1382" s="6" t="str">
        <f t="shared" si="241"/>
        <v>Jul</v>
      </c>
    </row>
    <row r="1383" spans="1:19" x14ac:dyDescent="0.25">
      <c r="A1383" s="6">
        <v>584</v>
      </c>
      <c r="B1383" s="6" t="str">
        <f t="shared" si="233"/>
        <v>NIKTEC00584</v>
      </c>
      <c r="C1383" s="7" t="s">
        <v>766</v>
      </c>
      <c r="D1383" s="7" t="s">
        <v>62</v>
      </c>
      <c r="E1383" s="7" t="str">
        <f t="shared" si="234"/>
        <v>AARAV JAIN</v>
      </c>
      <c r="F1383" s="7" t="s">
        <v>17</v>
      </c>
      <c r="G1383" s="22">
        <v>42583</v>
      </c>
      <c r="H1383" s="8">
        <v>87691</v>
      </c>
      <c r="I1383" s="7" t="str">
        <f t="shared" si="235"/>
        <v>aarav.jain@te.jan.ba</v>
      </c>
      <c r="J1383" s="6" t="s">
        <v>1548</v>
      </c>
      <c r="K1383" s="6">
        <v>45</v>
      </c>
      <c r="L1383" s="7" t="str">
        <f t="shared" si="236"/>
        <v>te.jan.ba</v>
      </c>
      <c r="M1383" s="7" t="str">
        <f t="shared" si="237"/>
        <v>J.Aarav</v>
      </c>
      <c r="N1383" s="6">
        <f t="shared" si="232"/>
        <v>0</v>
      </c>
      <c r="O1383" s="6">
        <f t="shared" si="231"/>
        <v>0</v>
      </c>
      <c r="P1383" s="6" t="str">
        <f t="shared" si="238"/>
        <v>N</v>
      </c>
      <c r="Q1383" s="6">
        <f t="shared" si="239"/>
        <v>9</v>
      </c>
      <c r="R1383" s="6" t="str">
        <f t="shared" si="240"/>
        <v>2016</v>
      </c>
      <c r="S1383" s="6" t="str">
        <f t="shared" si="241"/>
        <v>Aug</v>
      </c>
    </row>
    <row r="1384" spans="1:19" x14ac:dyDescent="0.25">
      <c r="A1384" s="6">
        <v>589</v>
      </c>
      <c r="B1384" s="6" t="str">
        <f t="shared" si="233"/>
        <v>NIKTEC00589</v>
      </c>
      <c r="C1384" s="7" t="s">
        <v>447</v>
      </c>
      <c r="D1384" s="7" t="s">
        <v>772</v>
      </c>
      <c r="E1384" s="7" t="str">
        <f t="shared" si="234"/>
        <v>AMAR CHAND</v>
      </c>
      <c r="F1384" s="7" t="s">
        <v>17</v>
      </c>
      <c r="G1384" s="22">
        <v>42923</v>
      </c>
      <c r="H1384" s="8">
        <v>102729</v>
      </c>
      <c r="I1384" s="7" t="str">
        <f t="shared" si="235"/>
        <v>amar.chand@te.chd.ba</v>
      </c>
      <c r="J1384" s="6" t="s">
        <v>1547</v>
      </c>
      <c r="K1384" s="6">
        <v>59</v>
      </c>
      <c r="L1384" s="7" t="str">
        <f t="shared" si="236"/>
        <v>te.chd.ba</v>
      </c>
      <c r="M1384" s="7" t="str">
        <f t="shared" si="237"/>
        <v>C.Amar</v>
      </c>
      <c r="N1384" s="6">
        <f t="shared" si="232"/>
        <v>0</v>
      </c>
      <c r="O1384" s="6">
        <f t="shared" si="231"/>
        <v>0</v>
      </c>
      <c r="P1384" s="6" t="str">
        <f t="shared" si="238"/>
        <v>N</v>
      </c>
      <c r="Q1384" s="6">
        <f t="shared" si="239"/>
        <v>9</v>
      </c>
      <c r="R1384" s="6" t="str">
        <f t="shared" si="240"/>
        <v>2017</v>
      </c>
      <c r="S1384" s="6" t="str">
        <f t="shared" si="241"/>
        <v>Jul</v>
      </c>
    </row>
    <row r="1385" spans="1:19" x14ac:dyDescent="0.25">
      <c r="A1385" s="6">
        <v>591</v>
      </c>
      <c r="B1385" s="6" t="str">
        <f t="shared" si="233"/>
        <v>NIKTEC00591</v>
      </c>
      <c r="C1385" s="7" t="s">
        <v>773</v>
      </c>
      <c r="D1385" s="7" t="s">
        <v>140</v>
      </c>
      <c r="E1385" s="7" t="str">
        <f t="shared" si="234"/>
        <v>PARIKSHIT MISHRA</v>
      </c>
      <c r="F1385" s="7" t="s">
        <v>17</v>
      </c>
      <c r="G1385" s="22">
        <v>42551</v>
      </c>
      <c r="H1385" s="8">
        <v>94005</v>
      </c>
      <c r="I1385" s="7" t="str">
        <f t="shared" si="235"/>
        <v>parikshit.mishra@te.mia.ba</v>
      </c>
      <c r="J1385" s="6" t="s">
        <v>1543</v>
      </c>
      <c r="K1385" s="6">
        <v>78</v>
      </c>
      <c r="L1385" s="7" t="str">
        <f t="shared" si="236"/>
        <v>te.mia.ba</v>
      </c>
      <c r="M1385" s="7" t="str">
        <f t="shared" si="237"/>
        <v>M.Parikshit</v>
      </c>
      <c r="N1385" s="6">
        <f t="shared" si="232"/>
        <v>0</v>
      </c>
      <c r="O1385" s="6">
        <f t="shared" si="231"/>
        <v>0</v>
      </c>
      <c r="P1385" s="6" t="str">
        <f t="shared" si="238"/>
        <v>N</v>
      </c>
      <c r="Q1385" s="6">
        <f t="shared" si="239"/>
        <v>15</v>
      </c>
      <c r="R1385" s="6" t="str">
        <f t="shared" si="240"/>
        <v>2016</v>
      </c>
      <c r="S1385" s="6" t="str">
        <f t="shared" si="241"/>
        <v>Jun</v>
      </c>
    </row>
    <row r="1386" spans="1:19" x14ac:dyDescent="0.25">
      <c r="A1386" s="6">
        <v>593</v>
      </c>
      <c r="B1386" s="6" t="str">
        <f t="shared" si="233"/>
        <v>NIKTEC00593</v>
      </c>
      <c r="C1386" s="7" t="s">
        <v>19</v>
      </c>
      <c r="D1386" s="7" t="s">
        <v>68</v>
      </c>
      <c r="E1386" s="7" t="str">
        <f t="shared" si="234"/>
        <v>AMIT KUMAR</v>
      </c>
      <c r="F1386" s="7" t="s">
        <v>17</v>
      </c>
      <c r="G1386" s="22">
        <v>42919</v>
      </c>
      <c r="H1386" s="8">
        <v>78850</v>
      </c>
      <c r="I1386" s="7" t="str">
        <f t="shared" si="235"/>
        <v>amit.kumar@te.kur.ba</v>
      </c>
      <c r="J1386" s="6" t="s">
        <v>1546</v>
      </c>
      <c r="K1386" s="6">
        <v>73</v>
      </c>
      <c r="L1386" s="7" t="str">
        <f t="shared" si="236"/>
        <v>te.kur.ba</v>
      </c>
      <c r="M1386" s="7" t="str">
        <f t="shared" si="237"/>
        <v>K.Amit</v>
      </c>
      <c r="N1386" s="6">
        <f t="shared" si="232"/>
        <v>0</v>
      </c>
      <c r="O1386" s="6">
        <f t="shared" si="231"/>
        <v>0</v>
      </c>
      <c r="P1386" s="6" t="str">
        <f t="shared" si="238"/>
        <v>N</v>
      </c>
      <c r="Q1386" s="6">
        <f t="shared" si="239"/>
        <v>9</v>
      </c>
      <c r="R1386" s="6" t="str">
        <f t="shared" si="240"/>
        <v>2017</v>
      </c>
      <c r="S1386" s="6" t="str">
        <f t="shared" si="241"/>
        <v>Jul</v>
      </c>
    </row>
    <row r="1387" spans="1:19" x14ac:dyDescent="0.25">
      <c r="A1387" s="6">
        <v>600</v>
      </c>
      <c r="B1387" s="6" t="str">
        <f t="shared" si="233"/>
        <v>NIKTEC00600</v>
      </c>
      <c r="C1387" s="7" t="s">
        <v>780</v>
      </c>
      <c r="D1387" s="7" t="s">
        <v>781</v>
      </c>
      <c r="E1387" s="7" t="str">
        <f t="shared" si="234"/>
        <v>ARUNDHATI PAL</v>
      </c>
      <c r="F1387" s="7" t="s">
        <v>17</v>
      </c>
      <c r="G1387" s="22">
        <v>42485</v>
      </c>
      <c r="H1387" s="8">
        <v>73080</v>
      </c>
      <c r="I1387" s="7" t="str">
        <f t="shared" si="235"/>
        <v>arundhati.pal@te.pal.ba</v>
      </c>
      <c r="J1387" s="6" t="s">
        <v>1542</v>
      </c>
      <c r="K1387" s="6">
        <v>72</v>
      </c>
      <c r="L1387" s="7" t="str">
        <f t="shared" si="236"/>
        <v>te.pal.ba</v>
      </c>
      <c r="M1387" s="7" t="str">
        <f t="shared" si="237"/>
        <v>P.Arundhati</v>
      </c>
      <c r="N1387" s="6">
        <f t="shared" si="232"/>
        <v>0</v>
      </c>
      <c r="O1387" s="6">
        <f t="shared" si="231"/>
        <v>0</v>
      </c>
      <c r="P1387" s="6" t="str">
        <f t="shared" si="238"/>
        <v>N</v>
      </c>
      <c r="Q1387" s="6">
        <f t="shared" si="239"/>
        <v>12</v>
      </c>
      <c r="R1387" s="6" t="str">
        <f t="shared" si="240"/>
        <v>2016</v>
      </c>
      <c r="S1387" s="6" t="str">
        <f t="shared" si="241"/>
        <v>Apr</v>
      </c>
    </row>
    <row r="1388" spans="1:19" x14ac:dyDescent="0.25">
      <c r="A1388" s="6">
        <v>607</v>
      </c>
      <c r="B1388" s="6" t="str">
        <f t="shared" si="233"/>
        <v>NIKTEC00607</v>
      </c>
      <c r="C1388" s="7" t="s">
        <v>789</v>
      </c>
      <c r="D1388" s="7" t="s">
        <v>70</v>
      </c>
      <c r="E1388" s="7" t="str">
        <f t="shared" si="234"/>
        <v>GURIQBAL SINGH</v>
      </c>
      <c r="F1388" s="7" t="s">
        <v>17</v>
      </c>
      <c r="G1388" s="22">
        <v>41888</v>
      </c>
      <c r="H1388" s="8">
        <v>70096</v>
      </c>
      <c r="I1388" s="7" t="str">
        <f t="shared" si="235"/>
        <v>guriqbal.singh@te.sih.ba</v>
      </c>
      <c r="J1388" s="6" t="s">
        <v>1548</v>
      </c>
      <c r="K1388" s="6">
        <v>36</v>
      </c>
      <c r="L1388" s="7" t="str">
        <f t="shared" si="236"/>
        <v>te.sih.ba</v>
      </c>
      <c r="M1388" s="7" t="str">
        <f t="shared" si="237"/>
        <v>S.Guriqbal</v>
      </c>
      <c r="N1388" s="6">
        <f t="shared" si="232"/>
        <v>0</v>
      </c>
      <c r="O1388" s="6">
        <f t="shared" ref="O1388:O1451" si="242">IFERROR(SEARCH("e",D1388),0)</f>
        <v>0</v>
      </c>
      <c r="P1388" s="6" t="str">
        <f t="shared" si="238"/>
        <v>N</v>
      </c>
      <c r="Q1388" s="6">
        <f t="shared" si="239"/>
        <v>13</v>
      </c>
      <c r="R1388" s="6" t="str">
        <f t="shared" si="240"/>
        <v>2014</v>
      </c>
      <c r="S1388" s="6" t="str">
        <f t="shared" si="241"/>
        <v>Sep</v>
      </c>
    </row>
    <row r="1389" spans="1:19" x14ac:dyDescent="0.25">
      <c r="A1389" s="6">
        <v>609</v>
      </c>
      <c r="B1389" s="6" t="str">
        <f t="shared" si="233"/>
        <v>NIKTEC00609</v>
      </c>
      <c r="C1389" s="7" t="s">
        <v>791</v>
      </c>
      <c r="D1389" s="7" t="s">
        <v>792</v>
      </c>
      <c r="E1389" s="7" t="str">
        <f t="shared" si="234"/>
        <v>NISHA POPTANI</v>
      </c>
      <c r="F1389" s="7" t="s">
        <v>17</v>
      </c>
      <c r="G1389" s="22">
        <v>42692</v>
      </c>
      <c r="H1389" s="8">
        <v>97363</v>
      </c>
      <c r="I1389" s="7" t="str">
        <f t="shared" si="235"/>
        <v>nisha.poptani@te.poi.ba</v>
      </c>
      <c r="J1389" s="6" t="s">
        <v>1546</v>
      </c>
      <c r="K1389" s="6">
        <v>54</v>
      </c>
      <c r="L1389" s="7" t="str">
        <f t="shared" si="236"/>
        <v>te.poi.ba</v>
      </c>
      <c r="M1389" s="7" t="str">
        <f t="shared" si="237"/>
        <v>P.Nisha</v>
      </c>
      <c r="N1389" s="6">
        <f t="shared" si="232"/>
        <v>0</v>
      </c>
      <c r="O1389" s="6">
        <f t="shared" si="242"/>
        <v>0</v>
      </c>
      <c r="P1389" s="6" t="str">
        <f t="shared" si="238"/>
        <v>N</v>
      </c>
      <c r="Q1389" s="6">
        <f t="shared" si="239"/>
        <v>12</v>
      </c>
      <c r="R1389" s="6" t="str">
        <f t="shared" si="240"/>
        <v>2016</v>
      </c>
      <c r="S1389" s="6" t="str">
        <f t="shared" si="241"/>
        <v>Nov</v>
      </c>
    </row>
    <row r="1390" spans="1:19" x14ac:dyDescent="0.25">
      <c r="A1390" s="6">
        <v>613</v>
      </c>
      <c r="B1390" s="6" t="str">
        <f t="shared" si="233"/>
        <v>NIKTEC00613</v>
      </c>
      <c r="C1390" s="7" t="s">
        <v>796</v>
      </c>
      <c r="D1390" s="7" t="s">
        <v>797</v>
      </c>
      <c r="E1390" s="7" t="str">
        <f t="shared" si="234"/>
        <v>ANUP S</v>
      </c>
      <c r="F1390" s="7" t="s">
        <v>17</v>
      </c>
      <c r="G1390" s="22">
        <v>42691</v>
      </c>
      <c r="H1390" s="8">
        <v>70687</v>
      </c>
      <c r="I1390" s="7" t="str">
        <f t="shared" si="235"/>
        <v>anup.s@te.ss.ba</v>
      </c>
      <c r="J1390" s="6" t="s">
        <v>1548</v>
      </c>
      <c r="K1390" s="6">
        <v>80</v>
      </c>
      <c r="L1390" s="7" t="str">
        <f t="shared" si="236"/>
        <v>te.ss.ba</v>
      </c>
      <c r="M1390" s="7" t="str">
        <f t="shared" si="237"/>
        <v>S.Anup</v>
      </c>
      <c r="N1390" s="6">
        <f t="shared" ref="N1390:N1453" si="243">IFERROR(SEARCH("e",C1390),0)</f>
        <v>0</v>
      </c>
      <c r="O1390" s="6">
        <f t="shared" si="242"/>
        <v>0</v>
      </c>
      <c r="P1390" s="6" t="str">
        <f t="shared" si="238"/>
        <v>N</v>
      </c>
      <c r="Q1390" s="6">
        <f t="shared" si="239"/>
        <v>5</v>
      </c>
      <c r="R1390" s="6" t="str">
        <f t="shared" si="240"/>
        <v>2016</v>
      </c>
      <c r="S1390" s="6" t="str">
        <f t="shared" si="241"/>
        <v>Nov</v>
      </c>
    </row>
    <row r="1391" spans="1:19" x14ac:dyDescent="0.25">
      <c r="A1391" s="6">
        <v>616</v>
      </c>
      <c r="B1391" s="6" t="str">
        <f t="shared" si="233"/>
        <v>NIKTEC00616</v>
      </c>
      <c r="C1391" s="7" t="s">
        <v>509</v>
      </c>
      <c r="D1391" s="7" t="s">
        <v>191</v>
      </c>
      <c r="E1391" s="7" t="str">
        <f t="shared" si="234"/>
        <v>APARNA ANIL</v>
      </c>
      <c r="F1391" s="7" t="s">
        <v>17</v>
      </c>
      <c r="G1391" s="22">
        <v>43017</v>
      </c>
      <c r="H1391" s="8">
        <v>69077</v>
      </c>
      <c r="I1391" s="7" t="str">
        <f t="shared" si="235"/>
        <v>aparna.anil@te.anl.ba</v>
      </c>
      <c r="J1391" s="6" t="s">
        <v>1550</v>
      </c>
      <c r="K1391" s="6">
        <v>68</v>
      </c>
      <c r="L1391" s="7" t="str">
        <f t="shared" si="236"/>
        <v>te.anl.ba</v>
      </c>
      <c r="M1391" s="7" t="str">
        <f t="shared" si="237"/>
        <v>A.Aparna</v>
      </c>
      <c r="N1391" s="6">
        <f t="shared" si="243"/>
        <v>0</v>
      </c>
      <c r="O1391" s="6">
        <f t="shared" si="242"/>
        <v>0</v>
      </c>
      <c r="P1391" s="6" t="str">
        <f t="shared" si="238"/>
        <v>N</v>
      </c>
      <c r="Q1391" s="6">
        <f t="shared" si="239"/>
        <v>10</v>
      </c>
      <c r="R1391" s="6" t="str">
        <f t="shared" si="240"/>
        <v>2017</v>
      </c>
      <c r="S1391" s="6" t="str">
        <f t="shared" si="241"/>
        <v>Oct</v>
      </c>
    </row>
    <row r="1392" spans="1:19" x14ac:dyDescent="0.25">
      <c r="A1392" s="6">
        <v>621</v>
      </c>
      <c r="B1392" s="6" t="str">
        <f t="shared" si="233"/>
        <v>NIKTEC00621</v>
      </c>
      <c r="C1392" s="7" t="s">
        <v>669</v>
      </c>
      <c r="D1392" s="7" t="s">
        <v>556</v>
      </c>
      <c r="E1392" s="7" t="str">
        <f t="shared" si="234"/>
        <v>ANUPAM KUMARI</v>
      </c>
      <c r="F1392" s="7" t="s">
        <v>17</v>
      </c>
      <c r="G1392" s="22">
        <v>42527</v>
      </c>
      <c r="H1392" s="8">
        <v>105792</v>
      </c>
      <c r="I1392" s="7" t="str">
        <f t="shared" si="235"/>
        <v>anupam.kumari@te.kui.ba</v>
      </c>
      <c r="J1392" s="6" t="s">
        <v>1548</v>
      </c>
      <c r="K1392" s="6">
        <v>79</v>
      </c>
      <c r="L1392" s="7" t="str">
        <f t="shared" si="236"/>
        <v>te.kui.ba</v>
      </c>
      <c r="M1392" s="7" t="str">
        <f t="shared" si="237"/>
        <v>K.Anupam</v>
      </c>
      <c r="N1392" s="6">
        <f t="shared" si="243"/>
        <v>0</v>
      </c>
      <c r="O1392" s="6">
        <f t="shared" si="242"/>
        <v>0</v>
      </c>
      <c r="P1392" s="6" t="str">
        <f t="shared" si="238"/>
        <v>N</v>
      </c>
      <c r="Q1392" s="6">
        <f t="shared" si="239"/>
        <v>12</v>
      </c>
      <c r="R1392" s="6" t="str">
        <f t="shared" si="240"/>
        <v>2016</v>
      </c>
      <c r="S1392" s="6" t="str">
        <f t="shared" si="241"/>
        <v>Jun</v>
      </c>
    </row>
    <row r="1393" spans="1:19" x14ac:dyDescent="0.25">
      <c r="A1393" s="6">
        <v>625</v>
      </c>
      <c r="B1393" s="6" t="str">
        <f t="shared" si="233"/>
        <v>NIKTEC00625</v>
      </c>
      <c r="C1393" s="7" t="s">
        <v>441</v>
      </c>
      <c r="D1393" s="7" t="s">
        <v>797</v>
      </c>
      <c r="E1393" s="7" t="str">
        <f t="shared" si="234"/>
        <v>KOMAL S</v>
      </c>
      <c r="F1393" s="7" t="s">
        <v>17</v>
      </c>
      <c r="G1393" s="22">
        <v>42583</v>
      </c>
      <c r="H1393" s="8">
        <v>33267</v>
      </c>
      <c r="I1393" s="7" t="str">
        <f t="shared" si="235"/>
        <v>komal.s@te.ss.ba</v>
      </c>
      <c r="J1393" s="6" t="s">
        <v>1532</v>
      </c>
      <c r="K1393" s="6">
        <v>52</v>
      </c>
      <c r="L1393" s="7" t="str">
        <f t="shared" si="236"/>
        <v>te.ss.ba</v>
      </c>
      <c r="M1393" s="7" t="str">
        <f t="shared" si="237"/>
        <v>S.Komal</v>
      </c>
      <c r="N1393" s="6">
        <f t="shared" si="243"/>
        <v>0</v>
      </c>
      <c r="O1393" s="6">
        <f t="shared" si="242"/>
        <v>0</v>
      </c>
      <c r="P1393" s="6" t="str">
        <f t="shared" si="238"/>
        <v>N</v>
      </c>
      <c r="Q1393" s="6">
        <f t="shared" si="239"/>
        <v>6</v>
      </c>
      <c r="R1393" s="6" t="str">
        <f t="shared" si="240"/>
        <v>2016</v>
      </c>
      <c r="S1393" s="6" t="str">
        <f t="shared" si="241"/>
        <v>Aug</v>
      </c>
    </row>
    <row r="1394" spans="1:19" x14ac:dyDescent="0.25">
      <c r="A1394" s="6">
        <v>638</v>
      </c>
      <c r="B1394" s="6" t="str">
        <f t="shared" si="233"/>
        <v>NIKTEC00638</v>
      </c>
      <c r="C1394" s="7" t="s">
        <v>820</v>
      </c>
      <c r="D1394" s="7" t="s">
        <v>821</v>
      </c>
      <c r="E1394" s="7" t="str">
        <f t="shared" si="234"/>
        <v>POOJA BHATTI</v>
      </c>
      <c r="F1394" s="7" t="s">
        <v>17</v>
      </c>
      <c r="G1394" s="22">
        <v>43070</v>
      </c>
      <c r="H1394" s="8">
        <v>108837</v>
      </c>
      <c r="I1394" s="7" t="str">
        <f t="shared" si="235"/>
        <v>pooja.bhatti@te.bhi.ba</v>
      </c>
      <c r="J1394" s="6" t="s">
        <v>1533</v>
      </c>
      <c r="K1394" s="6">
        <v>41</v>
      </c>
      <c r="L1394" s="7" t="str">
        <f t="shared" si="236"/>
        <v>te.bhi.ba</v>
      </c>
      <c r="M1394" s="7" t="str">
        <f t="shared" si="237"/>
        <v>B.Pooja</v>
      </c>
      <c r="N1394" s="6">
        <f t="shared" si="243"/>
        <v>0</v>
      </c>
      <c r="O1394" s="6">
        <f t="shared" si="242"/>
        <v>0</v>
      </c>
      <c r="P1394" s="6" t="str">
        <f t="shared" si="238"/>
        <v>N</v>
      </c>
      <c r="Q1394" s="6">
        <f t="shared" si="239"/>
        <v>11</v>
      </c>
      <c r="R1394" s="6" t="str">
        <f t="shared" si="240"/>
        <v>2017</v>
      </c>
      <c r="S1394" s="6" t="str">
        <f t="shared" si="241"/>
        <v>Dec</v>
      </c>
    </row>
    <row r="1395" spans="1:19" x14ac:dyDescent="0.25">
      <c r="A1395" s="6">
        <v>640</v>
      </c>
      <c r="B1395" s="6" t="str">
        <f t="shared" si="233"/>
        <v>NIKTEC00640</v>
      </c>
      <c r="C1395" s="7" t="s">
        <v>823</v>
      </c>
      <c r="D1395" s="7" t="s">
        <v>68</v>
      </c>
      <c r="E1395" s="7" t="str">
        <f t="shared" si="234"/>
        <v>ANUJ KUMAR</v>
      </c>
      <c r="F1395" s="7" t="s">
        <v>17</v>
      </c>
      <c r="G1395" s="22">
        <v>42779</v>
      </c>
      <c r="H1395" s="8">
        <v>51221</v>
      </c>
      <c r="I1395" s="7" t="str">
        <f t="shared" si="235"/>
        <v>anuj.kumar@te.kur.ba</v>
      </c>
      <c r="J1395" s="6" t="s">
        <v>1549</v>
      </c>
      <c r="K1395" s="6">
        <v>89</v>
      </c>
      <c r="L1395" s="7" t="str">
        <f t="shared" si="236"/>
        <v>te.kur.ba</v>
      </c>
      <c r="M1395" s="7" t="str">
        <f t="shared" si="237"/>
        <v>K.Anuj</v>
      </c>
      <c r="N1395" s="6">
        <f t="shared" si="243"/>
        <v>0</v>
      </c>
      <c r="O1395" s="6">
        <f t="shared" si="242"/>
        <v>0</v>
      </c>
      <c r="P1395" s="6" t="str">
        <f t="shared" si="238"/>
        <v>N</v>
      </c>
      <c r="Q1395" s="6">
        <f t="shared" si="239"/>
        <v>9</v>
      </c>
      <c r="R1395" s="6" t="str">
        <f t="shared" si="240"/>
        <v>2017</v>
      </c>
      <c r="S1395" s="6" t="str">
        <f t="shared" si="241"/>
        <v>Feb</v>
      </c>
    </row>
    <row r="1396" spans="1:19" x14ac:dyDescent="0.25">
      <c r="A1396" s="6">
        <v>665</v>
      </c>
      <c r="B1396" s="6" t="str">
        <f t="shared" si="233"/>
        <v>NIKTEC00665</v>
      </c>
      <c r="C1396" s="7" t="s">
        <v>844</v>
      </c>
      <c r="D1396" s="7" t="s">
        <v>49</v>
      </c>
      <c r="E1396" s="7" t="str">
        <f t="shared" si="234"/>
        <v>PUNIT MATHUR</v>
      </c>
      <c r="F1396" s="7" t="s">
        <v>17</v>
      </c>
      <c r="G1396" s="22">
        <v>42795</v>
      </c>
      <c r="H1396" s="8">
        <v>94282</v>
      </c>
      <c r="I1396" s="7" t="str">
        <f t="shared" si="235"/>
        <v>punit.mathur@te.mar.ba</v>
      </c>
      <c r="J1396" s="6" t="s">
        <v>1535</v>
      </c>
      <c r="K1396" s="6">
        <v>65</v>
      </c>
      <c r="L1396" s="7" t="str">
        <f t="shared" si="236"/>
        <v>te.mar.ba</v>
      </c>
      <c r="M1396" s="7" t="str">
        <f t="shared" si="237"/>
        <v>M.Punit</v>
      </c>
      <c r="N1396" s="6">
        <f t="shared" si="243"/>
        <v>0</v>
      </c>
      <c r="O1396" s="6">
        <f t="shared" si="242"/>
        <v>0</v>
      </c>
      <c r="P1396" s="6" t="str">
        <f t="shared" si="238"/>
        <v>N</v>
      </c>
      <c r="Q1396" s="6">
        <f t="shared" si="239"/>
        <v>11</v>
      </c>
      <c r="R1396" s="6" t="str">
        <f t="shared" si="240"/>
        <v>2017</v>
      </c>
      <c r="S1396" s="6" t="str">
        <f t="shared" si="241"/>
        <v>Mar</v>
      </c>
    </row>
    <row r="1397" spans="1:19" x14ac:dyDescent="0.25">
      <c r="A1397" s="6">
        <v>670</v>
      </c>
      <c r="B1397" s="6" t="str">
        <f t="shared" si="233"/>
        <v>NIKTEC00670</v>
      </c>
      <c r="C1397" s="7" t="s">
        <v>850</v>
      </c>
      <c r="D1397" s="7" t="s">
        <v>68</v>
      </c>
      <c r="E1397" s="7" t="str">
        <f t="shared" si="234"/>
        <v>PRASUN KUMAR</v>
      </c>
      <c r="F1397" s="7" t="s">
        <v>17</v>
      </c>
      <c r="G1397" s="22">
        <v>42754</v>
      </c>
      <c r="H1397" s="8">
        <v>48778</v>
      </c>
      <c r="I1397" s="7" t="str">
        <f t="shared" si="235"/>
        <v>prasun.kumar@te.kur.ba</v>
      </c>
      <c r="J1397" s="6" t="s">
        <v>1541</v>
      </c>
      <c r="K1397" s="6">
        <v>51</v>
      </c>
      <c r="L1397" s="7" t="str">
        <f t="shared" si="236"/>
        <v>te.kur.ba</v>
      </c>
      <c r="M1397" s="7" t="str">
        <f t="shared" si="237"/>
        <v>K.Prasun</v>
      </c>
      <c r="N1397" s="6">
        <f t="shared" si="243"/>
        <v>0</v>
      </c>
      <c r="O1397" s="6">
        <f t="shared" si="242"/>
        <v>0</v>
      </c>
      <c r="P1397" s="6" t="str">
        <f t="shared" si="238"/>
        <v>N</v>
      </c>
      <c r="Q1397" s="6">
        <f t="shared" si="239"/>
        <v>11</v>
      </c>
      <c r="R1397" s="6" t="str">
        <f t="shared" si="240"/>
        <v>2017</v>
      </c>
      <c r="S1397" s="6" t="str">
        <f t="shared" si="241"/>
        <v>Jan</v>
      </c>
    </row>
    <row r="1398" spans="1:19" x14ac:dyDescent="0.25">
      <c r="A1398" s="6">
        <v>673</v>
      </c>
      <c r="B1398" s="6" t="str">
        <f t="shared" si="233"/>
        <v>NIKTEC00673</v>
      </c>
      <c r="C1398" s="7" t="s">
        <v>853</v>
      </c>
      <c r="D1398" s="7" t="s">
        <v>854</v>
      </c>
      <c r="E1398" s="7" t="str">
        <f t="shared" si="234"/>
        <v>SAHEEL NOUSHAD</v>
      </c>
      <c r="F1398" s="7" t="s">
        <v>17</v>
      </c>
      <c r="G1398" s="22">
        <v>42956</v>
      </c>
      <c r="H1398" s="8">
        <v>83074</v>
      </c>
      <c r="I1398" s="7" t="str">
        <f t="shared" si="235"/>
        <v>saheel.noushad@te.nod.ba</v>
      </c>
      <c r="J1398" s="6" t="s">
        <v>1548</v>
      </c>
      <c r="K1398" s="6">
        <v>60</v>
      </c>
      <c r="L1398" s="7" t="str">
        <f t="shared" si="236"/>
        <v>te.nod.ba</v>
      </c>
      <c r="M1398" s="7" t="str">
        <f t="shared" si="237"/>
        <v>N.Saheel</v>
      </c>
      <c r="N1398" s="6">
        <f t="shared" si="243"/>
        <v>4</v>
      </c>
      <c r="O1398" s="6">
        <f t="shared" si="242"/>
        <v>0</v>
      </c>
      <c r="P1398" s="6" t="str">
        <f t="shared" si="238"/>
        <v>N</v>
      </c>
      <c r="Q1398" s="6">
        <f t="shared" si="239"/>
        <v>13</v>
      </c>
      <c r="R1398" s="6" t="str">
        <f t="shared" si="240"/>
        <v>2017</v>
      </c>
      <c r="S1398" s="6" t="str">
        <f t="shared" si="241"/>
        <v>Aug</v>
      </c>
    </row>
    <row r="1399" spans="1:19" x14ac:dyDescent="0.25">
      <c r="A1399" s="6">
        <v>683</v>
      </c>
      <c r="B1399" s="6" t="str">
        <f t="shared" si="233"/>
        <v>NIKTEC00683</v>
      </c>
      <c r="C1399" s="7" t="s">
        <v>678</v>
      </c>
      <c r="D1399" s="7" t="s">
        <v>84</v>
      </c>
      <c r="E1399" s="7" t="str">
        <f t="shared" si="234"/>
        <v>SAGAR PRAKASH</v>
      </c>
      <c r="F1399" s="7" t="s">
        <v>17</v>
      </c>
      <c r="G1399" s="22">
        <v>42655</v>
      </c>
      <c r="H1399" s="8">
        <v>80083</v>
      </c>
      <c r="I1399" s="7" t="str">
        <f t="shared" si="235"/>
        <v>sagar.prakash@te.prh.ba</v>
      </c>
      <c r="J1399" s="6" t="s">
        <v>1543</v>
      </c>
      <c r="K1399" s="6">
        <v>54</v>
      </c>
      <c r="L1399" s="7" t="str">
        <f t="shared" si="236"/>
        <v>te.prh.ba</v>
      </c>
      <c r="M1399" s="7" t="str">
        <f t="shared" si="237"/>
        <v>P.Sagar</v>
      </c>
      <c r="N1399" s="6">
        <f t="shared" si="243"/>
        <v>0</v>
      </c>
      <c r="O1399" s="6">
        <f t="shared" si="242"/>
        <v>0</v>
      </c>
      <c r="P1399" s="6" t="str">
        <f t="shared" si="238"/>
        <v>N</v>
      </c>
      <c r="Q1399" s="6">
        <f t="shared" si="239"/>
        <v>12</v>
      </c>
      <c r="R1399" s="6" t="str">
        <f t="shared" si="240"/>
        <v>2016</v>
      </c>
      <c r="S1399" s="6" t="str">
        <f t="shared" si="241"/>
        <v>Oct</v>
      </c>
    </row>
    <row r="1400" spans="1:19" x14ac:dyDescent="0.25">
      <c r="A1400" s="6">
        <v>690</v>
      </c>
      <c r="B1400" s="6" t="str">
        <f t="shared" si="233"/>
        <v>NIKTEC00690</v>
      </c>
      <c r="C1400" s="7" t="s">
        <v>644</v>
      </c>
      <c r="D1400" s="7" t="s">
        <v>866</v>
      </c>
      <c r="E1400" s="7" t="str">
        <f t="shared" si="234"/>
        <v>NIKITA VASHISHTHA</v>
      </c>
      <c r="F1400" s="7" t="s">
        <v>17</v>
      </c>
      <c r="G1400" s="22">
        <v>43132</v>
      </c>
      <c r="H1400" s="8">
        <v>41158</v>
      </c>
      <c r="I1400" s="7" t="str">
        <f t="shared" si="235"/>
        <v>nikita.vashishtha@te.vaa.ba</v>
      </c>
      <c r="J1400" s="6" t="s">
        <v>1535</v>
      </c>
      <c r="K1400" s="6">
        <v>49</v>
      </c>
      <c r="L1400" s="7" t="str">
        <f t="shared" si="236"/>
        <v>te.vaa.ba</v>
      </c>
      <c r="M1400" s="7" t="str">
        <f t="shared" si="237"/>
        <v>V.Nikita</v>
      </c>
      <c r="N1400" s="6">
        <f t="shared" si="243"/>
        <v>0</v>
      </c>
      <c r="O1400" s="6">
        <f t="shared" si="242"/>
        <v>0</v>
      </c>
      <c r="P1400" s="6" t="str">
        <f t="shared" si="238"/>
        <v>N</v>
      </c>
      <c r="Q1400" s="6">
        <f t="shared" si="239"/>
        <v>16</v>
      </c>
      <c r="R1400" s="6" t="str">
        <f t="shared" si="240"/>
        <v>2018</v>
      </c>
      <c r="S1400" s="6" t="str">
        <f t="shared" si="241"/>
        <v>Feb</v>
      </c>
    </row>
    <row r="1401" spans="1:19" x14ac:dyDescent="0.25">
      <c r="A1401" s="6">
        <v>691</v>
      </c>
      <c r="B1401" s="6" t="str">
        <f t="shared" si="233"/>
        <v>NIKTEC00691</v>
      </c>
      <c r="C1401" s="7" t="s">
        <v>65</v>
      </c>
      <c r="D1401" s="7" t="s">
        <v>867</v>
      </c>
      <c r="E1401" s="7" t="str">
        <f t="shared" si="234"/>
        <v>RAHUL KANTRAO</v>
      </c>
      <c r="F1401" s="7" t="s">
        <v>17</v>
      </c>
      <c r="G1401" s="22">
        <v>42583</v>
      </c>
      <c r="H1401" s="8">
        <v>51912</v>
      </c>
      <c r="I1401" s="7" t="str">
        <f t="shared" si="235"/>
        <v>rahul.kantrao@te.kao.ba</v>
      </c>
      <c r="J1401" s="6" t="s">
        <v>1542</v>
      </c>
      <c r="K1401" s="6">
        <v>65</v>
      </c>
      <c r="L1401" s="7" t="str">
        <f t="shared" si="236"/>
        <v>te.kao.ba</v>
      </c>
      <c r="M1401" s="7" t="str">
        <f t="shared" si="237"/>
        <v>K.Rahul</v>
      </c>
      <c r="N1401" s="6">
        <f t="shared" si="243"/>
        <v>0</v>
      </c>
      <c r="O1401" s="6">
        <f t="shared" si="242"/>
        <v>0</v>
      </c>
      <c r="P1401" s="6" t="str">
        <f t="shared" si="238"/>
        <v>N</v>
      </c>
      <c r="Q1401" s="6">
        <f t="shared" si="239"/>
        <v>12</v>
      </c>
      <c r="R1401" s="6" t="str">
        <f t="shared" si="240"/>
        <v>2016</v>
      </c>
      <c r="S1401" s="6" t="str">
        <f t="shared" si="241"/>
        <v>Aug</v>
      </c>
    </row>
    <row r="1402" spans="1:19" x14ac:dyDescent="0.25">
      <c r="A1402" s="6">
        <v>697</v>
      </c>
      <c r="B1402" s="6" t="str">
        <f t="shared" si="233"/>
        <v>NIKTEC00697</v>
      </c>
      <c r="C1402" s="7" t="s">
        <v>874</v>
      </c>
      <c r="D1402" s="7" t="s">
        <v>875</v>
      </c>
      <c r="E1402" s="7" t="str">
        <f t="shared" si="234"/>
        <v>NAMRATA SINGHAL</v>
      </c>
      <c r="F1402" s="7" t="s">
        <v>17</v>
      </c>
      <c r="G1402" s="22">
        <v>42905</v>
      </c>
      <c r="H1402" s="8">
        <v>32583</v>
      </c>
      <c r="I1402" s="7" t="str">
        <f t="shared" si="235"/>
        <v>namrata.singhal@te.sil.ba</v>
      </c>
      <c r="J1402" s="6" t="s">
        <v>1536</v>
      </c>
      <c r="K1402" s="6">
        <v>54</v>
      </c>
      <c r="L1402" s="7" t="str">
        <f t="shared" si="236"/>
        <v>te.sil.ba</v>
      </c>
      <c r="M1402" s="7" t="str">
        <f t="shared" si="237"/>
        <v>S.Namrata</v>
      </c>
      <c r="N1402" s="6">
        <f t="shared" si="243"/>
        <v>0</v>
      </c>
      <c r="O1402" s="6">
        <f t="shared" si="242"/>
        <v>0</v>
      </c>
      <c r="P1402" s="6" t="str">
        <f t="shared" si="238"/>
        <v>N</v>
      </c>
      <c r="Q1402" s="6">
        <f t="shared" si="239"/>
        <v>14</v>
      </c>
      <c r="R1402" s="6" t="str">
        <f t="shared" si="240"/>
        <v>2017</v>
      </c>
      <c r="S1402" s="6" t="str">
        <f t="shared" si="241"/>
        <v>Jun</v>
      </c>
    </row>
    <row r="1403" spans="1:19" x14ac:dyDescent="0.25">
      <c r="A1403" s="6">
        <v>732</v>
      </c>
      <c r="B1403" s="6" t="str">
        <f t="shared" si="233"/>
        <v>NIKTEC00732</v>
      </c>
      <c r="C1403" s="7" t="s">
        <v>905</v>
      </c>
      <c r="D1403" s="7" t="s">
        <v>906</v>
      </c>
      <c r="E1403" s="7" t="str">
        <f t="shared" si="234"/>
        <v>POONAM KUSHWAH</v>
      </c>
      <c r="F1403" s="7" t="s">
        <v>17</v>
      </c>
      <c r="G1403" s="22">
        <v>41708</v>
      </c>
      <c r="H1403" s="8">
        <v>31558</v>
      </c>
      <c r="I1403" s="7" t="str">
        <f t="shared" si="235"/>
        <v>poonam.kushwah@te.kuh.ba</v>
      </c>
      <c r="J1403" s="6" t="s">
        <v>1536</v>
      </c>
      <c r="K1403" s="6">
        <v>35</v>
      </c>
      <c r="L1403" s="7" t="str">
        <f t="shared" si="236"/>
        <v>te.kuh.ba</v>
      </c>
      <c r="M1403" s="7" t="str">
        <f t="shared" si="237"/>
        <v>K.Poonam</v>
      </c>
      <c r="N1403" s="6">
        <f t="shared" si="243"/>
        <v>0</v>
      </c>
      <c r="O1403" s="6">
        <f t="shared" si="242"/>
        <v>0</v>
      </c>
      <c r="P1403" s="6" t="str">
        <f t="shared" si="238"/>
        <v>N</v>
      </c>
      <c r="Q1403" s="6">
        <f t="shared" si="239"/>
        <v>13</v>
      </c>
      <c r="R1403" s="6" t="str">
        <f t="shared" si="240"/>
        <v>2014</v>
      </c>
      <c r="S1403" s="6" t="str">
        <f t="shared" si="241"/>
        <v>Mar</v>
      </c>
    </row>
    <row r="1404" spans="1:19" x14ac:dyDescent="0.25">
      <c r="A1404" s="6">
        <v>752</v>
      </c>
      <c r="B1404" s="6" t="str">
        <f t="shared" si="233"/>
        <v>NIKTEC00752</v>
      </c>
      <c r="C1404" s="7" t="s">
        <v>46</v>
      </c>
      <c r="D1404" s="7" t="s">
        <v>68</v>
      </c>
      <c r="E1404" s="7" t="str">
        <f t="shared" si="234"/>
        <v>DINESH KUMAR</v>
      </c>
      <c r="F1404" s="7" t="s">
        <v>17</v>
      </c>
      <c r="G1404" s="22">
        <v>42625</v>
      </c>
      <c r="H1404" s="8">
        <v>79369</v>
      </c>
      <c r="I1404" s="7" t="str">
        <f t="shared" si="235"/>
        <v>dinesh.kumar@te.kur.ba</v>
      </c>
      <c r="J1404" s="6" t="s">
        <v>1535</v>
      </c>
      <c r="K1404" s="6">
        <v>50</v>
      </c>
      <c r="L1404" s="7" t="str">
        <f t="shared" si="236"/>
        <v>te.kur.ba</v>
      </c>
      <c r="M1404" s="7" t="str">
        <f t="shared" si="237"/>
        <v>K.Dinesh</v>
      </c>
      <c r="N1404" s="6">
        <f t="shared" si="243"/>
        <v>4</v>
      </c>
      <c r="O1404" s="6">
        <f t="shared" si="242"/>
        <v>0</v>
      </c>
      <c r="P1404" s="6" t="str">
        <f t="shared" si="238"/>
        <v>N</v>
      </c>
      <c r="Q1404" s="6">
        <f t="shared" si="239"/>
        <v>11</v>
      </c>
      <c r="R1404" s="6" t="str">
        <f t="shared" si="240"/>
        <v>2016</v>
      </c>
      <c r="S1404" s="6" t="str">
        <f t="shared" si="241"/>
        <v>Sep</v>
      </c>
    </row>
    <row r="1405" spans="1:19" x14ac:dyDescent="0.25">
      <c r="A1405" s="6">
        <v>756</v>
      </c>
      <c r="B1405" s="6" t="str">
        <f t="shared" si="233"/>
        <v>NIKTEC00756</v>
      </c>
      <c r="C1405" s="7" t="s">
        <v>923</v>
      </c>
      <c r="D1405" s="7" t="s">
        <v>924</v>
      </c>
      <c r="E1405" s="7" t="str">
        <f t="shared" si="234"/>
        <v>PARTH PRAVINBHAI</v>
      </c>
      <c r="F1405" s="7" t="s">
        <v>17</v>
      </c>
      <c r="G1405" s="22">
        <v>43160</v>
      </c>
      <c r="H1405" s="8">
        <v>53569</v>
      </c>
      <c r="I1405" s="7" t="str">
        <f t="shared" si="235"/>
        <v>parth.pravinbhai@te.pri.ba</v>
      </c>
      <c r="J1405" s="6" t="s">
        <v>1545</v>
      </c>
      <c r="K1405" s="6">
        <v>84</v>
      </c>
      <c r="L1405" s="7" t="str">
        <f t="shared" si="236"/>
        <v>te.pri.ba</v>
      </c>
      <c r="M1405" s="7" t="str">
        <f t="shared" si="237"/>
        <v>P.Parth</v>
      </c>
      <c r="N1405" s="6">
        <f t="shared" si="243"/>
        <v>0</v>
      </c>
      <c r="O1405" s="6">
        <f t="shared" si="242"/>
        <v>0</v>
      </c>
      <c r="P1405" s="6" t="str">
        <f t="shared" si="238"/>
        <v>N</v>
      </c>
      <c r="Q1405" s="6">
        <f t="shared" si="239"/>
        <v>15</v>
      </c>
      <c r="R1405" s="6" t="str">
        <f t="shared" si="240"/>
        <v>2018</v>
      </c>
      <c r="S1405" s="6" t="str">
        <f t="shared" si="241"/>
        <v>Mar</v>
      </c>
    </row>
    <row r="1406" spans="1:19" x14ac:dyDescent="0.25">
      <c r="A1406" s="6">
        <v>773</v>
      </c>
      <c r="B1406" s="6" t="str">
        <f t="shared" si="233"/>
        <v>NIKTEC00773</v>
      </c>
      <c r="C1406" s="7" t="s">
        <v>937</v>
      </c>
      <c r="D1406" s="7" t="s">
        <v>938</v>
      </c>
      <c r="E1406" s="7" t="str">
        <f t="shared" si="234"/>
        <v>NIRAVKUMAR LAXMANBHAI</v>
      </c>
      <c r="F1406" s="7" t="s">
        <v>17</v>
      </c>
      <c r="G1406" s="22">
        <v>43481</v>
      </c>
      <c r="H1406" s="8">
        <v>79440</v>
      </c>
      <c r="I1406" s="7" t="str">
        <f t="shared" si="235"/>
        <v>niravkumar.laxmanbhai@te.lai.ba</v>
      </c>
      <c r="J1406" s="6" t="s">
        <v>1547</v>
      </c>
      <c r="K1406" s="6">
        <v>75</v>
      </c>
      <c r="L1406" s="7" t="str">
        <f t="shared" si="236"/>
        <v>te.lai.ba</v>
      </c>
      <c r="M1406" s="7" t="str">
        <f t="shared" si="237"/>
        <v>L.Niravkumar</v>
      </c>
      <c r="N1406" s="6">
        <f t="shared" si="243"/>
        <v>0</v>
      </c>
      <c r="O1406" s="6">
        <f t="shared" si="242"/>
        <v>0</v>
      </c>
      <c r="P1406" s="6" t="str">
        <f t="shared" si="238"/>
        <v>N</v>
      </c>
      <c r="Q1406" s="6">
        <f t="shared" si="239"/>
        <v>20</v>
      </c>
      <c r="R1406" s="6" t="str">
        <f t="shared" si="240"/>
        <v>2019</v>
      </c>
      <c r="S1406" s="6" t="str">
        <f t="shared" si="241"/>
        <v>Jan</v>
      </c>
    </row>
    <row r="1407" spans="1:19" x14ac:dyDescent="0.25">
      <c r="A1407" s="6">
        <v>777</v>
      </c>
      <c r="B1407" s="6" t="str">
        <f t="shared" si="233"/>
        <v>NIKTEC00777</v>
      </c>
      <c r="C1407" s="7" t="s">
        <v>190</v>
      </c>
      <c r="D1407" s="7" t="s">
        <v>62</v>
      </c>
      <c r="E1407" s="7" t="str">
        <f t="shared" si="234"/>
        <v>ABHISHEK JAIN</v>
      </c>
      <c r="F1407" s="7" t="s">
        <v>17</v>
      </c>
      <c r="G1407" s="22">
        <v>43172</v>
      </c>
      <c r="H1407" s="8">
        <v>34738</v>
      </c>
      <c r="I1407" s="7" t="str">
        <f t="shared" si="235"/>
        <v>abhishek.jain@te.jan.ba</v>
      </c>
      <c r="J1407" s="6" t="s">
        <v>1537</v>
      </c>
      <c r="K1407" s="6">
        <v>52</v>
      </c>
      <c r="L1407" s="7" t="str">
        <f t="shared" si="236"/>
        <v>te.jan.ba</v>
      </c>
      <c r="M1407" s="7" t="str">
        <f t="shared" si="237"/>
        <v>J.Abhishek</v>
      </c>
      <c r="N1407" s="6">
        <f t="shared" si="243"/>
        <v>7</v>
      </c>
      <c r="O1407" s="6">
        <f t="shared" si="242"/>
        <v>0</v>
      </c>
      <c r="P1407" s="6" t="str">
        <f t="shared" si="238"/>
        <v>N</v>
      </c>
      <c r="Q1407" s="6">
        <f t="shared" si="239"/>
        <v>12</v>
      </c>
      <c r="R1407" s="6" t="str">
        <f t="shared" si="240"/>
        <v>2018</v>
      </c>
      <c r="S1407" s="6" t="str">
        <f t="shared" si="241"/>
        <v>Mar</v>
      </c>
    </row>
    <row r="1408" spans="1:19" x14ac:dyDescent="0.25">
      <c r="A1408" s="6">
        <v>794</v>
      </c>
      <c r="B1408" s="6" t="str">
        <f t="shared" si="233"/>
        <v>NIKTEC00794</v>
      </c>
      <c r="C1408" s="7" t="s">
        <v>190</v>
      </c>
      <c r="D1408" s="7" t="s">
        <v>70</v>
      </c>
      <c r="E1408" s="7" t="str">
        <f t="shared" si="234"/>
        <v>ABHISHEK SINGH</v>
      </c>
      <c r="F1408" s="7" t="s">
        <v>17</v>
      </c>
      <c r="G1408" s="22">
        <v>42751</v>
      </c>
      <c r="H1408" s="8">
        <v>58806</v>
      </c>
      <c r="I1408" s="7" t="str">
        <f t="shared" si="235"/>
        <v>abhishek.singh@te.sih.ba</v>
      </c>
      <c r="J1408" s="6" t="s">
        <v>1534</v>
      </c>
      <c r="K1408" s="6">
        <v>42</v>
      </c>
      <c r="L1408" s="7" t="str">
        <f t="shared" si="236"/>
        <v>te.sih.ba</v>
      </c>
      <c r="M1408" s="7" t="str">
        <f t="shared" si="237"/>
        <v>S.Abhishek</v>
      </c>
      <c r="N1408" s="6">
        <f t="shared" si="243"/>
        <v>7</v>
      </c>
      <c r="O1408" s="6">
        <f t="shared" si="242"/>
        <v>0</v>
      </c>
      <c r="P1408" s="6" t="str">
        <f t="shared" si="238"/>
        <v>N</v>
      </c>
      <c r="Q1408" s="6">
        <f t="shared" si="239"/>
        <v>13</v>
      </c>
      <c r="R1408" s="6" t="str">
        <f t="shared" si="240"/>
        <v>2017</v>
      </c>
      <c r="S1408" s="6" t="str">
        <f t="shared" si="241"/>
        <v>Jan</v>
      </c>
    </row>
    <row r="1409" spans="1:19" x14ac:dyDescent="0.25">
      <c r="A1409" s="6">
        <v>807</v>
      </c>
      <c r="B1409" s="6" t="str">
        <f t="shared" si="233"/>
        <v>NIKTEC00807</v>
      </c>
      <c r="C1409" s="7" t="s">
        <v>969</v>
      </c>
      <c r="D1409" s="7" t="s">
        <v>970</v>
      </c>
      <c r="E1409" s="7" t="str">
        <f t="shared" si="234"/>
        <v>DAIZY GOYAL</v>
      </c>
      <c r="F1409" s="7" t="s">
        <v>17</v>
      </c>
      <c r="G1409" s="22">
        <v>43234</v>
      </c>
      <c r="H1409" s="8">
        <v>29658</v>
      </c>
      <c r="I1409" s="7" t="str">
        <f t="shared" si="235"/>
        <v>daizy.goyal@te.gol.ba</v>
      </c>
      <c r="J1409" s="6" t="s">
        <v>1534</v>
      </c>
      <c r="K1409" s="6">
        <v>50</v>
      </c>
      <c r="L1409" s="7" t="str">
        <f t="shared" si="236"/>
        <v>te.gol.ba</v>
      </c>
      <c r="M1409" s="7" t="str">
        <f t="shared" si="237"/>
        <v>G.Daizy</v>
      </c>
      <c r="N1409" s="6">
        <f t="shared" si="243"/>
        <v>0</v>
      </c>
      <c r="O1409" s="6">
        <f t="shared" si="242"/>
        <v>0</v>
      </c>
      <c r="P1409" s="6" t="str">
        <f t="shared" si="238"/>
        <v>N</v>
      </c>
      <c r="Q1409" s="6">
        <f t="shared" si="239"/>
        <v>10</v>
      </c>
      <c r="R1409" s="6" t="str">
        <f t="shared" si="240"/>
        <v>2018</v>
      </c>
      <c r="S1409" s="6" t="str">
        <f t="shared" si="241"/>
        <v>May</v>
      </c>
    </row>
    <row r="1410" spans="1:19" x14ac:dyDescent="0.25">
      <c r="A1410" s="6">
        <v>809</v>
      </c>
      <c r="B1410" s="6" t="str">
        <f t="shared" ref="B1410:B1473" si="244">_xlfn.TEXTJOIN("",TRUE,"NIK",UPPER(LEFT(SUBSTITUTE(SUBSTITUTE(F1410," ",""),"&amp;",""),3)),TEXT(A1410,"00000"))</f>
        <v>NIKTEC00809</v>
      </c>
      <c r="C1410" s="7" t="s">
        <v>662</v>
      </c>
      <c r="D1410" s="7" t="s">
        <v>559</v>
      </c>
      <c r="E1410" s="7" t="str">
        <f t="shared" ref="E1410:E1473" si="245">_xlfn.TEXTJOIN(" ",TRUE,C1410,D1410)</f>
        <v>KARAN SHINDE</v>
      </c>
      <c r="F1410" s="7" t="s">
        <v>17</v>
      </c>
      <c r="G1410" s="22">
        <v>42689</v>
      </c>
      <c r="H1410" s="8">
        <v>63022</v>
      </c>
      <c r="I1410" s="7" t="str">
        <f t="shared" ref="I1410:I1473" si="246">LOWER(C1410&amp;"."&amp;D1410&amp;"@"&amp;LEFT(SUBSTITUTE(F1410," ",""),2))&amp;LOWER("."&amp;LEFT(D1410,2))&amp;LOWER(RIGHT(D1410,1))&amp;".ba"</f>
        <v>karan.shinde@te.she.ba</v>
      </c>
      <c r="J1410" s="6" t="s">
        <v>1541</v>
      </c>
      <c r="K1410" s="6">
        <v>57</v>
      </c>
      <c r="L1410" s="7" t="str">
        <f t="shared" ref="L1410:L1473" si="247">RIGHT(I1410,LEN(I1410)-FIND("@",I1410))</f>
        <v>te.she.ba</v>
      </c>
      <c r="M1410" s="7" t="str">
        <f t="shared" ref="M1410:M1473" si="248">UPPER(LEFT(D1410,1))&amp;"."&amp;PROPER(C1410)</f>
        <v>S.Karan</v>
      </c>
      <c r="N1410" s="6">
        <f t="shared" si="243"/>
        <v>0</v>
      </c>
      <c r="O1410" s="6">
        <f t="shared" si="242"/>
        <v>6</v>
      </c>
      <c r="P1410" s="6" t="str">
        <f t="shared" ref="P1410:P1473" si="249">IF(AND(N1410&gt;=1,O1410&gt;=1),"Y","N")</f>
        <v>N</v>
      </c>
      <c r="Q1410" s="6">
        <f t="shared" ref="Q1410:Q1473" si="250">LEN(SUBSTITUTE(E1410, " ", ""))</f>
        <v>11</v>
      </c>
      <c r="R1410" s="6" t="str">
        <f t="shared" ref="R1410:R1473" si="251">TEXT(G1410,"YYYY")</f>
        <v>2016</v>
      </c>
      <c r="S1410" s="6" t="str">
        <f t="shared" ref="S1410:S1473" si="252">TEXT(G1410,"MMM")</f>
        <v>Nov</v>
      </c>
    </row>
    <row r="1411" spans="1:19" x14ac:dyDescent="0.25">
      <c r="A1411" s="6">
        <v>829</v>
      </c>
      <c r="B1411" s="6" t="str">
        <f t="shared" si="244"/>
        <v>NIKTEC00829</v>
      </c>
      <c r="C1411" s="7" t="s">
        <v>35</v>
      </c>
      <c r="D1411" s="7"/>
      <c r="E1411" s="7" t="str">
        <f t="shared" si="245"/>
        <v>SAHIL</v>
      </c>
      <c r="F1411" s="7" t="s">
        <v>17</v>
      </c>
      <c r="G1411" s="22">
        <v>43479</v>
      </c>
      <c r="H1411" s="8">
        <v>93804</v>
      </c>
      <c r="I1411" s="7" t="str">
        <f t="shared" si="246"/>
        <v>sahil.@te..ba</v>
      </c>
      <c r="J1411" s="6" t="s">
        <v>1534</v>
      </c>
      <c r="K1411" s="6">
        <v>37</v>
      </c>
      <c r="L1411" s="7" t="str">
        <f t="shared" si="247"/>
        <v>te..ba</v>
      </c>
      <c r="M1411" s="7" t="str">
        <f t="shared" si="248"/>
        <v>.Sahil</v>
      </c>
      <c r="N1411" s="6">
        <f t="shared" si="243"/>
        <v>0</v>
      </c>
      <c r="O1411" s="6">
        <f t="shared" si="242"/>
        <v>0</v>
      </c>
      <c r="P1411" s="6" t="str">
        <f t="shared" si="249"/>
        <v>N</v>
      </c>
      <c r="Q1411" s="6">
        <f t="shared" si="250"/>
        <v>5</v>
      </c>
      <c r="R1411" s="6" t="str">
        <f t="shared" si="251"/>
        <v>2019</v>
      </c>
      <c r="S1411" s="6" t="str">
        <f t="shared" si="252"/>
        <v>Jan</v>
      </c>
    </row>
    <row r="1412" spans="1:19" x14ac:dyDescent="0.25">
      <c r="A1412" s="6">
        <v>837</v>
      </c>
      <c r="B1412" s="6" t="str">
        <f t="shared" si="244"/>
        <v>NIKTEC00837</v>
      </c>
      <c r="C1412" s="7" t="s">
        <v>24</v>
      </c>
      <c r="D1412" s="7" t="s">
        <v>84</v>
      </c>
      <c r="E1412" s="7" t="str">
        <f t="shared" si="245"/>
        <v>RAVI PRAKASH</v>
      </c>
      <c r="F1412" s="7" t="s">
        <v>17</v>
      </c>
      <c r="G1412" s="22">
        <v>43481</v>
      </c>
      <c r="H1412" s="8">
        <v>96759</v>
      </c>
      <c r="I1412" s="7" t="str">
        <f t="shared" si="246"/>
        <v>ravi.prakash@te.prh.ba</v>
      </c>
      <c r="J1412" s="6" t="s">
        <v>1533</v>
      </c>
      <c r="K1412" s="6">
        <v>46</v>
      </c>
      <c r="L1412" s="7" t="str">
        <f t="shared" si="247"/>
        <v>te.prh.ba</v>
      </c>
      <c r="M1412" s="7" t="str">
        <f t="shared" si="248"/>
        <v>P.Ravi</v>
      </c>
      <c r="N1412" s="6">
        <f t="shared" si="243"/>
        <v>0</v>
      </c>
      <c r="O1412" s="6">
        <f t="shared" si="242"/>
        <v>0</v>
      </c>
      <c r="P1412" s="6" t="str">
        <f t="shared" si="249"/>
        <v>N</v>
      </c>
      <c r="Q1412" s="6">
        <f t="shared" si="250"/>
        <v>11</v>
      </c>
      <c r="R1412" s="6" t="str">
        <f t="shared" si="251"/>
        <v>2019</v>
      </c>
      <c r="S1412" s="6" t="str">
        <f t="shared" si="252"/>
        <v>Jan</v>
      </c>
    </row>
    <row r="1413" spans="1:19" x14ac:dyDescent="0.25">
      <c r="A1413" s="6">
        <v>852</v>
      </c>
      <c r="B1413" s="6" t="str">
        <f t="shared" si="244"/>
        <v>NIKTEC00852</v>
      </c>
      <c r="C1413" s="7" t="s">
        <v>986</v>
      </c>
      <c r="D1413" s="7" t="s">
        <v>46</v>
      </c>
      <c r="E1413" s="7" t="str">
        <f t="shared" si="245"/>
        <v>TEJAS DINESH</v>
      </c>
      <c r="F1413" s="7" t="s">
        <v>17</v>
      </c>
      <c r="G1413" s="22">
        <v>43328</v>
      </c>
      <c r="H1413" s="8">
        <v>84463</v>
      </c>
      <c r="I1413" s="7" t="str">
        <f t="shared" si="246"/>
        <v>tejas.dinesh@te.dih.ba</v>
      </c>
      <c r="J1413" s="6" t="s">
        <v>1546</v>
      </c>
      <c r="K1413" s="6">
        <v>57</v>
      </c>
      <c r="L1413" s="7" t="str">
        <f t="shared" si="247"/>
        <v>te.dih.ba</v>
      </c>
      <c r="M1413" s="7" t="str">
        <f t="shared" si="248"/>
        <v>D.Tejas</v>
      </c>
      <c r="N1413" s="6">
        <f t="shared" si="243"/>
        <v>2</v>
      </c>
      <c r="O1413" s="6">
        <f t="shared" si="242"/>
        <v>4</v>
      </c>
      <c r="P1413" s="6" t="str">
        <f t="shared" si="249"/>
        <v>Y</v>
      </c>
      <c r="Q1413" s="6">
        <f t="shared" si="250"/>
        <v>11</v>
      </c>
      <c r="R1413" s="6" t="str">
        <f t="shared" si="251"/>
        <v>2018</v>
      </c>
      <c r="S1413" s="6" t="str">
        <f t="shared" si="252"/>
        <v>Aug</v>
      </c>
    </row>
    <row r="1414" spans="1:19" x14ac:dyDescent="0.25">
      <c r="A1414" s="6">
        <v>853</v>
      </c>
      <c r="B1414" s="6" t="str">
        <f t="shared" si="244"/>
        <v>NIKTEC00853</v>
      </c>
      <c r="C1414" s="7" t="s">
        <v>190</v>
      </c>
      <c r="D1414" s="7" t="s">
        <v>1003</v>
      </c>
      <c r="E1414" s="7" t="str">
        <f t="shared" si="245"/>
        <v>ABHISHEK JADOUN</v>
      </c>
      <c r="F1414" s="7" t="s">
        <v>17</v>
      </c>
      <c r="G1414" s="22">
        <v>43435</v>
      </c>
      <c r="H1414" s="8">
        <v>87099</v>
      </c>
      <c r="I1414" s="7" t="str">
        <f t="shared" si="246"/>
        <v>abhishek.jadoun@te.jan.ba</v>
      </c>
      <c r="J1414" s="6" t="s">
        <v>1535</v>
      </c>
      <c r="K1414" s="6">
        <v>87</v>
      </c>
      <c r="L1414" s="7" t="str">
        <f t="shared" si="247"/>
        <v>te.jan.ba</v>
      </c>
      <c r="M1414" s="7" t="str">
        <f t="shared" si="248"/>
        <v>J.Abhishek</v>
      </c>
      <c r="N1414" s="6">
        <f t="shared" si="243"/>
        <v>7</v>
      </c>
      <c r="O1414" s="6">
        <f t="shared" si="242"/>
        <v>0</v>
      </c>
      <c r="P1414" s="6" t="str">
        <f t="shared" si="249"/>
        <v>N</v>
      </c>
      <c r="Q1414" s="6">
        <f t="shared" si="250"/>
        <v>14</v>
      </c>
      <c r="R1414" s="6" t="str">
        <f t="shared" si="251"/>
        <v>2018</v>
      </c>
      <c r="S1414" s="6" t="str">
        <f t="shared" si="252"/>
        <v>Dec</v>
      </c>
    </row>
    <row r="1415" spans="1:19" x14ac:dyDescent="0.25">
      <c r="A1415" s="6">
        <v>856</v>
      </c>
      <c r="B1415" s="6" t="str">
        <f t="shared" si="244"/>
        <v>NIKTEC00856</v>
      </c>
      <c r="C1415" s="7" t="s">
        <v>173</v>
      </c>
      <c r="D1415" s="7" t="s">
        <v>388</v>
      </c>
      <c r="E1415" s="7" t="str">
        <f t="shared" si="245"/>
        <v>VIVEK CHOUHAN</v>
      </c>
      <c r="F1415" s="7" t="s">
        <v>17</v>
      </c>
      <c r="G1415" s="22">
        <v>43570</v>
      </c>
      <c r="H1415" s="8">
        <v>87345</v>
      </c>
      <c r="I1415" s="7" t="str">
        <f t="shared" si="246"/>
        <v>vivek.chouhan@te.chn.ba</v>
      </c>
      <c r="J1415" s="6" t="s">
        <v>1538</v>
      </c>
      <c r="K1415" s="6">
        <v>68</v>
      </c>
      <c r="L1415" s="7" t="str">
        <f t="shared" si="247"/>
        <v>te.chn.ba</v>
      </c>
      <c r="M1415" s="7" t="str">
        <f t="shared" si="248"/>
        <v>C.Vivek</v>
      </c>
      <c r="N1415" s="6">
        <f t="shared" si="243"/>
        <v>4</v>
      </c>
      <c r="O1415" s="6">
        <f t="shared" si="242"/>
        <v>0</v>
      </c>
      <c r="P1415" s="6" t="str">
        <f t="shared" si="249"/>
        <v>N</v>
      </c>
      <c r="Q1415" s="6">
        <f t="shared" si="250"/>
        <v>12</v>
      </c>
      <c r="R1415" s="6" t="str">
        <f t="shared" si="251"/>
        <v>2019</v>
      </c>
      <c r="S1415" s="6" t="str">
        <f t="shared" si="252"/>
        <v>Apr</v>
      </c>
    </row>
    <row r="1416" spans="1:19" x14ac:dyDescent="0.25">
      <c r="A1416" s="6">
        <v>870</v>
      </c>
      <c r="B1416" s="6" t="str">
        <f t="shared" si="244"/>
        <v>NIKTEC00870</v>
      </c>
      <c r="C1416" s="7" t="s">
        <v>1016</v>
      </c>
      <c r="D1416" s="7" t="s">
        <v>781</v>
      </c>
      <c r="E1416" s="7" t="str">
        <f t="shared" si="245"/>
        <v>NARENDER PAL</v>
      </c>
      <c r="F1416" s="7" t="s">
        <v>17</v>
      </c>
      <c r="G1416" s="22">
        <v>43678</v>
      </c>
      <c r="H1416" s="8">
        <v>44589</v>
      </c>
      <c r="I1416" s="7" t="str">
        <f t="shared" si="246"/>
        <v>narender.pal@te.pal.ba</v>
      </c>
      <c r="J1416" s="6" t="s">
        <v>1532</v>
      </c>
      <c r="K1416" s="6">
        <v>78</v>
      </c>
      <c r="L1416" s="7" t="str">
        <f t="shared" si="247"/>
        <v>te.pal.ba</v>
      </c>
      <c r="M1416" s="7" t="str">
        <f t="shared" si="248"/>
        <v>P.Narender</v>
      </c>
      <c r="N1416" s="6">
        <f t="shared" si="243"/>
        <v>4</v>
      </c>
      <c r="O1416" s="6">
        <f t="shared" si="242"/>
        <v>0</v>
      </c>
      <c r="P1416" s="6" t="str">
        <f t="shared" si="249"/>
        <v>N</v>
      </c>
      <c r="Q1416" s="6">
        <f t="shared" si="250"/>
        <v>11</v>
      </c>
      <c r="R1416" s="6" t="str">
        <f t="shared" si="251"/>
        <v>2019</v>
      </c>
      <c r="S1416" s="6" t="str">
        <f t="shared" si="252"/>
        <v>Aug</v>
      </c>
    </row>
    <row r="1417" spans="1:19" x14ac:dyDescent="0.25">
      <c r="A1417" s="6">
        <v>875</v>
      </c>
      <c r="B1417" s="6" t="str">
        <f t="shared" si="244"/>
        <v>NIKTEC00875</v>
      </c>
      <c r="C1417" s="7" t="s">
        <v>234</v>
      </c>
      <c r="D1417" s="7" t="s">
        <v>1019</v>
      </c>
      <c r="E1417" s="7" t="str">
        <f t="shared" si="245"/>
        <v>SHRADDHA ARUNBHAI</v>
      </c>
      <c r="F1417" s="7" t="s">
        <v>17</v>
      </c>
      <c r="G1417" s="22">
        <v>43083</v>
      </c>
      <c r="H1417" s="8">
        <v>28350</v>
      </c>
      <c r="I1417" s="7" t="str">
        <f t="shared" si="246"/>
        <v>shraddha.arunbhai@te.ari.ba</v>
      </c>
      <c r="J1417" s="6" t="s">
        <v>1532</v>
      </c>
      <c r="K1417" s="6">
        <v>60</v>
      </c>
      <c r="L1417" s="7" t="str">
        <f t="shared" si="247"/>
        <v>te.ari.ba</v>
      </c>
      <c r="M1417" s="7" t="str">
        <f t="shared" si="248"/>
        <v>A.Shraddha</v>
      </c>
      <c r="N1417" s="6">
        <f t="shared" si="243"/>
        <v>0</v>
      </c>
      <c r="O1417" s="6">
        <f t="shared" si="242"/>
        <v>0</v>
      </c>
      <c r="P1417" s="6" t="str">
        <f t="shared" si="249"/>
        <v>N</v>
      </c>
      <c r="Q1417" s="6">
        <f t="shared" si="250"/>
        <v>16</v>
      </c>
      <c r="R1417" s="6" t="str">
        <f t="shared" si="251"/>
        <v>2017</v>
      </c>
      <c r="S1417" s="6" t="str">
        <f t="shared" si="252"/>
        <v>Dec</v>
      </c>
    </row>
    <row r="1418" spans="1:19" x14ac:dyDescent="0.25">
      <c r="A1418" s="6">
        <v>898</v>
      </c>
      <c r="B1418" s="6" t="str">
        <f t="shared" si="244"/>
        <v>NIKTEC00898</v>
      </c>
      <c r="C1418" s="7" t="s">
        <v>1037</v>
      </c>
      <c r="D1418" s="7" t="s">
        <v>1038</v>
      </c>
      <c r="E1418" s="7" t="str">
        <f t="shared" si="245"/>
        <v>VIKRAM PARIHAR</v>
      </c>
      <c r="F1418" s="7" t="s">
        <v>17</v>
      </c>
      <c r="G1418" s="22">
        <v>42308</v>
      </c>
      <c r="H1418" s="8">
        <v>31445</v>
      </c>
      <c r="I1418" s="7" t="str">
        <f t="shared" si="246"/>
        <v>vikram.parihar@te.par.ba</v>
      </c>
      <c r="J1418" s="6" t="s">
        <v>1533</v>
      </c>
      <c r="K1418" s="6">
        <v>63</v>
      </c>
      <c r="L1418" s="7" t="str">
        <f t="shared" si="247"/>
        <v>te.par.ba</v>
      </c>
      <c r="M1418" s="7" t="str">
        <f t="shared" si="248"/>
        <v>P.Vikram</v>
      </c>
      <c r="N1418" s="6">
        <f t="shared" si="243"/>
        <v>0</v>
      </c>
      <c r="O1418" s="6">
        <f t="shared" si="242"/>
        <v>0</v>
      </c>
      <c r="P1418" s="6" t="str">
        <f t="shared" si="249"/>
        <v>N</v>
      </c>
      <c r="Q1418" s="6">
        <f t="shared" si="250"/>
        <v>13</v>
      </c>
      <c r="R1418" s="6" t="str">
        <f t="shared" si="251"/>
        <v>2015</v>
      </c>
      <c r="S1418" s="6" t="str">
        <f t="shared" si="252"/>
        <v>Oct</v>
      </c>
    </row>
    <row r="1419" spans="1:19" x14ac:dyDescent="0.25">
      <c r="A1419" s="6">
        <v>903</v>
      </c>
      <c r="B1419" s="6" t="str">
        <f t="shared" si="244"/>
        <v>NIKTEC00903</v>
      </c>
      <c r="C1419" s="7" t="s">
        <v>89</v>
      </c>
      <c r="D1419" s="7" t="s">
        <v>116</v>
      </c>
      <c r="E1419" s="7" t="str">
        <f t="shared" si="245"/>
        <v>VIJAY MERAL</v>
      </c>
      <c r="F1419" s="7" t="s">
        <v>17</v>
      </c>
      <c r="G1419" s="22">
        <v>43586</v>
      </c>
      <c r="H1419" s="8">
        <v>59848</v>
      </c>
      <c r="I1419" s="7" t="str">
        <f t="shared" si="246"/>
        <v>vijay.meral@te.mel.ba</v>
      </c>
      <c r="J1419" s="6" t="s">
        <v>1546</v>
      </c>
      <c r="K1419" s="6">
        <v>54</v>
      </c>
      <c r="L1419" s="7" t="str">
        <f t="shared" si="247"/>
        <v>te.mel.ba</v>
      </c>
      <c r="M1419" s="7" t="str">
        <f t="shared" si="248"/>
        <v>M.Vijay</v>
      </c>
      <c r="N1419" s="6">
        <f t="shared" si="243"/>
        <v>0</v>
      </c>
      <c r="O1419" s="6">
        <f t="shared" si="242"/>
        <v>2</v>
      </c>
      <c r="P1419" s="6" t="str">
        <f t="shared" si="249"/>
        <v>N</v>
      </c>
      <c r="Q1419" s="6">
        <f t="shared" si="250"/>
        <v>10</v>
      </c>
      <c r="R1419" s="6" t="str">
        <f t="shared" si="251"/>
        <v>2019</v>
      </c>
      <c r="S1419" s="6" t="str">
        <f t="shared" si="252"/>
        <v>May</v>
      </c>
    </row>
    <row r="1420" spans="1:19" x14ac:dyDescent="0.25">
      <c r="A1420" s="6">
        <v>907</v>
      </c>
      <c r="B1420" s="6" t="str">
        <f t="shared" si="244"/>
        <v>NIKTEC00907</v>
      </c>
      <c r="C1420" s="7" t="s">
        <v>1047</v>
      </c>
      <c r="D1420" s="7" t="s">
        <v>586</v>
      </c>
      <c r="E1420" s="7" t="str">
        <f t="shared" si="245"/>
        <v>PRATHMESH RAJENDRA</v>
      </c>
      <c r="F1420" s="7" t="s">
        <v>17</v>
      </c>
      <c r="G1420" s="22">
        <v>42618</v>
      </c>
      <c r="H1420" s="8">
        <v>26594</v>
      </c>
      <c r="I1420" s="7" t="str">
        <f t="shared" si="246"/>
        <v>prathmesh.rajendra@te.raa.ba</v>
      </c>
      <c r="J1420" s="6" t="s">
        <v>1536</v>
      </c>
      <c r="K1420" s="6">
        <v>48</v>
      </c>
      <c r="L1420" s="7" t="str">
        <f t="shared" si="247"/>
        <v>te.raa.ba</v>
      </c>
      <c r="M1420" s="7" t="str">
        <f t="shared" si="248"/>
        <v>R.Prathmesh</v>
      </c>
      <c r="N1420" s="6">
        <f t="shared" si="243"/>
        <v>7</v>
      </c>
      <c r="O1420" s="6">
        <f t="shared" si="242"/>
        <v>4</v>
      </c>
      <c r="P1420" s="6" t="str">
        <f t="shared" si="249"/>
        <v>Y</v>
      </c>
      <c r="Q1420" s="6">
        <f t="shared" si="250"/>
        <v>17</v>
      </c>
      <c r="R1420" s="6" t="str">
        <f t="shared" si="251"/>
        <v>2016</v>
      </c>
      <c r="S1420" s="6" t="str">
        <f t="shared" si="252"/>
        <v>Sep</v>
      </c>
    </row>
    <row r="1421" spans="1:19" x14ac:dyDescent="0.25">
      <c r="A1421" s="6">
        <v>911</v>
      </c>
      <c r="B1421" s="6" t="str">
        <f t="shared" si="244"/>
        <v>NIKTEC00911</v>
      </c>
      <c r="C1421" s="7" t="s">
        <v>65</v>
      </c>
      <c r="D1421" s="7" t="s">
        <v>781</v>
      </c>
      <c r="E1421" s="7" t="str">
        <f t="shared" si="245"/>
        <v>RAHUL PAL</v>
      </c>
      <c r="F1421" s="7" t="s">
        <v>17</v>
      </c>
      <c r="G1421" s="22">
        <v>43661</v>
      </c>
      <c r="H1421" s="8">
        <v>107787</v>
      </c>
      <c r="I1421" s="7" t="str">
        <f t="shared" si="246"/>
        <v>rahul.pal@te.pal.ba</v>
      </c>
      <c r="J1421" s="6" t="s">
        <v>1541</v>
      </c>
      <c r="K1421" s="6">
        <v>90</v>
      </c>
      <c r="L1421" s="7" t="str">
        <f t="shared" si="247"/>
        <v>te.pal.ba</v>
      </c>
      <c r="M1421" s="7" t="str">
        <f t="shared" si="248"/>
        <v>P.Rahul</v>
      </c>
      <c r="N1421" s="6">
        <f t="shared" si="243"/>
        <v>0</v>
      </c>
      <c r="O1421" s="6">
        <f t="shared" si="242"/>
        <v>0</v>
      </c>
      <c r="P1421" s="6" t="str">
        <f t="shared" si="249"/>
        <v>N</v>
      </c>
      <c r="Q1421" s="6">
        <f t="shared" si="250"/>
        <v>8</v>
      </c>
      <c r="R1421" s="6" t="str">
        <f t="shared" si="251"/>
        <v>2019</v>
      </c>
      <c r="S1421" s="6" t="str">
        <f t="shared" si="252"/>
        <v>Jul</v>
      </c>
    </row>
    <row r="1422" spans="1:19" x14ac:dyDescent="0.25">
      <c r="A1422" s="6">
        <v>914</v>
      </c>
      <c r="B1422" s="6" t="str">
        <f t="shared" si="244"/>
        <v>NIKTEC00914</v>
      </c>
      <c r="C1422" s="7" t="s">
        <v>1054</v>
      </c>
      <c r="D1422" s="7" t="s">
        <v>237</v>
      </c>
      <c r="E1422" s="7" t="str">
        <f t="shared" si="245"/>
        <v>WASIM AHMED</v>
      </c>
      <c r="F1422" s="7" t="s">
        <v>17</v>
      </c>
      <c r="G1422" s="22">
        <v>42812</v>
      </c>
      <c r="H1422" s="8">
        <v>25675</v>
      </c>
      <c r="I1422" s="7" t="str">
        <f t="shared" si="246"/>
        <v>wasim.ahmed@te.ahd.ba</v>
      </c>
      <c r="J1422" s="6" t="s">
        <v>1534</v>
      </c>
      <c r="K1422" s="6">
        <v>52</v>
      </c>
      <c r="L1422" s="7" t="str">
        <f t="shared" si="247"/>
        <v>te.ahd.ba</v>
      </c>
      <c r="M1422" s="7" t="str">
        <f t="shared" si="248"/>
        <v>A.Wasim</v>
      </c>
      <c r="N1422" s="6">
        <f t="shared" si="243"/>
        <v>0</v>
      </c>
      <c r="O1422" s="6">
        <f t="shared" si="242"/>
        <v>4</v>
      </c>
      <c r="P1422" s="6" t="str">
        <f t="shared" si="249"/>
        <v>N</v>
      </c>
      <c r="Q1422" s="6">
        <f t="shared" si="250"/>
        <v>10</v>
      </c>
      <c r="R1422" s="6" t="str">
        <f t="shared" si="251"/>
        <v>2017</v>
      </c>
      <c r="S1422" s="6" t="str">
        <f t="shared" si="252"/>
        <v>Mar</v>
      </c>
    </row>
    <row r="1423" spans="1:19" x14ac:dyDescent="0.25">
      <c r="A1423" s="6">
        <v>916</v>
      </c>
      <c r="B1423" s="6" t="str">
        <f t="shared" si="244"/>
        <v>NIKTEC00916</v>
      </c>
      <c r="C1423" s="7" t="s">
        <v>407</v>
      </c>
      <c r="D1423" s="7" t="s">
        <v>55</v>
      </c>
      <c r="E1423" s="7" t="str">
        <f t="shared" si="245"/>
        <v>AVINASH SHARMA</v>
      </c>
      <c r="F1423" s="7" t="s">
        <v>17</v>
      </c>
      <c r="G1423" s="22">
        <v>43047</v>
      </c>
      <c r="H1423" s="8">
        <v>106564</v>
      </c>
      <c r="I1423" s="7" t="str">
        <f t="shared" si="246"/>
        <v>avinash.sharma@te.sha.ba</v>
      </c>
      <c r="J1423" s="6" t="s">
        <v>1542</v>
      </c>
      <c r="K1423" s="6">
        <v>73</v>
      </c>
      <c r="L1423" s="7" t="str">
        <f t="shared" si="247"/>
        <v>te.sha.ba</v>
      </c>
      <c r="M1423" s="7" t="str">
        <f t="shared" si="248"/>
        <v>S.Avinash</v>
      </c>
      <c r="N1423" s="6">
        <f t="shared" si="243"/>
        <v>0</v>
      </c>
      <c r="O1423" s="6">
        <f t="shared" si="242"/>
        <v>0</v>
      </c>
      <c r="P1423" s="6" t="str">
        <f t="shared" si="249"/>
        <v>N</v>
      </c>
      <c r="Q1423" s="6">
        <f t="shared" si="250"/>
        <v>13</v>
      </c>
      <c r="R1423" s="6" t="str">
        <f t="shared" si="251"/>
        <v>2017</v>
      </c>
      <c r="S1423" s="6" t="str">
        <f t="shared" si="252"/>
        <v>Nov</v>
      </c>
    </row>
    <row r="1424" spans="1:19" x14ac:dyDescent="0.25">
      <c r="A1424" s="6">
        <v>925</v>
      </c>
      <c r="B1424" s="6" t="str">
        <f t="shared" si="244"/>
        <v>NIKTEC00925</v>
      </c>
      <c r="C1424" s="7" t="s">
        <v>900</v>
      </c>
      <c r="D1424" s="7" t="s">
        <v>1067</v>
      </c>
      <c r="E1424" s="7" t="str">
        <f t="shared" si="245"/>
        <v>JAI FRANCIS</v>
      </c>
      <c r="F1424" s="7" t="s">
        <v>17</v>
      </c>
      <c r="G1424" s="22">
        <v>43865</v>
      </c>
      <c r="H1424" s="8">
        <v>72929</v>
      </c>
      <c r="I1424" s="7" t="str">
        <f t="shared" si="246"/>
        <v>jai.francis@te.frs.ba</v>
      </c>
      <c r="J1424" s="6" t="s">
        <v>1546</v>
      </c>
      <c r="K1424" s="6">
        <v>60</v>
      </c>
      <c r="L1424" s="7" t="str">
        <f t="shared" si="247"/>
        <v>te.frs.ba</v>
      </c>
      <c r="M1424" s="7" t="str">
        <f t="shared" si="248"/>
        <v>F.Jai</v>
      </c>
      <c r="N1424" s="6">
        <f t="shared" si="243"/>
        <v>0</v>
      </c>
      <c r="O1424" s="6">
        <f t="shared" si="242"/>
        <v>0</v>
      </c>
      <c r="P1424" s="6" t="str">
        <f t="shared" si="249"/>
        <v>N</v>
      </c>
      <c r="Q1424" s="6">
        <f t="shared" si="250"/>
        <v>10</v>
      </c>
      <c r="R1424" s="6" t="str">
        <f t="shared" si="251"/>
        <v>2020</v>
      </c>
      <c r="S1424" s="6" t="str">
        <f t="shared" si="252"/>
        <v>Feb</v>
      </c>
    </row>
    <row r="1425" spans="1:19" x14ac:dyDescent="0.25">
      <c r="A1425" s="6">
        <v>927</v>
      </c>
      <c r="B1425" s="6" t="str">
        <f t="shared" si="244"/>
        <v>NIKTEC00927</v>
      </c>
      <c r="C1425" s="7" t="s">
        <v>190</v>
      </c>
      <c r="D1425" s="7" t="s">
        <v>68</v>
      </c>
      <c r="E1425" s="7" t="str">
        <f t="shared" si="245"/>
        <v>ABHISHEK KUMAR</v>
      </c>
      <c r="F1425" s="7" t="s">
        <v>17</v>
      </c>
      <c r="G1425" s="22">
        <v>43847</v>
      </c>
      <c r="H1425" s="8">
        <v>101117</v>
      </c>
      <c r="I1425" s="7" t="str">
        <f t="shared" si="246"/>
        <v>abhishek.kumar@te.kur.ba</v>
      </c>
      <c r="J1425" s="6" t="s">
        <v>1546</v>
      </c>
      <c r="K1425" s="6">
        <v>90</v>
      </c>
      <c r="L1425" s="7" t="str">
        <f t="shared" si="247"/>
        <v>te.kur.ba</v>
      </c>
      <c r="M1425" s="7" t="str">
        <f t="shared" si="248"/>
        <v>K.Abhishek</v>
      </c>
      <c r="N1425" s="6">
        <f t="shared" si="243"/>
        <v>7</v>
      </c>
      <c r="O1425" s="6">
        <f t="shared" si="242"/>
        <v>0</v>
      </c>
      <c r="P1425" s="6" t="str">
        <f t="shared" si="249"/>
        <v>N</v>
      </c>
      <c r="Q1425" s="6">
        <f t="shared" si="250"/>
        <v>13</v>
      </c>
      <c r="R1425" s="6" t="str">
        <f t="shared" si="251"/>
        <v>2020</v>
      </c>
      <c r="S1425" s="6" t="str">
        <f t="shared" si="252"/>
        <v>Jan</v>
      </c>
    </row>
    <row r="1426" spans="1:19" x14ac:dyDescent="0.25">
      <c r="A1426" s="6">
        <v>933</v>
      </c>
      <c r="B1426" s="6" t="str">
        <f t="shared" si="244"/>
        <v>NIKTEC00933</v>
      </c>
      <c r="C1426" s="7" t="s">
        <v>37</v>
      </c>
      <c r="D1426" s="7"/>
      <c r="E1426" s="7" t="str">
        <f t="shared" si="245"/>
        <v>SOURABH</v>
      </c>
      <c r="F1426" s="7" t="s">
        <v>17</v>
      </c>
      <c r="G1426" s="22">
        <v>43678</v>
      </c>
      <c r="H1426" s="8">
        <v>106184</v>
      </c>
      <c r="I1426" s="7" t="str">
        <f t="shared" si="246"/>
        <v>sourabh.@te..ba</v>
      </c>
      <c r="J1426" s="6" t="s">
        <v>1539</v>
      </c>
      <c r="K1426" s="6">
        <v>57</v>
      </c>
      <c r="L1426" s="7" t="str">
        <f t="shared" si="247"/>
        <v>te..ba</v>
      </c>
      <c r="M1426" s="7" t="str">
        <f t="shared" si="248"/>
        <v>.Sourabh</v>
      </c>
      <c r="N1426" s="6">
        <f t="shared" si="243"/>
        <v>0</v>
      </c>
      <c r="O1426" s="6">
        <f t="shared" si="242"/>
        <v>0</v>
      </c>
      <c r="P1426" s="6" t="str">
        <f t="shared" si="249"/>
        <v>N</v>
      </c>
      <c r="Q1426" s="6">
        <f t="shared" si="250"/>
        <v>7</v>
      </c>
      <c r="R1426" s="6" t="str">
        <f t="shared" si="251"/>
        <v>2019</v>
      </c>
      <c r="S1426" s="6" t="str">
        <f t="shared" si="252"/>
        <v>Aug</v>
      </c>
    </row>
    <row r="1427" spans="1:19" x14ac:dyDescent="0.25">
      <c r="A1427" s="6">
        <v>940</v>
      </c>
      <c r="B1427" s="6" t="str">
        <f t="shared" si="244"/>
        <v>NIKTEC00940</v>
      </c>
      <c r="C1427" s="7" t="s">
        <v>348</v>
      </c>
      <c r="D1427" s="7" t="s">
        <v>55</v>
      </c>
      <c r="E1427" s="7" t="str">
        <f t="shared" si="245"/>
        <v>AKASH SHARMA</v>
      </c>
      <c r="F1427" s="7" t="s">
        <v>17</v>
      </c>
      <c r="G1427" s="22">
        <v>43257</v>
      </c>
      <c r="H1427" s="8">
        <v>106475</v>
      </c>
      <c r="I1427" s="7" t="str">
        <f t="shared" si="246"/>
        <v>akash.sharma@te.sha.ba</v>
      </c>
      <c r="J1427" s="6" t="s">
        <v>1539</v>
      </c>
      <c r="K1427" s="6">
        <v>75</v>
      </c>
      <c r="L1427" s="7" t="str">
        <f t="shared" si="247"/>
        <v>te.sha.ba</v>
      </c>
      <c r="M1427" s="7" t="str">
        <f t="shared" si="248"/>
        <v>S.Akash</v>
      </c>
      <c r="N1427" s="6">
        <f t="shared" si="243"/>
        <v>0</v>
      </c>
      <c r="O1427" s="6">
        <f t="shared" si="242"/>
        <v>0</v>
      </c>
      <c r="P1427" s="6" t="str">
        <f t="shared" si="249"/>
        <v>N</v>
      </c>
      <c r="Q1427" s="6">
        <f t="shared" si="250"/>
        <v>11</v>
      </c>
      <c r="R1427" s="6" t="str">
        <f t="shared" si="251"/>
        <v>2018</v>
      </c>
      <c r="S1427" s="6" t="str">
        <f t="shared" si="252"/>
        <v>Jun</v>
      </c>
    </row>
    <row r="1428" spans="1:19" x14ac:dyDescent="0.25">
      <c r="A1428" s="6">
        <v>947</v>
      </c>
      <c r="B1428" s="6" t="str">
        <f t="shared" si="244"/>
        <v>NIKTEC00947</v>
      </c>
      <c r="C1428" s="7" t="s">
        <v>401</v>
      </c>
      <c r="D1428" s="7" t="s">
        <v>1080</v>
      </c>
      <c r="E1428" s="7" t="str">
        <f t="shared" si="245"/>
        <v>SHIVAM GUBRELE</v>
      </c>
      <c r="F1428" s="7" t="s">
        <v>17</v>
      </c>
      <c r="G1428" s="22">
        <v>43832</v>
      </c>
      <c r="H1428" s="8">
        <v>109610</v>
      </c>
      <c r="I1428" s="7" t="str">
        <f t="shared" si="246"/>
        <v>shivam.gubrele@te.gue.ba</v>
      </c>
      <c r="J1428" s="6" t="s">
        <v>1543</v>
      </c>
      <c r="K1428" s="6">
        <v>79</v>
      </c>
      <c r="L1428" s="7" t="str">
        <f t="shared" si="247"/>
        <v>te.gue.ba</v>
      </c>
      <c r="M1428" s="7" t="str">
        <f t="shared" si="248"/>
        <v>G.Shivam</v>
      </c>
      <c r="N1428" s="6">
        <f t="shared" si="243"/>
        <v>0</v>
      </c>
      <c r="O1428" s="6">
        <f t="shared" si="242"/>
        <v>5</v>
      </c>
      <c r="P1428" s="6" t="str">
        <f t="shared" si="249"/>
        <v>N</v>
      </c>
      <c r="Q1428" s="6">
        <f t="shared" si="250"/>
        <v>13</v>
      </c>
      <c r="R1428" s="6" t="str">
        <f t="shared" si="251"/>
        <v>2020</v>
      </c>
      <c r="S1428" s="6" t="str">
        <f t="shared" si="252"/>
        <v>Jan</v>
      </c>
    </row>
    <row r="1429" spans="1:19" x14ac:dyDescent="0.25">
      <c r="A1429" s="6">
        <v>949</v>
      </c>
      <c r="B1429" s="6" t="str">
        <f t="shared" si="244"/>
        <v>NIKTEC00949</v>
      </c>
      <c r="C1429" s="7" t="s">
        <v>1082</v>
      </c>
      <c r="D1429" s="7" t="s">
        <v>740</v>
      </c>
      <c r="E1429" s="7" t="str">
        <f t="shared" si="245"/>
        <v>JIGAR GOPAL</v>
      </c>
      <c r="F1429" s="7" t="s">
        <v>17</v>
      </c>
      <c r="G1429" s="22">
        <v>42020</v>
      </c>
      <c r="H1429" s="8">
        <v>55760</v>
      </c>
      <c r="I1429" s="7" t="str">
        <f t="shared" si="246"/>
        <v>jigar.gopal@te.gol.ba</v>
      </c>
      <c r="J1429" s="6" t="s">
        <v>1546</v>
      </c>
      <c r="K1429" s="6">
        <v>75</v>
      </c>
      <c r="L1429" s="7" t="str">
        <f t="shared" si="247"/>
        <v>te.gol.ba</v>
      </c>
      <c r="M1429" s="7" t="str">
        <f t="shared" si="248"/>
        <v>G.Jigar</v>
      </c>
      <c r="N1429" s="6">
        <f t="shared" si="243"/>
        <v>0</v>
      </c>
      <c r="O1429" s="6">
        <f t="shared" si="242"/>
        <v>0</v>
      </c>
      <c r="P1429" s="6" t="str">
        <f t="shared" si="249"/>
        <v>N</v>
      </c>
      <c r="Q1429" s="6">
        <f t="shared" si="250"/>
        <v>10</v>
      </c>
      <c r="R1429" s="6" t="str">
        <f t="shared" si="251"/>
        <v>2015</v>
      </c>
      <c r="S1429" s="6" t="str">
        <f t="shared" si="252"/>
        <v>Jan</v>
      </c>
    </row>
    <row r="1430" spans="1:19" x14ac:dyDescent="0.25">
      <c r="A1430" s="6">
        <v>963</v>
      </c>
      <c r="B1430" s="6" t="str">
        <f t="shared" si="244"/>
        <v>NIKTEC00963</v>
      </c>
      <c r="C1430" s="7" t="s">
        <v>80</v>
      </c>
      <c r="D1430" s="7" t="s">
        <v>1092</v>
      </c>
      <c r="E1430" s="7" t="str">
        <f t="shared" si="245"/>
        <v>PRASHANT TICKOO</v>
      </c>
      <c r="F1430" s="7" t="s">
        <v>17</v>
      </c>
      <c r="G1430" s="22">
        <v>43017</v>
      </c>
      <c r="H1430" s="8">
        <v>80269</v>
      </c>
      <c r="I1430" s="7" t="str">
        <f t="shared" si="246"/>
        <v>prashant.tickoo@te.tio.ba</v>
      </c>
      <c r="J1430" s="6" t="s">
        <v>1541</v>
      </c>
      <c r="K1430" s="6">
        <v>54</v>
      </c>
      <c r="L1430" s="7" t="str">
        <f t="shared" si="247"/>
        <v>te.tio.ba</v>
      </c>
      <c r="M1430" s="7" t="str">
        <f t="shared" si="248"/>
        <v>T.Prashant</v>
      </c>
      <c r="N1430" s="6">
        <f t="shared" si="243"/>
        <v>0</v>
      </c>
      <c r="O1430" s="6">
        <f t="shared" si="242"/>
        <v>0</v>
      </c>
      <c r="P1430" s="6" t="str">
        <f t="shared" si="249"/>
        <v>N</v>
      </c>
      <c r="Q1430" s="6">
        <f t="shared" si="250"/>
        <v>14</v>
      </c>
      <c r="R1430" s="6" t="str">
        <f t="shared" si="251"/>
        <v>2017</v>
      </c>
      <c r="S1430" s="6" t="str">
        <f t="shared" si="252"/>
        <v>Oct</v>
      </c>
    </row>
    <row r="1431" spans="1:19" x14ac:dyDescent="0.25">
      <c r="A1431" s="6">
        <v>964</v>
      </c>
      <c r="B1431" s="6" t="str">
        <f t="shared" si="244"/>
        <v>NIKTEC00964</v>
      </c>
      <c r="C1431" s="7" t="s">
        <v>1093</v>
      </c>
      <c r="D1431" s="7" t="s">
        <v>89</v>
      </c>
      <c r="E1431" s="7" t="str">
        <f t="shared" si="245"/>
        <v>AKUL VIJAY</v>
      </c>
      <c r="F1431" s="7" t="s">
        <v>17</v>
      </c>
      <c r="G1431" s="22">
        <v>43832</v>
      </c>
      <c r="H1431" s="8">
        <v>76514</v>
      </c>
      <c r="I1431" s="7" t="str">
        <f t="shared" si="246"/>
        <v>akul.vijay@te.viy.ba</v>
      </c>
      <c r="J1431" s="6" t="s">
        <v>1547</v>
      </c>
      <c r="K1431" s="6">
        <v>71</v>
      </c>
      <c r="L1431" s="7" t="str">
        <f t="shared" si="247"/>
        <v>te.viy.ba</v>
      </c>
      <c r="M1431" s="7" t="str">
        <f t="shared" si="248"/>
        <v>V.Akul</v>
      </c>
      <c r="N1431" s="6">
        <f t="shared" si="243"/>
        <v>0</v>
      </c>
      <c r="O1431" s="6">
        <f t="shared" si="242"/>
        <v>0</v>
      </c>
      <c r="P1431" s="6" t="str">
        <f t="shared" si="249"/>
        <v>N</v>
      </c>
      <c r="Q1431" s="6">
        <f t="shared" si="250"/>
        <v>9</v>
      </c>
      <c r="R1431" s="6" t="str">
        <f t="shared" si="251"/>
        <v>2020</v>
      </c>
      <c r="S1431" s="6" t="str">
        <f t="shared" si="252"/>
        <v>Jan</v>
      </c>
    </row>
    <row r="1432" spans="1:19" x14ac:dyDescent="0.25">
      <c r="A1432" s="6">
        <v>975</v>
      </c>
      <c r="B1432" s="6" t="str">
        <f t="shared" si="244"/>
        <v>NIKTEC00975</v>
      </c>
      <c r="C1432" s="7" t="s">
        <v>791</v>
      </c>
      <c r="D1432" s="7" t="s">
        <v>208</v>
      </c>
      <c r="E1432" s="7" t="str">
        <f t="shared" si="245"/>
        <v>NISHA KAPOOR</v>
      </c>
      <c r="F1432" s="7" t="s">
        <v>17</v>
      </c>
      <c r="G1432" s="22">
        <v>42324</v>
      </c>
      <c r="H1432" s="8">
        <v>88995</v>
      </c>
      <c r="I1432" s="7" t="str">
        <f t="shared" si="246"/>
        <v>nisha.kapoor@te.kar.ba</v>
      </c>
      <c r="J1432" s="6" t="s">
        <v>1538</v>
      </c>
      <c r="K1432" s="6">
        <v>57</v>
      </c>
      <c r="L1432" s="7" t="str">
        <f t="shared" si="247"/>
        <v>te.kar.ba</v>
      </c>
      <c r="M1432" s="7" t="str">
        <f t="shared" si="248"/>
        <v>K.Nisha</v>
      </c>
      <c r="N1432" s="6">
        <f t="shared" si="243"/>
        <v>0</v>
      </c>
      <c r="O1432" s="6">
        <f t="shared" si="242"/>
        <v>0</v>
      </c>
      <c r="P1432" s="6" t="str">
        <f t="shared" si="249"/>
        <v>N</v>
      </c>
      <c r="Q1432" s="6">
        <f t="shared" si="250"/>
        <v>11</v>
      </c>
      <c r="R1432" s="6" t="str">
        <f t="shared" si="251"/>
        <v>2015</v>
      </c>
      <c r="S1432" s="6" t="str">
        <f t="shared" si="252"/>
        <v>Nov</v>
      </c>
    </row>
    <row r="1433" spans="1:19" x14ac:dyDescent="0.25">
      <c r="A1433" s="6">
        <v>986</v>
      </c>
      <c r="B1433" s="6" t="str">
        <f t="shared" si="244"/>
        <v>NIKTEC00986</v>
      </c>
      <c r="C1433" s="7" t="s">
        <v>1112</v>
      </c>
      <c r="D1433" s="7" t="s">
        <v>1113</v>
      </c>
      <c r="E1433" s="7" t="str">
        <f t="shared" si="245"/>
        <v>ARPAN MODI</v>
      </c>
      <c r="F1433" s="7" t="s">
        <v>17</v>
      </c>
      <c r="G1433" s="22">
        <v>43845</v>
      </c>
      <c r="H1433" s="8">
        <v>63848</v>
      </c>
      <c r="I1433" s="7" t="str">
        <f t="shared" si="246"/>
        <v>arpan.modi@te.moi.ba</v>
      </c>
      <c r="J1433" s="6" t="s">
        <v>1551</v>
      </c>
      <c r="K1433" s="6">
        <v>39</v>
      </c>
      <c r="L1433" s="7" t="str">
        <f t="shared" si="247"/>
        <v>te.moi.ba</v>
      </c>
      <c r="M1433" s="7" t="str">
        <f t="shared" si="248"/>
        <v>M.Arpan</v>
      </c>
      <c r="N1433" s="6">
        <f t="shared" si="243"/>
        <v>0</v>
      </c>
      <c r="O1433" s="6">
        <f t="shared" si="242"/>
        <v>0</v>
      </c>
      <c r="P1433" s="6" t="str">
        <f t="shared" si="249"/>
        <v>N</v>
      </c>
      <c r="Q1433" s="6">
        <f t="shared" si="250"/>
        <v>9</v>
      </c>
      <c r="R1433" s="6" t="str">
        <f t="shared" si="251"/>
        <v>2020</v>
      </c>
      <c r="S1433" s="6" t="str">
        <f t="shared" si="252"/>
        <v>Jan</v>
      </c>
    </row>
    <row r="1434" spans="1:19" x14ac:dyDescent="0.25">
      <c r="A1434" s="6">
        <v>993</v>
      </c>
      <c r="B1434" s="6" t="str">
        <f t="shared" si="244"/>
        <v>NIKTEC00993</v>
      </c>
      <c r="C1434" s="7" t="s">
        <v>1119</v>
      </c>
      <c r="D1434" s="7" t="s">
        <v>55</v>
      </c>
      <c r="E1434" s="7" t="str">
        <f t="shared" si="245"/>
        <v>NIDHI SHARMA</v>
      </c>
      <c r="F1434" s="7" t="s">
        <v>17</v>
      </c>
      <c r="G1434" s="22">
        <v>42338</v>
      </c>
      <c r="H1434" s="8">
        <v>107989</v>
      </c>
      <c r="I1434" s="7" t="str">
        <f t="shared" si="246"/>
        <v>nidhi.sharma@te.sha.ba</v>
      </c>
      <c r="J1434" s="6" t="s">
        <v>1547</v>
      </c>
      <c r="K1434" s="6">
        <v>55</v>
      </c>
      <c r="L1434" s="7" t="str">
        <f t="shared" si="247"/>
        <v>te.sha.ba</v>
      </c>
      <c r="M1434" s="7" t="str">
        <f t="shared" si="248"/>
        <v>S.Nidhi</v>
      </c>
      <c r="N1434" s="6">
        <f t="shared" si="243"/>
        <v>0</v>
      </c>
      <c r="O1434" s="6">
        <f t="shared" si="242"/>
        <v>0</v>
      </c>
      <c r="P1434" s="6" t="str">
        <f t="shared" si="249"/>
        <v>N</v>
      </c>
      <c r="Q1434" s="6">
        <f t="shared" si="250"/>
        <v>11</v>
      </c>
      <c r="R1434" s="6" t="str">
        <f t="shared" si="251"/>
        <v>2015</v>
      </c>
      <c r="S1434" s="6" t="str">
        <f t="shared" si="252"/>
        <v>Nov</v>
      </c>
    </row>
    <row r="1435" spans="1:19" x14ac:dyDescent="0.25">
      <c r="A1435" s="6">
        <v>1001</v>
      </c>
      <c r="B1435" s="6" t="str">
        <f t="shared" si="244"/>
        <v>NIKTEC01001</v>
      </c>
      <c r="C1435" s="7" t="s">
        <v>1127</v>
      </c>
      <c r="D1435" s="7" t="s">
        <v>1128</v>
      </c>
      <c r="E1435" s="7" t="str">
        <f t="shared" si="245"/>
        <v>NIMESH MUKHERJEE</v>
      </c>
      <c r="F1435" s="7" t="s">
        <v>17</v>
      </c>
      <c r="G1435" s="22">
        <v>39052</v>
      </c>
      <c r="H1435" s="8">
        <v>74852</v>
      </c>
      <c r="I1435" s="7" t="str">
        <f t="shared" si="246"/>
        <v>nimesh.mukherjee@te.mue.ba</v>
      </c>
      <c r="J1435" s="6" t="s">
        <v>1533</v>
      </c>
      <c r="K1435" s="6">
        <v>51</v>
      </c>
      <c r="L1435" s="7" t="str">
        <f t="shared" si="247"/>
        <v>te.mue.ba</v>
      </c>
      <c r="M1435" s="7" t="str">
        <f t="shared" si="248"/>
        <v>M.Nimesh</v>
      </c>
      <c r="N1435" s="6">
        <f t="shared" si="243"/>
        <v>4</v>
      </c>
      <c r="O1435" s="6">
        <f t="shared" si="242"/>
        <v>5</v>
      </c>
      <c r="P1435" s="6" t="str">
        <f t="shared" si="249"/>
        <v>Y</v>
      </c>
      <c r="Q1435" s="6">
        <f t="shared" si="250"/>
        <v>15</v>
      </c>
      <c r="R1435" s="6" t="str">
        <f t="shared" si="251"/>
        <v>2006</v>
      </c>
      <c r="S1435" s="6" t="str">
        <f t="shared" si="252"/>
        <v>Dec</v>
      </c>
    </row>
    <row r="1436" spans="1:19" x14ac:dyDescent="0.25">
      <c r="A1436" s="6">
        <v>1004</v>
      </c>
      <c r="B1436" s="6" t="str">
        <f t="shared" si="244"/>
        <v>NIKTEC01004</v>
      </c>
      <c r="C1436" s="7" t="s">
        <v>1132</v>
      </c>
      <c r="D1436" s="7" t="s">
        <v>1133</v>
      </c>
      <c r="E1436" s="7" t="str">
        <f t="shared" si="245"/>
        <v>VINEET BATRA</v>
      </c>
      <c r="F1436" s="7" t="s">
        <v>17</v>
      </c>
      <c r="G1436" s="22">
        <v>41323</v>
      </c>
      <c r="H1436" s="8">
        <v>25804</v>
      </c>
      <c r="I1436" s="7" t="str">
        <f t="shared" si="246"/>
        <v>vineet.batra@te.baa.ba</v>
      </c>
      <c r="J1436" s="6" t="s">
        <v>1532</v>
      </c>
      <c r="K1436" s="6">
        <v>78</v>
      </c>
      <c r="L1436" s="7" t="str">
        <f t="shared" si="247"/>
        <v>te.baa.ba</v>
      </c>
      <c r="M1436" s="7" t="str">
        <f t="shared" si="248"/>
        <v>B.Vineet</v>
      </c>
      <c r="N1436" s="6">
        <f t="shared" si="243"/>
        <v>4</v>
      </c>
      <c r="O1436" s="6">
        <f t="shared" si="242"/>
        <v>0</v>
      </c>
      <c r="P1436" s="6" t="str">
        <f t="shared" si="249"/>
        <v>N</v>
      </c>
      <c r="Q1436" s="6">
        <f t="shared" si="250"/>
        <v>11</v>
      </c>
      <c r="R1436" s="6" t="str">
        <f t="shared" si="251"/>
        <v>2013</v>
      </c>
      <c r="S1436" s="6" t="str">
        <f t="shared" si="252"/>
        <v>Feb</v>
      </c>
    </row>
    <row r="1437" spans="1:19" x14ac:dyDescent="0.25">
      <c r="A1437" s="6">
        <v>1006</v>
      </c>
      <c r="B1437" s="6" t="str">
        <f t="shared" si="244"/>
        <v>NIKTEC01006</v>
      </c>
      <c r="C1437" s="7" t="s">
        <v>1134</v>
      </c>
      <c r="D1437" s="7" t="s">
        <v>70</v>
      </c>
      <c r="E1437" s="7" t="str">
        <f t="shared" si="245"/>
        <v>RABIA SINGH</v>
      </c>
      <c r="F1437" s="7" t="s">
        <v>17</v>
      </c>
      <c r="G1437" s="22">
        <v>44092</v>
      </c>
      <c r="H1437" s="8">
        <v>106152</v>
      </c>
      <c r="I1437" s="7" t="str">
        <f t="shared" si="246"/>
        <v>rabia.singh@te.sih.ba</v>
      </c>
      <c r="J1437" s="6" t="s">
        <v>1533</v>
      </c>
      <c r="K1437" s="6">
        <v>87</v>
      </c>
      <c r="L1437" s="7" t="str">
        <f t="shared" si="247"/>
        <v>te.sih.ba</v>
      </c>
      <c r="M1437" s="7" t="str">
        <f t="shared" si="248"/>
        <v>S.Rabia</v>
      </c>
      <c r="N1437" s="6">
        <f t="shared" si="243"/>
        <v>0</v>
      </c>
      <c r="O1437" s="6">
        <f t="shared" si="242"/>
        <v>0</v>
      </c>
      <c r="P1437" s="6" t="str">
        <f t="shared" si="249"/>
        <v>N</v>
      </c>
      <c r="Q1437" s="6">
        <f t="shared" si="250"/>
        <v>10</v>
      </c>
      <c r="R1437" s="6" t="str">
        <f t="shared" si="251"/>
        <v>2020</v>
      </c>
      <c r="S1437" s="6" t="str">
        <f t="shared" si="252"/>
        <v>Sep</v>
      </c>
    </row>
    <row r="1438" spans="1:19" x14ac:dyDescent="0.25">
      <c r="A1438" s="6">
        <v>1019</v>
      </c>
      <c r="B1438" s="6" t="str">
        <f t="shared" si="244"/>
        <v>NIKTEC01019</v>
      </c>
      <c r="C1438" s="7" t="s">
        <v>259</v>
      </c>
      <c r="D1438" s="7" t="s">
        <v>68</v>
      </c>
      <c r="E1438" s="7" t="str">
        <f t="shared" si="245"/>
        <v>ASHISH KUMAR</v>
      </c>
      <c r="F1438" s="7" t="s">
        <v>17</v>
      </c>
      <c r="G1438" s="22">
        <v>41597</v>
      </c>
      <c r="H1438" s="8">
        <v>97985</v>
      </c>
      <c r="I1438" s="7" t="str">
        <f t="shared" si="246"/>
        <v>ashish.kumar@te.kur.ba</v>
      </c>
      <c r="J1438" s="6" t="s">
        <v>1547</v>
      </c>
      <c r="K1438" s="6">
        <v>72</v>
      </c>
      <c r="L1438" s="7" t="str">
        <f t="shared" si="247"/>
        <v>te.kur.ba</v>
      </c>
      <c r="M1438" s="7" t="str">
        <f t="shared" si="248"/>
        <v>K.Ashish</v>
      </c>
      <c r="N1438" s="6">
        <f t="shared" si="243"/>
        <v>0</v>
      </c>
      <c r="O1438" s="6">
        <f t="shared" si="242"/>
        <v>0</v>
      </c>
      <c r="P1438" s="6" t="str">
        <f t="shared" si="249"/>
        <v>N</v>
      </c>
      <c r="Q1438" s="6">
        <f t="shared" si="250"/>
        <v>11</v>
      </c>
      <c r="R1438" s="6" t="str">
        <f t="shared" si="251"/>
        <v>2013</v>
      </c>
      <c r="S1438" s="6" t="str">
        <f t="shared" si="252"/>
        <v>Nov</v>
      </c>
    </row>
    <row r="1439" spans="1:19" x14ac:dyDescent="0.25">
      <c r="A1439" s="6">
        <v>1035</v>
      </c>
      <c r="B1439" s="6" t="str">
        <f t="shared" si="244"/>
        <v>NIKTEC01035</v>
      </c>
      <c r="C1439" s="7" t="s">
        <v>25</v>
      </c>
      <c r="D1439" s="7" t="s">
        <v>1155</v>
      </c>
      <c r="E1439" s="7" t="str">
        <f t="shared" si="245"/>
        <v>DIVYA MOORJANI</v>
      </c>
      <c r="F1439" s="7" t="s">
        <v>17</v>
      </c>
      <c r="G1439" s="22">
        <v>44201</v>
      </c>
      <c r="H1439" s="8">
        <v>41150</v>
      </c>
      <c r="I1439" s="7" t="str">
        <f t="shared" si="246"/>
        <v>divya.moorjani@te.moi.ba</v>
      </c>
      <c r="J1439" s="6" t="s">
        <v>1547</v>
      </c>
      <c r="K1439" s="6">
        <v>63</v>
      </c>
      <c r="L1439" s="7" t="str">
        <f t="shared" si="247"/>
        <v>te.moi.ba</v>
      </c>
      <c r="M1439" s="7" t="str">
        <f t="shared" si="248"/>
        <v>M.Divya</v>
      </c>
      <c r="N1439" s="6">
        <f t="shared" si="243"/>
        <v>0</v>
      </c>
      <c r="O1439" s="6">
        <f t="shared" si="242"/>
        <v>0</v>
      </c>
      <c r="P1439" s="6" t="str">
        <f t="shared" si="249"/>
        <v>N</v>
      </c>
      <c r="Q1439" s="6">
        <f t="shared" si="250"/>
        <v>13</v>
      </c>
      <c r="R1439" s="6" t="str">
        <f t="shared" si="251"/>
        <v>2021</v>
      </c>
      <c r="S1439" s="6" t="str">
        <f t="shared" si="252"/>
        <v>Jan</v>
      </c>
    </row>
    <row r="1440" spans="1:19" x14ac:dyDescent="0.25">
      <c r="A1440" s="6">
        <v>1056</v>
      </c>
      <c r="B1440" s="6" t="str">
        <f t="shared" si="244"/>
        <v>NIKTEC01056</v>
      </c>
      <c r="C1440" s="7" t="s">
        <v>394</v>
      </c>
      <c r="D1440" s="7" t="s">
        <v>370</v>
      </c>
      <c r="E1440" s="7" t="str">
        <f t="shared" si="245"/>
        <v>CHIRAG PARMAR</v>
      </c>
      <c r="F1440" s="7" t="s">
        <v>17</v>
      </c>
      <c r="G1440" s="22">
        <v>43811</v>
      </c>
      <c r="H1440" s="8">
        <v>79486</v>
      </c>
      <c r="I1440" s="7" t="str">
        <f t="shared" si="246"/>
        <v>chirag.parmar@te.par.ba</v>
      </c>
      <c r="J1440" s="6" t="s">
        <v>1536</v>
      </c>
      <c r="K1440" s="6">
        <v>54</v>
      </c>
      <c r="L1440" s="7" t="str">
        <f t="shared" si="247"/>
        <v>te.par.ba</v>
      </c>
      <c r="M1440" s="7" t="str">
        <f t="shared" si="248"/>
        <v>P.Chirag</v>
      </c>
      <c r="N1440" s="6">
        <f t="shared" si="243"/>
        <v>0</v>
      </c>
      <c r="O1440" s="6">
        <f t="shared" si="242"/>
        <v>0</v>
      </c>
      <c r="P1440" s="6" t="str">
        <f t="shared" si="249"/>
        <v>N</v>
      </c>
      <c r="Q1440" s="6">
        <f t="shared" si="250"/>
        <v>12</v>
      </c>
      <c r="R1440" s="6" t="str">
        <f t="shared" si="251"/>
        <v>2019</v>
      </c>
      <c r="S1440" s="6" t="str">
        <f t="shared" si="252"/>
        <v>Dec</v>
      </c>
    </row>
    <row r="1441" spans="1:19" x14ac:dyDescent="0.25">
      <c r="A1441" s="6">
        <v>1058</v>
      </c>
      <c r="B1441" s="6" t="str">
        <f t="shared" si="244"/>
        <v>NIKTEC01058</v>
      </c>
      <c r="C1441" s="7" t="s">
        <v>19</v>
      </c>
      <c r="D1441" s="7" t="s">
        <v>179</v>
      </c>
      <c r="E1441" s="7" t="str">
        <f t="shared" si="245"/>
        <v>AMIT GUPTA</v>
      </c>
      <c r="F1441" s="7" t="s">
        <v>17</v>
      </c>
      <c r="G1441" s="22">
        <v>42569</v>
      </c>
      <c r="H1441" s="8">
        <v>95169</v>
      </c>
      <c r="I1441" s="7" t="str">
        <f t="shared" si="246"/>
        <v>amit.gupta@te.gua.ba</v>
      </c>
      <c r="J1441" s="6" t="s">
        <v>1547</v>
      </c>
      <c r="K1441" s="6">
        <v>59</v>
      </c>
      <c r="L1441" s="7" t="str">
        <f t="shared" si="247"/>
        <v>te.gua.ba</v>
      </c>
      <c r="M1441" s="7" t="str">
        <f t="shared" si="248"/>
        <v>G.Amit</v>
      </c>
      <c r="N1441" s="6">
        <f t="shared" si="243"/>
        <v>0</v>
      </c>
      <c r="O1441" s="6">
        <f t="shared" si="242"/>
        <v>0</v>
      </c>
      <c r="P1441" s="6" t="str">
        <f t="shared" si="249"/>
        <v>N</v>
      </c>
      <c r="Q1441" s="6">
        <f t="shared" si="250"/>
        <v>9</v>
      </c>
      <c r="R1441" s="6" t="str">
        <f t="shared" si="251"/>
        <v>2016</v>
      </c>
      <c r="S1441" s="6" t="str">
        <f t="shared" si="252"/>
        <v>Jul</v>
      </c>
    </row>
    <row r="1442" spans="1:19" x14ac:dyDescent="0.25">
      <c r="A1442" s="6">
        <v>1069</v>
      </c>
      <c r="B1442" s="6" t="str">
        <f t="shared" si="244"/>
        <v>NIKTEC01069</v>
      </c>
      <c r="C1442" s="7" t="s">
        <v>250</v>
      </c>
      <c r="D1442" s="7" t="s">
        <v>1182</v>
      </c>
      <c r="E1442" s="7" t="str">
        <f t="shared" si="245"/>
        <v>TUSHAR GORAKSHANATH</v>
      </c>
      <c r="F1442" s="7" t="s">
        <v>17</v>
      </c>
      <c r="G1442" s="22">
        <v>43119</v>
      </c>
      <c r="H1442" s="8">
        <v>36088</v>
      </c>
      <c r="I1442" s="7" t="str">
        <f t="shared" si="246"/>
        <v>tushar.gorakshanath@te.goh.ba</v>
      </c>
      <c r="J1442" s="6" t="s">
        <v>1540</v>
      </c>
      <c r="K1442" s="6">
        <v>67</v>
      </c>
      <c r="L1442" s="7" t="str">
        <f t="shared" si="247"/>
        <v>te.goh.ba</v>
      </c>
      <c r="M1442" s="7" t="str">
        <f t="shared" si="248"/>
        <v>G.Tushar</v>
      </c>
      <c r="N1442" s="6">
        <f t="shared" si="243"/>
        <v>0</v>
      </c>
      <c r="O1442" s="6">
        <f t="shared" si="242"/>
        <v>0</v>
      </c>
      <c r="P1442" s="6" t="str">
        <f t="shared" si="249"/>
        <v>N</v>
      </c>
      <c r="Q1442" s="6">
        <f t="shared" si="250"/>
        <v>18</v>
      </c>
      <c r="R1442" s="6" t="str">
        <f t="shared" si="251"/>
        <v>2018</v>
      </c>
      <c r="S1442" s="6" t="str">
        <f t="shared" si="252"/>
        <v>Jan</v>
      </c>
    </row>
    <row r="1443" spans="1:19" x14ac:dyDescent="0.25">
      <c r="A1443" s="6">
        <v>1070</v>
      </c>
      <c r="B1443" s="6" t="str">
        <f t="shared" si="244"/>
        <v>NIKTEC01070</v>
      </c>
      <c r="C1443" s="7" t="s">
        <v>915</v>
      </c>
      <c r="D1443" s="7" t="s">
        <v>1183</v>
      </c>
      <c r="E1443" s="7" t="str">
        <f t="shared" si="245"/>
        <v>MILAN MAHENDRABHAI</v>
      </c>
      <c r="F1443" s="7" t="s">
        <v>17</v>
      </c>
      <c r="G1443" s="22">
        <v>44294</v>
      </c>
      <c r="H1443" s="8">
        <v>86480</v>
      </c>
      <c r="I1443" s="7" t="str">
        <f t="shared" si="246"/>
        <v>milan.mahendrabhai@te.mai.ba</v>
      </c>
      <c r="J1443" s="6" t="s">
        <v>1539</v>
      </c>
      <c r="K1443" s="6">
        <v>62</v>
      </c>
      <c r="L1443" s="7" t="str">
        <f t="shared" si="247"/>
        <v>te.mai.ba</v>
      </c>
      <c r="M1443" s="7" t="str">
        <f t="shared" si="248"/>
        <v>M.Milan</v>
      </c>
      <c r="N1443" s="6">
        <f t="shared" si="243"/>
        <v>0</v>
      </c>
      <c r="O1443" s="6">
        <f t="shared" si="242"/>
        <v>4</v>
      </c>
      <c r="P1443" s="6" t="str">
        <f t="shared" si="249"/>
        <v>N</v>
      </c>
      <c r="Q1443" s="6">
        <f t="shared" si="250"/>
        <v>17</v>
      </c>
      <c r="R1443" s="6" t="str">
        <f t="shared" si="251"/>
        <v>2021</v>
      </c>
      <c r="S1443" s="6" t="str">
        <f t="shared" si="252"/>
        <v>Apr</v>
      </c>
    </row>
    <row r="1444" spans="1:19" x14ac:dyDescent="0.25">
      <c r="A1444" s="6">
        <v>1071</v>
      </c>
      <c r="B1444" s="6" t="str">
        <f t="shared" si="244"/>
        <v>NIKTEC01071</v>
      </c>
      <c r="C1444" s="7" t="s">
        <v>923</v>
      </c>
      <c r="D1444" s="7" t="s">
        <v>1184</v>
      </c>
      <c r="E1444" s="7" t="str">
        <f t="shared" si="245"/>
        <v>PARTH PRADIPBHAI</v>
      </c>
      <c r="F1444" s="7" t="s">
        <v>17</v>
      </c>
      <c r="G1444" s="22">
        <v>43678</v>
      </c>
      <c r="H1444" s="8">
        <v>43651</v>
      </c>
      <c r="I1444" s="7" t="str">
        <f t="shared" si="246"/>
        <v>parth.pradipbhai@te.pri.ba</v>
      </c>
      <c r="J1444" s="6" t="s">
        <v>1534</v>
      </c>
      <c r="K1444" s="6">
        <v>87</v>
      </c>
      <c r="L1444" s="7" t="str">
        <f t="shared" si="247"/>
        <v>te.pri.ba</v>
      </c>
      <c r="M1444" s="7" t="str">
        <f t="shared" si="248"/>
        <v>P.Parth</v>
      </c>
      <c r="N1444" s="6">
        <f t="shared" si="243"/>
        <v>0</v>
      </c>
      <c r="O1444" s="6">
        <f t="shared" si="242"/>
        <v>0</v>
      </c>
      <c r="P1444" s="6" t="str">
        <f t="shared" si="249"/>
        <v>N</v>
      </c>
      <c r="Q1444" s="6">
        <f t="shared" si="250"/>
        <v>15</v>
      </c>
      <c r="R1444" s="6" t="str">
        <f t="shared" si="251"/>
        <v>2019</v>
      </c>
      <c r="S1444" s="6" t="str">
        <f t="shared" si="252"/>
        <v>Aug</v>
      </c>
    </row>
    <row r="1445" spans="1:19" x14ac:dyDescent="0.25">
      <c r="A1445" s="6">
        <v>1073</v>
      </c>
      <c r="B1445" s="6" t="str">
        <f t="shared" si="244"/>
        <v>NIKTEC01073</v>
      </c>
      <c r="C1445" s="7" t="s">
        <v>864</v>
      </c>
      <c r="D1445" s="7" t="s">
        <v>68</v>
      </c>
      <c r="E1445" s="7" t="str">
        <f t="shared" si="245"/>
        <v>NAGENDRA KUMAR</v>
      </c>
      <c r="F1445" s="7" t="s">
        <v>17</v>
      </c>
      <c r="G1445" s="22">
        <v>43862</v>
      </c>
      <c r="H1445" s="8">
        <v>92496</v>
      </c>
      <c r="I1445" s="7" t="str">
        <f t="shared" si="246"/>
        <v>nagendra.kumar@te.kur.ba</v>
      </c>
      <c r="J1445" s="6" t="s">
        <v>1549</v>
      </c>
      <c r="K1445" s="6">
        <v>39</v>
      </c>
      <c r="L1445" s="7" t="str">
        <f t="shared" si="247"/>
        <v>te.kur.ba</v>
      </c>
      <c r="M1445" s="7" t="str">
        <f t="shared" si="248"/>
        <v>K.Nagendra</v>
      </c>
      <c r="N1445" s="6">
        <f t="shared" si="243"/>
        <v>4</v>
      </c>
      <c r="O1445" s="6">
        <f t="shared" si="242"/>
        <v>0</v>
      </c>
      <c r="P1445" s="6" t="str">
        <f t="shared" si="249"/>
        <v>N</v>
      </c>
      <c r="Q1445" s="6">
        <f t="shared" si="250"/>
        <v>13</v>
      </c>
      <c r="R1445" s="6" t="str">
        <f t="shared" si="251"/>
        <v>2020</v>
      </c>
      <c r="S1445" s="6" t="str">
        <f t="shared" si="252"/>
        <v>Feb</v>
      </c>
    </row>
    <row r="1446" spans="1:19" x14ac:dyDescent="0.25">
      <c r="A1446" s="6">
        <v>1079</v>
      </c>
      <c r="B1446" s="6" t="str">
        <f t="shared" si="244"/>
        <v>NIKTEC01079</v>
      </c>
      <c r="C1446" s="7" t="s">
        <v>320</v>
      </c>
      <c r="D1446" s="7" t="s">
        <v>68</v>
      </c>
      <c r="E1446" s="7" t="str">
        <f t="shared" si="245"/>
        <v>VISHAL KUMAR</v>
      </c>
      <c r="F1446" s="7" t="s">
        <v>17</v>
      </c>
      <c r="G1446" s="22">
        <v>43686</v>
      </c>
      <c r="H1446" s="8">
        <v>54598</v>
      </c>
      <c r="I1446" s="7" t="str">
        <f t="shared" si="246"/>
        <v>vishal.kumar@te.kur.ba</v>
      </c>
      <c r="J1446" s="6" t="s">
        <v>1540</v>
      </c>
      <c r="K1446" s="6">
        <v>72</v>
      </c>
      <c r="L1446" s="7" t="str">
        <f t="shared" si="247"/>
        <v>te.kur.ba</v>
      </c>
      <c r="M1446" s="7" t="str">
        <f t="shared" si="248"/>
        <v>K.Vishal</v>
      </c>
      <c r="N1446" s="6">
        <f t="shared" si="243"/>
        <v>0</v>
      </c>
      <c r="O1446" s="6">
        <f t="shared" si="242"/>
        <v>0</v>
      </c>
      <c r="P1446" s="6" t="str">
        <f t="shared" si="249"/>
        <v>N</v>
      </c>
      <c r="Q1446" s="6">
        <f t="shared" si="250"/>
        <v>11</v>
      </c>
      <c r="R1446" s="6" t="str">
        <f t="shared" si="251"/>
        <v>2019</v>
      </c>
      <c r="S1446" s="6" t="str">
        <f t="shared" si="252"/>
        <v>Aug</v>
      </c>
    </row>
    <row r="1447" spans="1:19" x14ac:dyDescent="0.25">
      <c r="A1447" s="6">
        <v>1103</v>
      </c>
      <c r="B1447" s="6" t="str">
        <f t="shared" si="244"/>
        <v>NIKTEC01103</v>
      </c>
      <c r="C1447" s="7" t="s">
        <v>283</v>
      </c>
      <c r="D1447" s="7" t="s">
        <v>289</v>
      </c>
      <c r="E1447" s="7" t="str">
        <f t="shared" si="245"/>
        <v>PRASAD PRAVIN</v>
      </c>
      <c r="F1447" s="7" t="s">
        <v>17</v>
      </c>
      <c r="G1447" s="22">
        <v>42583</v>
      </c>
      <c r="H1447" s="8">
        <v>109765</v>
      </c>
      <c r="I1447" s="7" t="str">
        <f t="shared" si="246"/>
        <v>prasad.pravin@te.prn.ba</v>
      </c>
      <c r="J1447" s="6" t="s">
        <v>1548</v>
      </c>
      <c r="K1447" s="6">
        <v>87</v>
      </c>
      <c r="L1447" s="7" t="str">
        <f t="shared" si="247"/>
        <v>te.prn.ba</v>
      </c>
      <c r="M1447" s="7" t="str">
        <f t="shared" si="248"/>
        <v>P.Prasad</v>
      </c>
      <c r="N1447" s="6">
        <f t="shared" si="243"/>
        <v>0</v>
      </c>
      <c r="O1447" s="6">
        <f t="shared" si="242"/>
        <v>0</v>
      </c>
      <c r="P1447" s="6" t="str">
        <f t="shared" si="249"/>
        <v>N</v>
      </c>
      <c r="Q1447" s="6">
        <f t="shared" si="250"/>
        <v>12</v>
      </c>
      <c r="R1447" s="6" t="str">
        <f t="shared" si="251"/>
        <v>2016</v>
      </c>
      <c r="S1447" s="6" t="str">
        <f t="shared" si="252"/>
        <v>Aug</v>
      </c>
    </row>
    <row r="1448" spans="1:19" x14ac:dyDescent="0.25">
      <c r="A1448" s="6">
        <v>1108</v>
      </c>
      <c r="B1448" s="6" t="str">
        <f t="shared" si="244"/>
        <v>NIKTEC01108</v>
      </c>
      <c r="C1448" s="7" t="s">
        <v>927</v>
      </c>
      <c r="D1448" s="7" t="s">
        <v>1214</v>
      </c>
      <c r="E1448" s="7" t="str">
        <f t="shared" si="245"/>
        <v>PRADEEP BHOLENATH</v>
      </c>
      <c r="F1448" s="7" t="s">
        <v>17</v>
      </c>
      <c r="G1448" s="22">
        <v>44543</v>
      </c>
      <c r="H1448" s="8">
        <v>31146</v>
      </c>
      <c r="I1448" s="7" t="str">
        <f t="shared" si="246"/>
        <v>pradeep.bholenath@te.bhh.ba</v>
      </c>
      <c r="J1448" s="6" t="s">
        <v>1550</v>
      </c>
      <c r="K1448" s="6">
        <v>87</v>
      </c>
      <c r="L1448" s="7" t="str">
        <f t="shared" si="247"/>
        <v>te.bhh.ba</v>
      </c>
      <c r="M1448" s="7" t="str">
        <f t="shared" si="248"/>
        <v>B.Pradeep</v>
      </c>
      <c r="N1448" s="6">
        <f t="shared" si="243"/>
        <v>5</v>
      </c>
      <c r="O1448" s="6">
        <f t="shared" si="242"/>
        <v>5</v>
      </c>
      <c r="P1448" s="6" t="str">
        <f t="shared" si="249"/>
        <v>Y</v>
      </c>
      <c r="Q1448" s="6">
        <f t="shared" si="250"/>
        <v>16</v>
      </c>
      <c r="R1448" s="6" t="str">
        <f t="shared" si="251"/>
        <v>2021</v>
      </c>
      <c r="S1448" s="6" t="str">
        <f t="shared" si="252"/>
        <v>Dec</v>
      </c>
    </row>
    <row r="1449" spans="1:19" x14ac:dyDescent="0.25">
      <c r="A1449" s="6">
        <v>1113</v>
      </c>
      <c r="B1449" s="6" t="str">
        <f t="shared" si="244"/>
        <v>NIKTEC01113</v>
      </c>
      <c r="C1449" s="7" t="s">
        <v>1039</v>
      </c>
      <c r="D1449" s="7" t="s">
        <v>55</v>
      </c>
      <c r="E1449" s="7" t="str">
        <f t="shared" si="245"/>
        <v>NEERAJ SHARMA</v>
      </c>
      <c r="F1449" s="7" t="s">
        <v>17</v>
      </c>
      <c r="G1449" s="22">
        <v>43525</v>
      </c>
      <c r="H1449" s="8">
        <v>85246</v>
      </c>
      <c r="I1449" s="7" t="str">
        <f t="shared" si="246"/>
        <v>neeraj.sharma@te.sha.ba</v>
      </c>
      <c r="J1449" s="6" t="s">
        <v>1540</v>
      </c>
      <c r="K1449" s="6">
        <v>67</v>
      </c>
      <c r="L1449" s="7" t="str">
        <f t="shared" si="247"/>
        <v>te.sha.ba</v>
      </c>
      <c r="M1449" s="7" t="str">
        <f t="shared" si="248"/>
        <v>S.Neeraj</v>
      </c>
      <c r="N1449" s="6">
        <f t="shared" si="243"/>
        <v>2</v>
      </c>
      <c r="O1449" s="6">
        <f t="shared" si="242"/>
        <v>0</v>
      </c>
      <c r="P1449" s="6" t="str">
        <f t="shared" si="249"/>
        <v>N</v>
      </c>
      <c r="Q1449" s="6">
        <f t="shared" si="250"/>
        <v>12</v>
      </c>
      <c r="R1449" s="6" t="str">
        <f t="shared" si="251"/>
        <v>2019</v>
      </c>
      <c r="S1449" s="6" t="str">
        <f t="shared" si="252"/>
        <v>Mar</v>
      </c>
    </row>
    <row r="1450" spans="1:19" x14ac:dyDescent="0.25">
      <c r="A1450" s="6">
        <v>1117</v>
      </c>
      <c r="B1450" s="6" t="str">
        <f t="shared" si="244"/>
        <v>NIKTEC01117</v>
      </c>
      <c r="C1450" s="7" t="s">
        <v>449</v>
      </c>
      <c r="D1450" s="7" t="s">
        <v>450</v>
      </c>
      <c r="E1450" s="7" t="str">
        <f t="shared" si="245"/>
        <v>ATUL VISHWAS</v>
      </c>
      <c r="F1450" s="7" t="s">
        <v>17</v>
      </c>
      <c r="G1450" s="22">
        <v>42625</v>
      </c>
      <c r="H1450" s="8">
        <v>109119</v>
      </c>
      <c r="I1450" s="7" t="str">
        <f t="shared" si="246"/>
        <v>atul.vishwas@te.vis.ba</v>
      </c>
      <c r="J1450" s="6" t="s">
        <v>1542</v>
      </c>
      <c r="K1450" s="6">
        <v>54</v>
      </c>
      <c r="L1450" s="7" t="str">
        <f t="shared" si="247"/>
        <v>te.vis.ba</v>
      </c>
      <c r="M1450" s="7" t="str">
        <f t="shared" si="248"/>
        <v>V.Atul</v>
      </c>
      <c r="N1450" s="6">
        <f t="shared" si="243"/>
        <v>0</v>
      </c>
      <c r="O1450" s="6">
        <f t="shared" si="242"/>
        <v>0</v>
      </c>
      <c r="P1450" s="6" t="str">
        <f t="shared" si="249"/>
        <v>N</v>
      </c>
      <c r="Q1450" s="6">
        <f t="shared" si="250"/>
        <v>11</v>
      </c>
      <c r="R1450" s="6" t="str">
        <f t="shared" si="251"/>
        <v>2016</v>
      </c>
      <c r="S1450" s="6" t="str">
        <f t="shared" si="252"/>
        <v>Sep</v>
      </c>
    </row>
    <row r="1451" spans="1:19" x14ac:dyDescent="0.25">
      <c r="A1451" s="6">
        <v>1132</v>
      </c>
      <c r="B1451" s="6" t="str">
        <f t="shared" si="244"/>
        <v>NIKTEC01132</v>
      </c>
      <c r="C1451" s="7" t="s">
        <v>1231</v>
      </c>
      <c r="D1451" s="7" t="s">
        <v>55</v>
      </c>
      <c r="E1451" s="7" t="str">
        <f t="shared" si="245"/>
        <v>UMA SHARMA</v>
      </c>
      <c r="F1451" s="7" t="s">
        <v>17</v>
      </c>
      <c r="G1451" s="22">
        <v>42812</v>
      </c>
      <c r="H1451" s="8">
        <v>62173</v>
      </c>
      <c r="I1451" s="7" t="str">
        <f t="shared" si="246"/>
        <v>uma.sharma@te.sha.ba</v>
      </c>
      <c r="J1451" s="6" t="s">
        <v>1547</v>
      </c>
      <c r="K1451" s="6">
        <v>87</v>
      </c>
      <c r="L1451" s="7" t="str">
        <f t="shared" si="247"/>
        <v>te.sha.ba</v>
      </c>
      <c r="M1451" s="7" t="str">
        <f t="shared" si="248"/>
        <v>S.Uma</v>
      </c>
      <c r="N1451" s="6">
        <f t="shared" si="243"/>
        <v>0</v>
      </c>
      <c r="O1451" s="6">
        <f t="shared" si="242"/>
        <v>0</v>
      </c>
      <c r="P1451" s="6" t="str">
        <f t="shared" si="249"/>
        <v>N</v>
      </c>
      <c r="Q1451" s="6">
        <f t="shared" si="250"/>
        <v>9</v>
      </c>
      <c r="R1451" s="6" t="str">
        <f t="shared" si="251"/>
        <v>2017</v>
      </c>
      <c r="S1451" s="6" t="str">
        <f t="shared" si="252"/>
        <v>Mar</v>
      </c>
    </row>
    <row r="1452" spans="1:19" x14ac:dyDescent="0.25">
      <c r="A1452" s="6">
        <v>1139</v>
      </c>
      <c r="B1452" s="6" t="str">
        <f t="shared" si="244"/>
        <v>NIKTEC01139</v>
      </c>
      <c r="C1452" s="7" t="s">
        <v>756</v>
      </c>
      <c r="D1452" s="7" t="s">
        <v>55</v>
      </c>
      <c r="E1452" s="7" t="str">
        <f t="shared" si="245"/>
        <v>DILEEP SHARMA</v>
      </c>
      <c r="F1452" s="7" t="s">
        <v>17</v>
      </c>
      <c r="G1452" s="22">
        <v>43479</v>
      </c>
      <c r="H1452" s="8">
        <v>30055</v>
      </c>
      <c r="I1452" s="7" t="str">
        <f t="shared" si="246"/>
        <v>dileep.sharma@te.sha.ba</v>
      </c>
      <c r="J1452" s="6" t="s">
        <v>1540</v>
      </c>
      <c r="K1452" s="6">
        <v>50</v>
      </c>
      <c r="L1452" s="7" t="str">
        <f t="shared" si="247"/>
        <v>te.sha.ba</v>
      </c>
      <c r="M1452" s="7" t="str">
        <f t="shared" si="248"/>
        <v>S.Dileep</v>
      </c>
      <c r="N1452" s="6">
        <f t="shared" si="243"/>
        <v>4</v>
      </c>
      <c r="O1452" s="6">
        <f t="shared" ref="O1452:O1490" si="253">IFERROR(SEARCH("e",D1452),0)</f>
        <v>0</v>
      </c>
      <c r="P1452" s="6" t="str">
        <f t="shared" si="249"/>
        <v>N</v>
      </c>
      <c r="Q1452" s="6">
        <f t="shared" si="250"/>
        <v>12</v>
      </c>
      <c r="R1452" s="6" t="str">
        <f t="shared" si="251"/>
        <v>2019</v>
      </c>
      <c r="S1452" s="6" t="str">
        <f t="shared" si="252"/>
        <v>Jan</v>
      </c>
    </row>
    <row r="1453" spans="1:19" x14ac:dyDescent="0.25">
      <c r="A1453" s="6">
        <v>1141</v>
      </c>
      <c r="B1453" s="6" t="str">
        <f t="shared" si="244"/>
        <v>NIKTEC01141</v>
      </c>
      <c r="C1453" s="7" t="s">
        <v>1237</v>
      </c>
      <c r="D1453" s="7" t="s">
        <v>1238</v>
      </c>
      <c r="E1453" s="7" t="str">
        <f t="shared" si="245"/>
        <v>PRIYANSHI KULSHRESTHA</v>
      </c>
      <c r="F1453" s="7" t="s">
        <v>17</v>
      </c>
      <c r="G1453" s="22">
        <v>42170</v>
      </c>
      <c r="H1453" s="8">
        <v>91941</v>
      </c>
      <c r="I1453" s="7" t="str">
        <f t="shared" si="246"/>
        <v>priyanshi.kulshrestha@te.kua.ba</v>
      </c>
      <c r="J1453" s="6" t="s">
        <v>1545</v>
      </c>
      <c r="K1453" s="6">
        <v>45</v>
      </c>
      <c r="L1453" s="7" t="str">
        <f t="shared" si="247"/>
        <v>te.kua.ba</v>
      </c>
      <c r="M1453" s="7" t="str">
        <f t="shared" si="248"/>
        <v>K.Priyanshi</v>
      </c>
      <c r="N1453" s="6">
        <f t="shared" si="243"/>
        <v>0</v>
      </c>
      <c r="O1453" s="6">
        <f t="shared" si="253"/>
        <v>7</v>
      </c>
      <c r="P1453" s="6" t="str">
        <f t="shared" si="249"/>
        <v>N</v>
      </c>
      <c r="Q1453" s="6">
        <f t="shared" si="250"/>
        <v>20</v>
      </c>
      <c r="R1453" s="6" t="str">
        <f t="shared" si="251"/>
        <v>2015</v>
      </c>
      <c r="S1453" s="6" t="str">
        <f t="shared" si="252"/>
        <v>Jun</v>
      </c>
    </row>
    <row r="1454" spans="1:19" x14ac:dyDescent="0.25">
      <c r="A1454" s="6">
        <v>1165</v>
      </c>
      <c r="B1454" s="6" t="str">
        <f t="shared" si="244"/>
        <v>NIKTEC01165</v>
      </c>
      <c r="C1454" s="7" t="s">
        <v>132</v>
      </c>
      <c r="D1454" s="7" t="s">
        <v>140</v>
      </c>
      <c r="E1454" s="7" t="str">
        <f t="shared" si="245"/>
        <v>DHIRENDRA MISHRA</v>
      </c>
      <c r="F1454" s="7" t="s">
        <v>17</v>
      </c>
      <c r="G1454" s="22">
        <v>44536</v>
      </c>
      <c r="H1454" s="8">
        <v>104731</v>
      </c>
      <c r="I1454" s="7" t="str">
        <f t="shared" si="246"/>
        <v>dhirendra.mishra@te.mia.ba</v>
      </c>
      <c r="J1454" s="6" t="s">
        <v>1533</v>
      </c>
      <c r="K1454" s="6">
        <v>64</v>
      </c>
      <c r="L1454" s="7" t="str">
        <f t="shared" si="247"/>
        <v>te.mia.ba</v>
      </c>
      <c r="M1454" s="7" t="str">
        <f t="shared" si="248"/>
        <v>M.Dhirendra</v>
      </c>
      <c r="N1454" s="6">
        <f t="shared" ref="N1454:N1489" si="254">IFERROR(SEARCH("e",C1454),0)</f>
        <v>5</v>
      </c>
      <c r="O1454" s="6">
        <f t="shared" si="253"/>
        <v>0</v>
      </c>
      <c r="P1454" s="6" t="str">
        <f t="shared" si="249"/>
        <v>N</v>
      </c>
      <c r="Q1454" s="6">
        <f t="shared" si="250"/>
        <v>15</v>
      </c>
      <c r="R1454" s="6" t="str">
        <f t="shared" si="251"/>
        <v>2021</v>
      </c>
      <c r="S1454" s="6" t="str">
        <f t="shared" si="252"/>
        <v>Dec</v>
      </c>
    </row>
    <row r="1455" spans="1:19" x14ac:dyDescent="0.25">
      <c r="A1455" s="6">
        <v>1177</v>
      </c>
      <c r="B1455" s="6" t="str">
        <f t="shared" si="244"/>
        <v>NIKTEC01177</v>
      </c>
      <c r="C1455" s="7" t="s">
        <v>38</v>
      </c>
      <c r="D1455" s="7"/>
      <c r="E1455" s="7" t="str">
        <f t="shared" si="245"/>
        <v>SUHANI</v>
      </c>
      <c r="F1455" s="7" t="s">
        <v>17</v>
      </c>
      <c r="G1455" s="22">
        <v>44137</v>
      </c>
      <c r="H1455" s="8">
        <v>106341</v>
      </c>
      <c r="I1455" s="7" t="str">
        <f t="shared" si="246"/>
        <v>suhani.@te..ba</v>
      </c>
      <c r="J1455" s="6" t="s">
        <v>1534</v>
      </c>
      <c r="K1455" s="6">
        <v>63</v>
      </c>
      <c r="L1455" s="7" t="str">
        <f t="shared" si="247"/>
        <v>te..ba</v>
      </c>
      <c r="M1455" s="7" t="str">
        <f t="shared" si="248"/>
        <v>.Suhani</v>
      </c>
      <c r="N1455" s="6">
        <f t="shared" si="254"/>
        <v>0</v>
      </c>
      <c r="O1455" s="6">
        <f t="shared" si="253"/>
        <v>0</v>
      </c>
      <c r="P1455" s="6" t="str">
        <f t="shared" si="249"/>
        <v>N</v>
      </c>
      <c r="Q1455" s="6">
        <f t="shared" si="250"/>
        <v>6</v>
      </c>
      <c r="R1455" s="6" t="str">
        <f t="shared" si="251"/>
        <v>2020</v>
      </c>
      <c r="S1455" s="6" t="str">
        <f t="shared" si="252"/>
        <v>Nov</v>
      </c>
    </row>
    <row r="1456" spans="1:19" x14ac:dyDescent="0.25">
      <c r="A1456" s="6">
        <v>1182</v>
      </c>
      <c r="B1456" s="6" t="str">
        <f t="shared" si="244"/>
        <v>NIKTEC01182</v>
      </c>
      <c r="C1456" s="7" t="s">
        <v>1261</v>
      </c>
      <c r="D1456" s="7" t="s">
        <v>68</v>
      </c>
      <c r="E1456" s="7" t="str">
        <f t="shared" si="245"/>
        <v>DEEPESH KUMAR</v>
      </c>
      <c r="F1456" s="7" t="s">
        <v>17</v>
      </c>
      <c r="G1456" s="22">
        <v>44543</v>
      </c>
      <c r="H1456" s="8">
        <v>37160</v>
      </c>
      <c r="I1456" s="7" t="str">
        <f t="shared" si="246"/>
        <v>deepesh.kumar@te.kur.ba</v>
      </c>
      <c r="J1456" s="6" t="s">
        <v>1538</v>
      </c>
      <c r="K1456" s="6">
        <v>52</v>
      </c>
      <c r="L1456" s="7" t="str">
        <f t="shared" si="247"/>
        <v>te.kur.ba</v>
      </c>
      <c r="M1456" s="7" t="str">
        <f t="shared" si="248"/>
        <v>K.Deepesh</v>
      </c>
      <c r="N1456" s="6">
        <f t="shared" si="254"/>
        <v>2</v>
      </c>
      <c r="O1456" s="6">
        <f t="shared" si="253"/>
        <v>0</v>
      </c>
      <c r="P1456" s="6" t="str">
        <f t="shared" si="249"/>
        <v>N</v>
      </c>
      <c r="Q1456" s="6">
        <f t="shared" si="250"/>
        <v>12</v>
      </c>
      <c r="R1456" s="6" t="str">
        <f t="shared" si="251"/>
        <v>2021</v>
      </c>
      <c r="S1456" s="6" t="str">
        <f t="shared" si="252"/>
        <v>Dec</v>
      </c>
    </row>
    <row r="1457" spans="1:19" x14ac:dyDescent="0.25">
      <c r="A1457" s="6">
        <v>1183</v>
      </c>
      <c r="B1457" s="6" t="str">
        <f t="shared" si="244"/>
        <v>NIKTEC01183</v>
      </c>
      <c r="C1457" s="7" t="s">
        <v>1262</v>
      </c>
      <c r="D1457" s="7" t="s">
        <v>1263</v>
      </c>
      <c r="E1457" s="7" t="str">
        <f t="shared" si="245"/>
        <v>FALGUNIBEN SHALIN</v>
      </c>
      <c r="F1457" s="7" t="s">
        <v>17</v>
      </c>
      <c r="G1457" s="22">
        <v>44515</v>
      </c>
      <c r="H1457" s="8">
        <v>34131</v>
      </c>
      <c r="I1457" s="7" t="str">
        <f t="shared" si="246"/>
        <v>falguniben.shalin@te.shn.ba</v>
      </c>
      <c r="J1457" s="6" t="s">
        <v>1535</v>
      </c>
      <c r="K1457" s="6">
        <v>66</v>
      </c>
      <c r="L1457" s="7" t="str">
        <f t="shared" si="247"/>
        <v>te.shn.ba</v>
      </c>
      <c r="M1457" s="7" t="str">
        <f t="shared" si="248"/>
        <v>S.Falguniben</v>
      </c>
      <c r="N1457" s="6">
        <f t="shared" si="254"/>
        <v>9</v>
      </c>
      <c r="O1457" s="6">
        <f t="shared" si="253"/>
        <v>0</v>
      </c>
      <c r="P1457" s="6" t="str">
        <f t="shared" si="249"/>
        <v>N</v>
      </c>
      <c r="Q1457" s="6">
        <f t="shared" si="250"/>
        <v>16</v>
      </c>
      <c r="R1457" s="6" t="str">
        <f t="shared" si="251"/>
        <v>2021</v>
      </c>
      <c r="S1457" s="6" t="str">
        <f t="shared" si="252"/>
        <v>Nov</v>
      </c>
    </row>
    <row r="1458" spans="1:19" x14ac:dyDescent="0.25">
      <c r="A1458" s="6">
        <v>1204</v>
      </c>
      <c r="B1458" s="6" t="str">
        <f t="shared" si="244"/>
        <v>NIKTEC01204</v>
      </c>
      <c r="C1458" s="7" t="s">
        <v>1278</v>
      </c>
      <c r="D1458" s="7" t="s">
        <v>1279</v>
      </c>
      <c r="E1458" s="7" t="str">
        <f t="shared" si="245"/>
        <v>VARSANI SWATI</v>
      </c>
      <c r="F1458" s="7" t="s">
        <v>17</v>
      </c>
      <c r="G1458" s="22">
        <v>44655</v>
      </c>
      <c r="H1458" s="8">
        <v>97016</v>
      </c>
      <c r="I1458" s="7" t="str">
        <f t="shared" si="246"/>
        <v>varsani.swati@te.swi.ba</v>
      </c>
      <c r="J1458" s="6" t="s">
        <v>1545</v>
      </c>
      <c r="K1458" s="6">
        <v>52</v>
      </c>
      <c r="L1458" s="7" t="str">
        <f t="shared" si="247"/>
        <v>te.swi.ba</v>
      </c>
      <c r="M1458" s="7" t="str">
        <f t="shared" si="248"/>
        <v>S.Varsani</v>
      </c>
      <c r="N1458" s="6">
        <f t="shared" si="254"/>
        <v>0</v>
      </c>
      <c r="O1458" s="6">
        <f t="shared" si="253"/>
        <v>0</v>
      </c>
      <c r="P1458" s="6" t="str">
        <f t="shared" si="249"/>
        <v>N</v>
      </c>
      <c r="Q1458" s="6">
        <f t="shared" si="250"/>
        <v>12</v>
      </c>
      <c r="R1458" s="6" t="str">
        <f t="shared" si="251"/>
        <v>2022</v>
      </c>
      <c r="S1458" s="6" t="str">
        <f t="shared" si="252"/>
        <v>Apr</v>
      </c>
    </row>
    <row r="1459" spans="1:19" x14ac:dyDescent="0.25">
      <c r="A1459" s="6">
        <v>1206</v>
      </c>
      <c r="B1459" s="6" t="str">
        <f t="shared" si="244"/>
        <v>NIKTEC01206</v>
      </c>
      <c r="C1459" s="7" t="s">
        <v>43</v>
      </c>
      <c r="D1459" s="7"/>
      <c r="E1459" s="7" t="str">
        <f t="shared" si="245"/>
        <v>PRERNA</v>
      </c>
      <c r="F1459" s="7" t="s">
        <v>17</v>
      </c>
      <c r="G1459" s="22">
        <v>44440</v>
      </c>
      <c r="H1459" s="8">
        <v>101774</v>
      </c>
      <c r="I1459" s="7" t="str">
        <f t="shared" si="246"/>
        <v>prerna.@te..ba</v>
      </c>
      <c r="J1459" s="6" t="s">
        <v>1543</v>
      </c>
      <c r="K1459" s="6">
        <v>54</v>
      </c>
      <c r="L1459" s="7" t="str">
        <f t="shared" si="247"/>
        <v>te..ba</v>
      </c>
      <c r="M1459" s="7" t="str">
        <f t="shared" si="248"/>
        <v>.Prerna</v>
      </c>
      <c r="N1459" s="6">
        <f t="shared" si="254"/>
        <v>3</v>
      </c>
      <c r="O1459" s="6">
        <f t="shared" si="253"/>
        <v>0</v>
      </c>
      <c r="P1459" s="6" t="str">
        <f t="shared" si="249"/>
        <v>N</v>
      </c>
      <c r="Q1459" s="6">
        <f t="shared" si="250"/>
        <v>6</v>
      </c>
      <c r="R1459" s="6" t="str">
        <f t="shared" si="251"/>
        <v>2021</v>
      </c>
      <c r="S1459" s="6" t="str">
        <f t="shared" si="252"/>
        <v>Sep</v>
      </c>
    </row>
    <row r="1460" spans="1:19" x14ac:dyDescent="0.25">
      <c r="A1460" s="6">
        <v>1207</v>
      </c>
      <c r="B1460" s="6" t="str">
        <f t="shared" si="244"/>
        <v>NIKTEC01207</v>
      </c>
      <c r="C1460" s="7" t="s">
        <v>23</v>
      </c>
      <c r="D1460" s="7"/>
      <c r="E1460" s="7" t="str">
        <f t="shared" si="245"/>
        <v>ROHIT</v>
      </c>
      <c r="F1460" s="7" t="s">
        <v>17</v>
      </c>
      <c r="G1460" s="22">
        <v>43178</v>
      </c>
      <c r="H1460" s="8">
        <v>80654</v>
      </c>
      <c r="I1460" s="7" t="str">
        <f t="shared" si="246"/>
        <v>rohit.@te..ba</v>
      </c>
      <c r="J1460" s="6" t="s">
        <v>1538</v>
      </c>
      <c r="K1460" s="6">
        <v>74</v>
      </c>
      <c r="L1460" s="7" t="str">
        <f t="shared" si="247"/>
        <v>te..ba</v>
      </c>
      <c r="M1460" s="7" t="str">
        <f t="shared" si="248"/>
        <v>.Rohit</v>
      </c>
      <c r="N1460" s="6">
        <f t="shared" si="254"/>
        <v>0</v>
      </c>
      <c r="O1460" s="6">
        <f t="shared" si="253"/>
        <v>0</v>
      </c>
      <c r="P1460" s="6" t="str">
        <f t="shared" si="249"/>
        <v>N</v>
      </c>
      <c r="Q1460" s="6">
        <f t="shared" si="250"/>
        <v>5</v>
      </c>
      <c r="R1460" s="6" t="str">
        <f t="shared" si="251"/>
        <v>2018</v>
      </c>
      <c r="S1460" s="6" t="str">
        <f t="shared" si="252"/>
        <v>Mar</v>
      </c>
    </row>
    <row r="1461" spans="1:19" x14ac:dyDescent="0.25">
      <c r="A1461" s="6">
        <v>1209</v>
      </c>
      <c r="B1461" s="6" t="str">
        <f t="shared" si="244"/>
        <v>NIKTEC01209</v>
      </c>
      <c r="C1461" s="7" t="s">
        <v>1282</v>
      </c>
      <c r="D1461" s="7" t="s">
        <v>1283</v>
      </c>
      <c r="E1461" s="7" t="str">
        <f t="shared" si="245"/>
        <v>ROCHELLE SEQUEIRA</v>
      </c>
      <c r="F1461" s="7" t="s">
        <v>17</v>
      </c>
      <c r="G1461" s="22">
        <v>44634</v>
      </c>
      <c r="H1461" s="8">
        <v>65492</v>
      </c>
      <c r="I1461" s="7" t="str">
        <f t="shared" si="246"/>
        <v>rochelle.sequeira@te.sea.ba</v>
      </c>
      <c r="J1461" s="6" t="s">
        <v>1532</v>
      </c>
      <c r="K1461" s="6">
        <v>90</v>
      </c>
      <c r="L1461" s="7" t="str">
        <f t="shared" si="247"/>
        <v>te.sea.ba</v>
      </c>
      <c r="M1461" s="7" t="str">
        <f t="shared" si="248"/>
        <v>S.Rochelle</v>
      </c>
      <c r="N1461" s="6">
        <f t="shared" si="254"/>
        <v>5</v>
      </c>
      <c r="O1461" s="6">
        <f t="shared" si="253"/>
        <v>2</v>
      </c>
      <c r="P1461" s="6" t="str">
        <f t="shared" si="249"/>
        <v>Y</v>
      </c>
      <c r="Q1461" s="6">
        <f t="shared" si="250"/>
        <v>16</v>
      </c>
      <c r="R1461" s="6" t="str">
        <f t="shared" si="251"/>
        <v>2022</v>
      </c>
      <c r="S1461" s="6" t="str">
        <f t="shared" si="252"/>
        <v>Mar</v>
      </c>
    </row>
    <row r="1462" spans="1:19" x14ac:dyDescent="0.25">
      <c r="A1462" s="6">
        <v>1210</v>
      </c>
      <c r="B1462" s="6" t="str">
        <f t="shared" si="244"/>
        <v>NIKTEC01210</v>
      </c>
      <c r="C1462" s="7" t="s">
        <v>166</v>
      </c>
      <c r="D1462" s="7" t="s">
        <v>1284</v>
      </c>
      <c r="E1462" s="7" t="str">
        <f t="shared" si="245"/>
        <v>NEHA RAJPAL</v>
      </c>
      <c r="F1462" s="7" t="s">
        <v>17</v>
      </c>
      <c r="G1462" s="22">
        <v>42646</v>
      </c>
      <c r="H1462" s="8">
        <v>32916</v>
      </c>
      <c r="I1462" s="7" t="str">
        <f t="shared" si="246"/>
        <v>neha.rajpal@te.ral.ba</v>
      </c>
      <c r="J1462" s="6" t="s">
        <v>1547</v>
      </c>
      <c r="K1462" s="6">
        <v>38</v>
      </c>
      <c r="L1462" s="7" t="str">
        <f t="shared" si="247"/>
        <v>te.ral.ba</v>
      </c>
      <c r="M1462" s="7" t="str">
        <f t="shared" si="248"/>
        <v>R.Neha</v>
      </c>
      <c r="N1462" s="6">
        <f t="shared" si="254"/>
        <v>2</v>
      </c>
      <c r="O1462" s="6">
        <f t="shared" si="253"/>
        <v>0</v>
      </c>
      <c r="P1462" s="6" t="str">
        <f t="shared" si="249"/>
        <v>N</v>
      </c>
      <c r="Q1462" s="6">
        <f t="shared" si="250"/>
        <v>10</v>
      </c>
      <c r="R1462" s="6" t="str">
        <f t="shared" si="251"/>
        <v>2016</v>
      </c>
      <c r="S1462" s="6" t="str">
        <f t="shared" si="252"/>
        <v>Oct</v>
      </c>
    </row>
    <row r="1463" spans="1:19" x14ac:dyDescent="0.25">
      <c r="A1463" s="6">
        <v>1214</v>
      </c>
      <c r="B1463" s="6" t="str">
        <f t="shared" si="244"/>
        <v>NIKTEC01214</v>
      </c>
      <c r="C1463" s="7" t="s">
        <v>1286</v>
      </c>
      <c r="D1463" s="7" t="s">
        <v>1287</v>
      </c>
      <c r="E1463" s="7" t="str">
        <f t="shared" si="245"/>
        <v>NIYATI SHAILESHKUMAR</v>
      </c>
      <c r="F1463" s="7" t="s">
        <v>17</v>
      </c>
      <c r="G1463" s="22">
        <v>44235</v>
      </c>
      <c r="H1463" s="8">
        <v>44917</v>
      </c>
      <c r="I1463" s="7" t="str">
        <f t="shared" si="246"/>
        <v>niyati.shaileshkumar@te.shr.ba</v>
      </c>
      <c r="J1463" s="6" t="s">
        <v>1539</v>
      </c>
      <c r="K1463" s="6">
        <v>47</v>
      </c>
      <c r="L1463" s="7" t="str">
        <f t="shared" si="247"/>
        <v>te.shr.ba</v>
      </c>
      <c r="M1463" s="7" t="str">
        <f t="shared" si="248"/>
        <v>S.Niyati</v>
      </c>
      <c r="N1463" s="6">
        <f t="shared" si="254"/>
        <v>0</v>
      </c>
      <c r="O1463" s="6">
        <f t="shared" si="253"/>
        <v>6</v>
      </c>
      <c r="P1463" s="6" t="str">
        <f t="shared" si="249"/>
        <v>N</v>
      </c>
      <c r="Q1463" s="6">
        <f t="shared" si="250"/>
        <v>19</v>
      </c>
      <c r="R1463" s="6" t="str">
        <f t="shared" si="251"/>
        <v>2021</v>
      </c>
      <c r="S1463" s="6" t="str">
        <f t="shared" si="252"/>
        <v>Feb</v>
      </c>
    </row>
    <row r="1464" spans="1:19" x14ac:dyDescent="0.25">
      <c r="A1464" s="6">
        <v>1227</v>
      </c>
      <c r="B1464" s="6" t="str">
        <f t="shared" si="244"/>
        <v>NIKTEC01227</v>
      </c>
      <c r="C1464" s="7" t="s">
        <v>1299</v>
      </c>
      <c r="D1464" s="7" t="s">
        <v>206</v>
      </c>
      <c r="E1464" s="7" t="str">
        <f t="shared" si="245"/>
        <v>UMASHANKAR SONI</v>
      </c>
      <c r="F1464" s="7" t="s">
        <v>17</v>
      </c>
      <c r="G1464" s="22">
        <v>42949</v>
      </c>
      <c r="H1464" s="8">
        <v>31762</v>
      </c>
      <c r="I1464" s="7" t="str">
        <f t="shared" si="246"/>
        <v>umashankar.soni@te.soi.ba</v>
      </c>
      <c r="J1464" s="6" t="s">
        <v>1546</v>
      </c>
      <c r="K1464" s="6">
        <v>36</v>
      </c>
      <c r="L1464" s="7" t="str">
        <f t="shared" si="247"/>
        <v>te.soi.ba</v>
      </c>
      <c r="M1464" s="7" t="str">
        <f t="shared" si="248"/>
        <v>S.Umashankar</v>
      </c>
      <c r="N1464" s="6">
        <f t="shared" si="254"/>
        <v>0</v>
      </c>
      <c r="O1464" s="6">
        <f t="shared" si="253"/>
        <v>0</v>
      </c>
      <c r="P1464" s="6" t="str">
        <f t="shared" si="249"/>
        <v>N</v>
      </c>
      <c r="Q1464" s="6">
        <f t="shared" si="250"/>
        <v>14</v>
      </c>
      <c r="R1464" s="6" t="str">
        <f t="shared" si="251"/>
        <v>2017</v>
      </c>
      <c r="S1464" s="6" t="str">
        <f t="shared" si="252"/>
        <v>Aug</v>
      </c>
    </row>
    <row r="1465" spans="1:19" x14ac:dyDescent="0.25">
      <c r="A1465" s="6">
        <v>1244</v>
      </c>
      <c r="B1465" s="6" t="str">
        <f t="shared" si="244"/>
        <v>NIKTEC01244</v>
      </c>
      <c r="C1465" s="7" t="s">
        <v>1072</v>
      </c>
      <c r="D1465" s="7" t="s">
        <v>68</v>
      </c>
      <c r="E1465" s="7" t="str">
        <f t="shared" si="245"/>
        <v>AMAN KUMAR</v>
      </c>
      <c r="F1465" s="7" t="s">
        <v>17</v>
      </c>
      <c r="G1465" s="22">
        <v>44630</v>
      </c>
      <c r="H1465" s="8">
        <v>69335</v>
      </c>
      <c r="I1465" s="7" t="str">
        <f t="shared" si="246"/>
        <v>aman.kumar@te.kur.ba</v>
      </c>
      <c r="J1465" s="6" t="s">
        <v>1536</v>
      </c>
      <c r="K1465" s="6">
        <v>56</v>
      </c>
      <c r="L1465" s="7" t="str">
        <f t="shared" si="247"/>
        <v>te.kur.ba</v>
      </c>
      <c r="M1465" s="7" t="str">
        <f t="shared" si="248"/>
        <v>K.Aman</v>
      </c>
      <c r="N1465" s="6">
        <f t="shared" si="254"/>
        <v>0</v>
      </c>
      <c r="O1465" s="6">
        <f t="shared" si="253"/>
        <v>0</v>
      </c>
      <c r="P1465" s="6" t="str">
        <f t="shared" si="249"/>
        <v>N</v>
      </c>
      <c r="Q1465" s="6">
        <f t="shared" si="250"/>
        <v>9</v>
      </c>
      <c r="R1465" s="6" t="str">
        <f t="shared" si="251"/>
        <v>2022</v>
      </c>
      <c r="S1465" s="6" t="str">
        <f t="shared" si="252"/>
        <v>Mar</v>
      </c>
    </row>
    <row r="1466" spans="1:19" x14ac:dyDescent="0.25">
      <c r="A1466" s="6">
        <v>1252</v>
      </c>
      <c r="B1466" s="6" t="str">
        <f t="shared" si="244"/>
        <v>NIKTEC01252</v>
      </c>
      <c r="C1466" s="7" t="s">
        <v>1319</v>
      </c>
      <c r="D1466" s="7" t="s">
        <v>70</v>
      </c>
      <c r="E1466" s="7" t="str">
        <f t="shared" si="245"/>
        <v>MANVENDRA SINGH</v>
      </c>
      <c r="F1466" s="7" t="s">
        <v>17</v>
      </c>
      <c r="G1466" s="22">
        <v>44622</v>
      </c>
      <c r="H1466" s="8">
        <v>94863</v>
      </c>
      <c r="I1466" s="7" t="str">
        <f t="shared" si="246"/>
        <v>manvendra.singh@te.sih.ba</v>
      </c>
      <c r="J1466" s="6" t="s">
        <v>1544</v>
      </c>
      <c r="K1466" s="6">
        <v>64</v>
      </c>
      <c r="L1466" s="7" t="str">
        <f t="shared" si="247"/>
        <v>te.sih.ba</v>
      </c>
      <c r="M1466" s="7" t="str">
        <f t="shared" si="248"/>
        <v>S.Manvendra</v>
      </c>
      <c r="N1466" s="6">
        <f t="shared" si="254"/>
        <v>5</v>
      </c>
      <c r="O1466" s="6">
        <f t="shared" si="253"/>
        <v>0</v>
      </c>
      <c r="P1466" s="6" t="str">
        <f t="shared" si="249"/>
        <v>N</v>
      </c>
      <c r="Q1466" s="6">
        <f t="shared" si="250"/>
        <v>14</v>
      </c>
      <c r="R1466" s="6" t="str">
        <f t="shared" si="251"/>
        <v>2022</v>
      </c>
      <c r="S1466" s="6" t="str">
        <f t="shared" si="252"/>
        <v>Mar</v>
      </c>
    </row>
    <row r="1467" spans="1:19" x14ac:dyDescent="0.25">
      <c r="A1467" s="6">
        <v>1277</v>
      </c>
      <c r="B1467" s="6" t="str">
        <f t="shared" si="244"/>
        <v>NIKTEC01277</v>
      </c>
      <c r="C1467" s="7" t="s">
        <v>569</v>
      </c>
      <c r="D1467" s="7" t="s">
        <v>70</v>
      </c>
      <c r="E1467" s="7" t="str">
        <f t="shared" si="245"/>
        <v>AYUSHI SINGH</v>
      </c>
      <c r="F1467" s="7" t="s">
        <v>17</v>
      </c>
      <c r="G1467" s="22">
        <v>44663</v>
      </c>
      <c r="H1467" s="8">
        <v>74835</v>
      </c>
      <c r="I1467" s="7" t="str">
        <f t="shared" si="246"/>
        <v>ayushi.singh@te.sih.ba</v>
      </c>
      <c r="J1467" s="6" t="s">
        <v>1546</v>
      </c>
      <c r="K1467" s="6">
        <v>54</v>
      </c>
      <c r="L1467" s="7" t="str">
        <f t="shared" si="247"/>
        <v>te.sih.ba</v>
      </c>
      <c r="M1467" s="7" t="str">
        <f t="shared" si="248"/>
        <v>S.Ayushi</v>
      </c>
      <c r="N1467" s="6">
        <f t="shared" si="254"/>
        <v>0</v>
      </c>
      <c r="O1467" s="6">
        <f t="shared" si="253"/>
        <v>0</v>
      </c>
      <c r="P1467" s="6" t="str">
        <f t="shared" si="249"/>
        <v>N</v>
      </c>
      <c r="Q1467" s="6">
        <f t="shared" si="250"/>
        <v>11</v>
      </c>
      <c r="R1467" s="6" t="str">
        <f t="shared" si="251"/>
        <v>2022</v>
      </c>
      <c r="S1467" s="6" t="str">
        <f t="shared" si="252"/>
        <v>Apr</v>
      </c>
    </row>
    <row r="1468" spans="1:19" x14ac:dyDescent="0.25">
      <c r="A1468" s="6">
        <v>1279</v>
      </c>
      <c r="B1468" s="6" t="str">
        <f t="shared" si="244"/>
        <v>NIKTEC01279</v>
      </c>
      <c r="C1468" s="7" t="s">
        <v>538</v>
      </c>
      <c r="D1468" s="7" t="s">
        <v>179</v>
      </c>
      <c r="E1468" s="7" t="str">
        <f t="shared" si="245"/>
        <v>SHIVANGI GUPTA</v>
      </c>
      <c r="F1468" s="7" t="s">
        <v>17</v>
      </c>
      <c r="G1468" s="22">
        <v>44730</v>
      </c>
      <c r="H1468" s="8">
        <v>95727</v>
      </c>
      <c r="I1468" s="7" t="str">
        <f t="shared" si="246"/>
        <v>shivangi.gupta@te.gua.ba</v>
      </c>
      <c r="J1468" s="6" t="s">
        <v>1536</v>
      </c>
      <c r="K1468" s="6">
        <v>87</v>
      </c>
      <c r="L1468" s="7" t="str">
        <f t="shared" si="247"/>
        <v>te.gua.ba</v>
      </c>
      <c r="M1468" s="7" t="str">
        <f t="shared" si="248"/>
        <v>G.Shivangi</v>
      </c>
      <c r="N1468" s="6">
        <f t="shared" si="254"/>
        <v>0</v>
      </c>
      <c r="O1468" s="6">
        <f t="shared" si="253"/>
        <v>0</v>
      </c>
      <c r="P1468" s="6" t="str">
        <f t="shared" si="249"/>
        <v>N</v>
      </c>
      <c r="Q1468" s="6">
        <f t="shared" si="250"/>
        <v>13</v>
      </c>
      <c r="R1468" s="6" t="str">
        <f t="shared" si="251"/>
        <v>2022</v>
      </c>
      <c r="S1468" s="6" t="str">
        <f t="shared" si="252"/>
        <v>Jun</v>
      </c>
    </row>
    <row r="1469" spans="1:19" x14ac:dyDescent="0.25">
      <c r="A1469" s="6">
        <v>1286</v>
      </c>
      <c r="B1469" s="6" t="str">
        <f t="shared" si="244"/>
        <v>NIKTEC01286</v>
      </c>
      <c r="C1469" s="7" t="s">
        <v>820</v>
      </c>
      <c r="D1469" s="7" t="s">
        <v>1347</v>
      </c>
      <c r="E1469" s="7" t="str">
        <f t="shared" si="245"/>
        <v>POOJA DHOKE</v>
      </c>
      <c r="F1469" s="7" t="s">
        <v>17</v>
      </c>
      <c r="G1469" s="22">
        <v>42226</v>
      </c>
      <c r="H1469" s="8">
        <v>84789</v>
      </c>
      <c r="I1469" s="7" t="str">
        <f t="shared" si="246"/>
        <v>pooja.dhoke@te.dhe.ba</v>
      </c>
      <c r="J1469" s="6" t="s">
        <v>1545</v>
      </c>
      <c r="K1469" s="6">
        <v>54</v>
      </c>
      <c r="L1469" s="7" t="str">
        <f t="shared" si="247"/>
        <v>te.dhe.ba</v>
      </c>
      <c r="M1469" s="7" t="str">
        <f t="shared" si="248"/>
        <v>D.Pooja</v>
      </c>
      <c r="N1469" s="6">
        <f t="shared" si="254"/>
        <v>0</v>
      </c>
      <c r="O1469" s="6">
        <f t="shared" si="253"/>
        <v>5</v>
      </c>
      <c r="P1469" s="6" t="str">
        <f t="shared" si="249"/>
        <v>N</v>
      </c>
      <c r="Q1469" s="6">
        <f t="shared" si="250"/>
        <v>10</v>
      </c>
      <c r="R1469" s="6" t="str">
        <f t="shared" si="251"/>
        <v>2015</v>
      </c>
      <c r="S1469" s="6" t="str">
        <f t="shared" si="252"/>
        <v>Aug</v>
      </c>
    </row>
    <row r="1470" spans="1:19" x14ac:dyDescent="0.25">
      <c r="A1470" s="6">
        <v>1290</v>
      </c>
      <c r="B1470" s="6" t="str">
        <f t="shared" si="244"/>
        <v>NIKTEC01290</v>
      </c>
      <c r="C1470" s="7" t="s">
        <v>161</v>
      </c>
      <c r="D1470" s="7" t="s">
        <v>1350</v>
      </c>
      <c r="E1470" s="7" t="str">
        <f t="shared" si="245"/>
        <v>ADARSH WAKHLE</v>
      </c>
      <c r="F1470" s="7" t="s">
        <v>17</v>
      </c>
      <c r="G1470" s="22">
        <v>44942</v>
      </c>
      <c r="H1470" s="8">
        <v>85542</v>
      </c>
      <c r="I1470" s="7" t="str">
        <f t="shared" si="246"/>
        <v>adarsh.wakhle@te.wae.ba</v>
      </c>
      <c r="J1470" s="6" t="s">
        <v>1545</v>
      </c>
      <c r="K1470" s="6">
        <v>44</v>
      </c>
      <c r="L1470" s="7" t="str">
        <f t="shared" si="247"/>
        <v>te.wae.ba</v>
      </c>
      <c r="M1470" s="7" t="str">
        <f t="shared" si="248"/>
        <v>W.Adarsh</v>
      </c>
      <c r="N1470" s="6">
        <f t="shared" si="254"/>
        <v>0</v>
      </c>
      <c r="O1470" s="6">
        <f t="shared" si="253"/>
        <v>6</v>
      </c>
      <c r="P1470" s="6" t="str">
        <f t="shared" si="249"/>
        <v>N</v>
      </c>
      <c r="Q1470" s="6">
        <f t="shared" si="250"/>
        <v>12</v>
      </c>
      <c r="R1470" s="6" t="str">
        <f t="shared" si="251"/>
        <v>2023</v>
      </c>
      <c r="S1470" s="6" t="str">
        <f t="shared" si="252"/>
        <v>Jan</v>
      </c>
    </row>
    <row r="1471" spans="1:19" x14ac:dyDescent="0.25">
      <c r="A1471" s="6">
        <v>1298</v>
      </c>
      <c r="B1471" s="6" t="str">
        <f t="shared" si="244"/>
        <v>NIKTEC01298</v>
      </c>
      <c r="C1471" s="7" t="s">
        <v>1357</v>
      </c>
      <c r="D1471" s="7" t="s">
        <v>62</v>
      </c>
      <c r="E1471" s="7" t="str">
        <f t="shared" si="245"/>
        <v>NAVITA JAIN</v>
      </c>
      <c r="F1471" s="7" t="s">
        <v>17</v>
      </c>
      <c r="G1471" s="22">
        <v>44823</v>
      </c>
      <c r="H1471" s="8">
        <v>87139</v>
      </c>
      <c r="I1471" s="7" t="str">
        <f t="shared" si="246"/>
        <v>navita.jain@te.jan.ba</v>
      </c>
      <c r="J1471" s="6" t="s">
        <v>1535</v>
      </c>
      <c r="K1471" s="6">
        <v>88</v>
      </c>
      <c r="L1471" s="7" t="str">
        <f t="shared" si="247"/>
        <v>te.jan.ba</v>
      </c>
      <c r="M1471" s="7" t="str">
        <f t="shared" si="248"/>
        <v>J.Navita</v>
      </c>
      <c r="N1471" s="6">
        <f t="shared" si="254"/>
        <v>0</v>
      </c>
      <c r="O1471" s="6">
        <f t="shared" si="253"/>
        <v>0</v>
      </c>
      <c r="P1471" s="6" t="str">
        <f t="shared" si="249"/>
        <v>N</v>
      </c>
      <c r="Q1471" s="6">
        <f t="shared" si="250"/>
        <v>10</v>
      </c>
      <c r="R1471" s="6" t="str">
        <f t="shared" si="251"/>
        <v>2022</v>
      </c>
      <c r="S1471" s="6" t="str">
        <f t="shared" si="252"/>
        <v>Sep</v>
      </c>
    </row>
    <row r="1472" spans="1:19" x14ac:dyDescent="0.25">
      <c r="A1472" s="6">
        <v>1303</v>
      </c>
      <c r="B1472" s="6" t="str">
        <f t="shared" si="244"/>
        <v>NIKTEC01303</v>
      </c>
      <c r="C1472" s="7" t="s">
        <v>591</v>
      </c>
      <c r="D1472" s="7" t="s">
        <v>205</v>
      </c>
      <c r="E1472" s="7" t="str">
        <f t="shared" si="245"/>
        <v>RAJAT VERMA</v>
      </c>
      <c r="F1472" s="7" t="s">
        <v>17</v>
      </c>
      <c r="G1472" s="22">
        <v>43285</v>
      </c>
      <c r="H1472" s="8">
        <v>28554</v>
      </c>
      <c r="I1472" s="7" t="str">
        <f t="shared" si="246"/>
        <v>rajat.verma@te.vea.ba</v>
      </c>
      <c r="J1472" s="6" t="s">
        <v>1536</v>
      </c>
      <c r="K1472" s="6">
        <v>87</v>
      </c>
      <c r="L1472" s="7" t="str">
        <f t="shared" si="247"/>
        <v>te.vea.ba</v>
      </c>
      <c r="M1472" s="7" t="str">
        <f t="shared" si="248"/>
        <v>V.Rajat</v>
      </c>
      <c r="N1472" s="6">
        <f t="shared" si="254"/>
        <v>0</v>
      </c>
      <c r="O1472" s="6">
        <f t="shared" si="253"/>
        <v>2</v>
      </c>
      <c r="P1472" s="6" t="str">
        <f t="shared" si="249"/>
        <v>N</v>
      </c>
      <c r="Q1472" s="6">
        <f t="shared" si="250"/>
        <v>10</v>
      </c>
      <c r="R1472" s="6" t="str">
        <f t="shared" si="251"/>
        <v>2018</v>
      </c>
      <c r="S1472" s="6" t="str">
        <f t="shared" si="252"/>
        <v>Jul</v>
      </c>
    </row>
    <row r="1473" spans="1:19" x14ac:dyDescent="0.25">
      <c r="A1473" s="6">
        <v>1307</v>
      </c>
      <c r="B1473" s="6" t="str">
        <f t="shared" si="244"/>
        <v>NIKTEC01307</v>
      </c>
      <c r="C1473" s="7" t="s">
        <v>146</v>
      </c>
      <c r="D1473" s="7" t="s">
        <v>1316</v>
      </c>
      <c r="E1473" s="7" t="str">
        <f t="shared" si="245"/>
        <v>ANKIT DHARMENDRA</v>
      </c>
      <c r="F1473" s="7" t="s">
        <v>17</v>
      </c>
      <c r="G1473" s="22">
        <v>44958</v>
      </c>
      <c r="H1473" s="8">
        <v>33789</v>
      </c>
      <c r="I1473" s="7" t="str">
        <f t="shared" si="246"/>
        <v>ankit.dharmendra@te.dha.ba</v>
      </c>
      <c r="J1473" s="6" t="s">
        <v>1541</v>
      </c>
      <c r="K1473" s="6">
        <v>77</v>
      </c>
      <c r="L1473" s="7" t="str">
        <f t="shared" si="247"/>
        <v>te.dha.ba</v>
      </c>
      <c r="M1473" s="7" t="str">
        <f t="shared" si="248"/>
        <v>D.Ankit</v>
      </c>
      <c r="N1473" s="6">
        <f t="shared" si="254"/>
        <v>0</v>
      </c>
      <c r="O1473" s="6">
        <f t="shared" si="253"/>
        <v>6</v>
      </c>
      <c r="P1473" s="6" t="str">
        <f t="shared" si="249"/>
        <v>N</v>
      </c>
      <c r="Q1473" s="6">
        <f t="shared" si="250"/>
        <v>15</v>
      </c>
      <c r="R1473" s="6" t="str">
        <f t="shared" si="251"/>
        <v>2023</v>
      </c>
      <c r="S1473" s="6" t="str">
        <f t="shared" si="252"/>
        <v>Feb</v>
      </c>
    </row>
    <row r="1474" spans="1:19" x14ac:dyDescent="0.25">
      <c r="A1474" s="6">
        <v>1309</v>
      </c>
      <c r="B1474" s="6" t="str">
        <f t="shared" ref="B1474:B1490" si="255">_xlfn.TEXTJOIN("",TRUE,"NIK",UPPER(LEFT(SUBSTITUTE(SUBSTITUTE(F1474," ",""),"&amp;",""),3)),TEXT(A1474,"00000"))</f>
        <v>NIKTEC01309</v>
      </c>
      <c r="C1474" s="7" t="s">
        <v>890</v>
      </c>
      <c r="D1474" s="7" t="s">
        <v>1359</v>
      </c>
      <c r="E1474" s="7" t="str">
        <f t="shared" ref="E1474:E1490" si="256">_xlfn.TEXTJOIN(" ",TRUE,C1474,D1474)</f>
        <v>VIJAYKUMAR DINESHBHAI</v>
      </c>
      <c r="F1474" s="7" t="s">
        <v>17</v>
      </c>
      <c r="G1474" s="22">
        <v>44928</v>
      </c>
      <c r="H1474" s="8">
        <v>40353</v>
      </c>
      <c r="I1474" s="7" t="str">
        <f t="shared" ref="I1474:I1490" si="257">LOWER(C1474&amp;"."&amp;D1474&amp;"@"&amp;LEFT(SUBSTITUTE(F1474," ",""),2))&amp;LOWER("."&amp;LEFT(D1474,2))&amp;LOWER(RIGHT(D1474,1))&amp;".ba"</f>
        <v>vijaykumar.dineshbhai@te.dii.ba</v>
      </c>
      <c r="J1474" s="6" t="s">
        <v>1546</v>
      </c>
      <c r="K1474" s="6">
        <v>76</v>
      </c>
      <c r="L1474" s="7" t="str">
        <f t="shared" ref="L1474:L1490" si="258">RIGHT(I1474,LEN(I1474)-FIND("@",I1474))</f>
        <v>te.dii.ba</v>
      </c>
      <c r="M1474" s="7" t="str">
        <f t="shared" ref="M1474:M1490" si="259">UPPER(LEFT(D1474,1))&amp;"."&amp;PROPER(C1474)</f>
        <v>D.Vijaykumar</v>
      </c>
      <c r="N1474" s="6">
        <f t="shared" si="254"/>
        <v>0</v>
      </c>
      <c r="O1474" s="6">
        <f t="shared" si="253"/>
        <v>4</v>
      </c>
      <c r="P1474" s="6" t="str">
        <f t="shared" ref="P1474:P1490" si="260">IF(AND(N1474&gt;=1,O1474&gt;=1),"Y","N")</f>
        <v>N</v>
      </c>
      <c r="Q1474" s="6">
        <f t="shared" ref="Q1474:Q1490" si="261">LEN(SUBSTITUTE(E1474, " ", ""))</f>
        <v>20</v>
      </c>
      <c r="R1474" s="6" t="str">
        <f t="shared" ref="R1474:R1490" si="262">TEXT(G1474,"YYYY")</f>
        <v>2023</v>
      </c>
      <c r="S1474" s="6" t="str">
        <f t="shared" ref="S1474:S1490" si="263">TEXT(G1474,"MMM")</f>
        <v>Jan</v>
      </c>
    </row>
    <row r="1475" spans="1:19" x14ac:dyDescent="0.25">
      <c r="A1475" s="6">
        <v>1312</v>
      </c>
      <c r="B1475" s="6" t="str">
        <f t="shared" si="255"/>
        <v>NIKTEC01312</v>
      </c>
      <c r="C1475" s="7" t="s">
        <v>146</v>
      </c>
      <c r="D1475" s="7" t="s">
        <v>68</v>
      </c>
      <c r="E1475" s="7" t="str">
        <f t="shared" si="256"/>
        <v>ANKIT KUMAR</v>
      </c>
      <c r="F1475" s="7" t="s">
        <v>17</v>
      </c>
      <c r="G1475" s="22">
        <v>43136</v>
      </c>
      <c r="H1475" s="8">
        <v>32302</v>
      </c>
      <c r="I1475" s="7" t="str">
        <f t="shared" si="257"/>
        <v>ankit.kumar@te.kur.ba</v>
      </c>
      <c r="J1475" s="6" t="s">
        <v>1545</v>
      </c>
      <c r="K1475" s="6">
        <v>51</v>
      </c>
      <c r="L1475" s="7" t="str">
        <f t="shared" si="258"/>
        <v>te.kur.ba</v>
      </c>
      <c r="M1475" s="7" t="str">
        <f t="shared" si="259"/>
        <v>K.Ankit</v>
      </c>
      <c r="N1475" s="6">
        <f t="shared" si="254"/>
        <v>0</v>
      </c>
      <c r="O1475" s="6">
        <f t="shared" si="253"/>
        <v>0</v>
      </c>
      <c r="P1475" s="6" t="str">
        <f t="shared" si="260"/>
        <v>N</v>
      </c>
      <c r="Q1475" s="6">
        <f t="shared" si="261"/>
        <v>10</v>
      </c>
      <c r="R1475" s="6" t="str">
        <f t="shared" si="262"/>
        <v>2018</v>
      </c>
      <c r="S1475" s="6" t="str">
        <f t="shared" si="263"/>
        <v>Feb</v>
      </c>
    </row>
    <row r="1476" spans="1:19" x14ac:dyDescent="0.25">
      <c r="A1476" s="6">
        <v>1348</v>
      </c>
      <c r="B1476" s="6" t="str">
        <f t="shared" si="255"/>
        <v>NIKTEC01348</v>
      </c>
      <c r="C1476" s="7" t="s">
        <v>1391</v>
      </c>
      <c r="D1476" s="7" t="s">
        <v>55</v>
      </c>
      <c r="E1476" s="7" t="str">
        <f t="shared" si="256"/>
        <v>BIKRAMJIT SHARMA</v>
      </c>
      <c r="F1476" s="7" t="s">
        <v>17</v>
      </c>
      <c r="G1476" s="22">
        <v>44593</v>
      </c>
      <c r="H1476" s="8">
        <v>88067</v>
      </c>
      <c r="I1476" s="7" t="str">
        <f t="shared" si="257"/>
        <v>bikramjit.sharma@te.sha.ba</v>
      </c>
      <c r="J1476" s="6" t="s">
        <v>1543</v>
      </c>
      <c r="K1476" s="6">
        <v>49</v>
      </c>
      <c r="L1476" s="7" t="str">
        <f t="shared" si="258"/>
        <v>te.sha.ba</v>
      </c>
      <c r="M1476" s="7" t="str">
        <f t="shared" si="259"/>
        <v>S.Bikramjit</v>
      </c>
      <c r="N1476" s="6">
        <f t="shared" si="254"/>
        <v>0</v>
      </c>
      <c r="O1476" s="6">
        <f t="shared" si="253"/>
        <v>0</v>
      </c>
      <c r="P1476" s="6" t="str">
        <f t="shared" si="260"/>
        <v>N</v>
      </c>
      <c r="Q1476" s="6">
        <f t="shared" si="261"/>
        <v>15</v>
      </c>
      <c r="R1476" s="6" t="str">
        <f t="shared" si="262"/>
        <v>2022</v>
      </c>
      <c r="S1476" s="6" t="str">
        <f t="shared" si="263"/>
        <v>Feb</v>
      </c>
    </row>
    <row r="1477" spans="1:19" x14ac:dyDescent="0.25">
      <c r="A1477" s="6">
        <v>1360</v>
      </c>
      <c r="B1477" s="6" t="str">
        <f t="shared" si="255"/>
        <v>NIKTEC01360</v>
      </c>
      <c r="C1477" s="7" t="s">
        <v>1231</v>
      </c>
      <c r="D1477" s="7" t="s">
        <v>55</v>
      </c>
      <c r="E1477" s="7" t="str">
        <f t="shared" si="256"/>
        <v>UMA SHARMA</v>
      </c>
      <c r="F1477" s="7" t="s">
        <v>17</v>
      </c>
      <c r="G1477" s="22">
        <v>44958</v>
      </c>
      <c r="H1477" s="8">
        <v>76847</v>
      </c>
      <c r="I1477" s="7" t="str">
        <f t="shared" si="257"/>
        <v>uma.sharma@te.sha.ba</v>
      </c>
      <c r="J1477" s="6" t="s">
        <v>1535</v>
      </c>
      <c r="K1477" s="6">
        <v>51</v>
      </c>
      <c r="L1477" s="7" t="str">
        <f t="shared" si="258"/>
        <v>te.sha.ba</v>
      </c>
      <c r="M1477" s="7" t="str">
        <f t="shared" si="259"/>
        <v>S.Uma</v>
      </c>
      <c r="N1477" s="6">
        <f t="shared" si="254"/>
        <v>0</v>
      </c>
      <c r="O1477" s="6">
        <f t="shared" si="253"/>
        <v>0</v>
      </c>
      <c r="P1477" s="6" t="str">
        <f t="shared" si="260"/>
        <v>N</v>
      </c>
      <c r="Q1477" s="6">
        <f t="shared" si="261"/>
        <v>9</v>
      </c>
      <c r="R1477" s="6" t="str">
        <f t="shared" si="262"/>
        <v>2023</v>
      </c>
      <c r="S1477" s="6" t="str">
        <f t="shared" si="263"/>
        <v>Feb</v>
      </c>
    </row>
    <row r="1478" spans="1:19" x14ac:dyDescent="0.25">
      <c r="A1478" s="6">
        <v>1368</v>
      </c>
      <c r="B1478" s="6" t="str">
        <f t="shared" si="255"/>
        <v>NIKTEC01368</v>
      </c>
      <c r="C1478" s="7" t="s">
        <v>1387</v>
      </c>
      <c r="D1478" s="7" t="s">
        <v>70</v>
      </c>
      <c r="E1478" s="7" t="str">
        <f t="shared" si="256"/>
        <v>MANPREET SINGH</v>
      </c>
      <c r="F1478" s="7" t="s">
        <v>17</v>
      </c>
      <c r="G1478" s="22">
        <v>45203</v>
      </c>
      <c r="H1478" s="8">
        <v>33248</v>
      </c>
      <c r="I1478" s="7" t="str">
        <f t="shared" si="257"/>
        <v>manpreet.singh@te.sih.ba</v>
      </c>
      <c r="J1478" s="6" t="s">
        <v>1550</v>
      </c>
      <c r="K1478" s="6">
        <v>47</v>
      </c>
      <c r="L1478" s="7" t="str">
        <f t="shared" si="258"/>
        <v>te.sih.ba</v>
      </c>
      <c r="M1478" s="7" t="str">
        <f t="shared" si="259"/>
        <v>S.Manpreet</v>
      </c>
      <c r="N1478" s="6">
        <f t="shared" si="254"/>
        <v>6</v>
      </c>
      <c r="O1478" s="6">
        <f t="shared" si="253"/>
        <v>0</v>
      </c>
      <c r="P1478" s="6" t="str">
        <f t="shared" si="260"/>
        <v>N</v>
      </c>
      <c r="Q1478" s="6">
        <f t="shared" si="261"/>
        <v>13</v>
      </c>
      <c r="R1478" s="6" t="str">
        <f t="shared" si="262"/>
        <v>2023</v>
      </c>
      <c r="S1478" s="6" t="str">
        <f t="shared" si="263"/>
        <v>Oct</v>
      </c>
    </row>
    <row r="1479" spans="1:19" x14ac:dyDescent="0.25">
      <c r="A1479" s="6">
        <v>1381</v>
      </c>
      <c r="B1479" s="6" t="str">
        <f t="shared" si="255"/>
        <v>NIKTEC01381</v>
      </c>
      <c r="C1479" s="7" t="s">
        <v>415</v>
      </c>
      <c r="D1479" s="7" t="s">
        <v>68</v>
      </c>
      <c r="E1479" s="7" t="str">
        <f t="shared" si="256"/>
        <v>ABHILASH KUMAR</v>
      </c>
      <c r="F1479" s="7" t="s">
        <v>17</v>
      </c>
      <c r="G1479" s="22">
        <v>45056</v>
      </c>
      <c r="H1479" s="8">
        <v>73790</v>
      </c>
      <c r="I1479" s="7" t="str">
        <f t="shared" si="257"/>
        <v>abhilash.kumar@te.kur.ba</v>
      </c>
      <c r="J1479" s="6" t="s">
        <v>1540</v>
      </c>
      <c r="K1479" s="6">
        <v>59</v>
      </c>
      <c r="L1479" s="7" t="str">
        <f t="shared" si="258"/>
        <v>te.kur.ba</v>
      </c>
      <c r="M1479" s="7" t="str">
        <f t="shared" si="259"/>
        <v>K.Abhilash</v>
      </c>
      <c r="N1479" s="6">
        <f t="shared" si="254"/>
        <v>0</v>
      </c>
      <c r="O1479" s="6">
        <f t="shared" si="253"/>
        <v>0</v>
      </c>
      <c r="P1479" s="6" t="str">
        <f t="shared" si="260"/>
        <v>N</v>
      </c>
      <c r="Q1479" s="6">
        <f t="shared" si="261"/>
        <v>13</v>
      </c>
      <c r="R1479" s="6" t="str">
        <f t="shared" si="262"/>
        <v>2023</v>
      </c>
      <c r="S1479" s="6" t="str">
        <f t="shared" si="263"/>
        <v>May</v>
      </c>
    </row>
    <row r="1480" spans="1:19" x14ac:dyDescent="0.25">
      <c r="A1480" s="6">
        <v>1390</v>
      </c>
      <c r="B1480" s="6" t="str">
        <f t="shared" si="255"/>
        <v>NIKTEC01390</v>
      </c>
      <c r="C1480" s="7" t="s">
        <v>820</v>
      </c>
      <c r="D1480" s="7" t="s">
        <v>179</v>
      </c>
      <c r="E1480" s="7" t="str">
        <f t="shared" si="256"/>
        <v>POOJA GUPTA</v>
      </c>
      <c r="F1480" s="7" t="s">
        <v>17</v>
      </c>
      <c r="G1480" s="22">
        <v>43633</v>
      </c>
      <c r="H1480" s="8">
        <v>43134</v>
      </c>
      <c r="I1480" s="7" t="str">
        <f t="shared" si="257"/>
        <v>pooja.gupta@te.gua.ba</v>
      </c>
      <c r="J1480" s="6" t="s">
        <v>1543</v>
      </c>
      <c r="K1480" s="6">
        <v>86</v>
      </c>
      <c r="L1480" s="7" t="str">
        <f t="shared" si="258"/>
        <v>te.gua.ba</v>
      </c>
      <c r="M1480" s="7" t="str">
        <f t="shared" si="259"/>
        <v>G.Pooja</v>
      </c>
      <c r="N1480" s="6">
        <f t="shared" si="254"/>
        <v>0</v>
      </c>
      <c r="O1480" s="6">
        <f t="shared" si="253"/>
        <v>0</v>
      </c>
      <c r="P1480" s="6" t="str">
        <f t="shared" si="260"/>
        <v>N</v>
      </c>
      <c r="Q1480" s="6">
        <f t="shared" si="261"/>
        <v>10</v>
      </c>
      <c r="R1480" s="6" t="str">
        <f t="shared" si="262"/>
        <v>2019</v>
      </c>
      <c r="S1480" s="6" t="str">
        <f t="shared" si="263"/>
        <v>Jun</v>
      </c>
    </row>
    <row r="1481" spans="1:19" x14ac:dyDescent="0.25">
      <c r="A1481" s="6">
        <v>1418</v>
      </c>
      <c r="B1481" s="6" t="str">
        <f t="shared" si="255"/>
        <v>NIKTEC01418</v>
      </c>
      <c r="C1481" s="7" t="s">
        <v>1453</v>
      </c>
      <c r="D1481" s="7" t="s">
        <v>304</v>
      </c>
      <c r="E1481" s="7" t="str">
        <f t="shared" si="256"/>
        <v>CHAKSHU BANSAL</v>
      </c>
      <c r="F1481" s="7" t="s">
        <v>17</v>
      </c>
      <c r="G1481" s="22">
        <v>44756</v>
      </c>
      <c r="H1481" s="8">
        <v>38330</v>
      </c>
      <c r="I1481" s="7" t="str">
        <f t="shared" si="257"/>
        <v>chakshu.bansal@te.bal.ba</v>
      </c>
      <c r="J1481" s="6" t="s">
        <v>1532</v>
      </c>
      <c r="K1481" s="6">
        <v>47</v>
      </c>
      <c r="L1481" s="7" t="str">
        <f t="shared" si="258"/>
        <v>te.bal.ba</v>
      </c>
      <c r="M1481" s="7" t="str">
        <f t="shared" si="259"/>
        <v>B.Chakshu</v>
      </c>
      <c r="N1481" s="6">
        <f t="shared" si="254"/>
        <v>0</v>
      </c>
      <c r="O1481" s="6">
        <f t="shared" si="253"/>
        <v>0</v>
      </c>
      <c r="P1481" s="6" t="str">
        <f t="shared" si="260"/>
        <v>N</v>
      </c>
      <c r="Q1481" s="6">
        <f t="shared" si="261"/>
        <v>13</v>
      </c>
      <c r="R1481" s="6" t="str">
        <f t="shared" si="262"/>
        <v>2022</v>
      </c>
      <c r="S1481" s="6" t="str">
        <f t="shared" si="263"/>
        <v>Jul</v>
      </c>
    </row>
    <row r="1482" spans="1:19" x14ac:dyDescent="0.25">
      <c r="A1482" s="6">
        <v>1420</v>
      </c>
      <c r="B1482" s="6" t="str">
        <f t="shared" si="255"/>
        <v>NIKTEC01420</v>
      </c>
      <c r="C1482" s="7" t="s">
        <v>251</v>
      </c>
      <c r="D1482" s="7" t="s">
        <v>68</v>
      </c>
      <c r="E1482" s="7" t="str">
        <f t="shared" si="256"/>
        <v>HIMANSHU KUMAR</v>
      </c>
      <c r="F1482" s="7" t="s">
        <v>17</v>
      </c>
      <c r="G1482" s="22">
        <v>43678</v>
      </c>
      <c r="H1482" s="8">
        <v>73047</v>
      </c>
      <c r="I1482" s="7" t="str">
        <f t="shared" si="257"/>
        <v>himanshu.kumar@te.kur.ba</v>
      </c>
      <c r="J1482" s="6" t="s">
        <v>1536</v>
      </c>
      <c r="K1482" s="6">
        <v>67</v>
      </c>
      <c r="L1482" s="7" t="str">
        <f t="shared" si="258"/>
        <v>te.kur.ba</v>
      </c>
      <c r="M1482" s="7" t="str">
        <f t="shared" si="259"/>
        <v>K.Himanshu</v>
      </c>
      <c r="N1482" s="6">
        <f t="shared" si="254"/>
        <v>0</v>
      </c>
      <c r="O1482" s="6">
        <f t="shared" si="253"/>
        <v>0</v>
      </c>
      <c r="P1482" s="6" t="str">
        <f t="shared" si="260"/>
        <v>N</v>
      </c>
      <c r="Q1482" s="6">
        <f t="shared" si="261"/>
        <v>13</v>
      </c>
      <c r="R1482" s="6" t="str">
        <f t="shared" si="262"/>
        <v>2019</v>
      </c>
      <c r="S1482" s="6" t="str">
        <f t="shared" si="263"/>
        <v>Aug</v>
      </c>
    </row>
    <row r="1483" spans="1:19" x14ac:dyDescent="0.25">
      <c r="A1483" s="6">
        <v>1421</v>
      </c>
      <c r="B1483" s="6" t="str">
        <f t="shared" si="255"/>
        <v>NIKTEC01421</v>
      </c>
      <c r="C1483" s="7" t="s">
        <v>1454</v>
      </c>
      <c r="D1483" s="7" t="s">
        <v>1455</v>
      </c>
      <c r="E1483" s="7" t="str">
        <f t="shared" si="256"/>
        <v>ANAMICA PETER</v>
      </c>
      <c r="F1483" s="7" t="s">
        <v>17</v>
      </c>
      <c r="G1483" s="22">
        <v>45218</v>
      </c>
      <c r="H1483" s="8">
        <v>79332</v>
      </c>
      <c r="I1483" s="7" t="str">
        <f t="shared" si="257"/>
        <v>anamica.peter@te.per.ba</v>
      </c>
      <c r="J1483" s="6" t="s">
        <v>1545</v>
      </c>
      <c r="K1483" s="6">
        <v>84</v>
      </c>
      <c r="L1483" s="7" t="str">
        <f t="shared" si="258"/>
        <v>te.per.ba</v>
      </c>
      <c r="M1483" s="7" t="str">
        <f t="shared" si="259"/>
        <v>P.Anamica</v>
      </c>
      <c r="N1483" s="6">
        <f t="shared" si="254"/>
        <v>0</v>
      </c>
      <c r="O1483" s="6">
        <f t="shared" si="253"/>
        <v>2</v>
      </c>
      <c r="P1483" s="6" t="str">
        <f t="shared" si="260"/>
        <v>N</v>
      </c>
      <c r="Q1483" s="6">
        <f t="shared" si="261"/>
        <v>12</v>
      </c>
      <c r="R1483" s="6" t="str">
        <f t="shared" si="262"/>
        <v>2023</v>
      </c>
      <c r="S1483" s="6" t="str">
        <f t="shared" si="263"/>
        <v>Oct</v>
      </c>
    </row>
    <row r="1484" spans="1:19" x14ac:dyDescent="0.25">
      <c r="A1484" s="6">
        <v>1429</v>
      </c>
      <c r="B1484" s="6" t="str">
        <f t="shared" si="255"/>
        <v>NIKTEC01429</v>
      </c>
      <c r="C1484" s="7" t="s">
        <v>1461</v>
      </c>
      <c r="D1484" s="7" t="s">
        <v>209</v>
      </c>
      <c r="E1484" s="7" t="str">
        <f t="shared" si="256"/>
        <v>BHAKTI GAURAV</v>
      </c>
      <c r="F1484" s="7" t="s">
        <v>17</v>
      </c>
      <c r="G1484" s="22">
        <v>45176</v>
      </c>
      <c r="H1484" s="8">
        <v>27339</v>
      </c>
      <c r="I1484" s="7" t="str">
        <f t="shared" si="257"/>
        <v>bhakti.gaurav@te.gav.ba</v>
      </c>
      <c r="J1484" s="6" t="s">
        <v>1545</v>
      </c>
      <c r="K1484" s="6">
        <v>51</v>
      </c>
      <c r="L1484" s="7" t="str">
        <f t="shared" si="258"/>
        <v>te.gav.ba</v>
      </c>
      <c r="M1484" s="7" t="str">
        <f t="shared" si="259"/>
        <v>G.Bhakti</v>
      </c>
      <c r="N1484" s="6">
        <f t="shared" si="254"/>
        <v>0</v>
      </c>
      <c r="O1484" s="6">
        <f t="shared" si="253"/>
        <v>0</v>
      </c>
      <c r="P1484" s="6" t="str">
        <f t="shared" si="260"/>
        <v>N</v>
      </c>
      <c r="Q1484" s="6">
        <f t="shared" si="261"/>
        <v>12</v>
      </c>
      <c r="R1484" s="6" t="str">
        <f t="shared" si="262"/>
        <v>2023</v>
      </c>
      <c r="S1484" s="6" t="str">
        <f t="shared" si="263"/>
        <v>Sep</v>
      </c>
    </row>
    <row r="1485" spans="1:19" x14ac:dyDescent="0.25">
      <c r="A1485" s="6">
        <v>1454</v>
      </c>
      <c r="B1485" s="6" t="str">
        <f t="shared" si="255"/>
        <v>NIKTEC01454</v>
      </c>
      <c r="C1485" s="7" t="s">
        <v>309</v>
      </c>
      <c r="D1485" s="7" t="s">
        <v>811</v>
      </c>
      <c r="E1485" s="7" t="str">
        <f t="shared" si="256"/>
        <v>SUMIT UPADHYAYA</v>
      </c>
      <c r="F1485" s="7" t="s">
        <v>17</v>
      </c>
      <c r="G1485" s="22">
        <v>43204</v>
      </c>
      <c r="H1485" s="8">
        <v>67308</v>
      </c>
      <c r="I1485" s="7" t="str">
        <f t="shared" si="257"/>
        <v>sumit.upadhyaya@te.upa.ba</v>
      </c>
      <c r="J1485" s="6" t="s">
        <v>1548</v>
      </c>
      <c r="K1485" s="6">
        <v>73</v>
      </c>
      <c r="L1485" s="7" t="str">
        <f t="shared" si="258"/>
        <v>te.upa.ba</v>
      </c>
      <c r="M1485" s="7" t="str">
        <f t="shared" si="259"/>
        <v>U.Sumit</v>
      </c>
      <c r="N1485" s="6">
        <f t="shared" si="254"/>
        <v>0</v>
      </c>
      <c r="O1485" s="6">
        <f t="shared" si="253"/>
        <v>0</v>
      </c>
      <c r="P1485" s="6" t="str">
        <f t="shared" si="260"/>
        <v>N</v>
      </c>
      <c r="Q1485" s="6">
        <f t="shared" si="261"/>
        <v>14</v>
      </c>
      <c r="R1485" s="6" t="str">
        <f t="shared" si="262"/>
        <v>2018</v>
      </c>
      <c r="S1485" s="6" t="str">
        <f t="shared" si="263"/>
        <v>Apr</v>
      </c>
    </row>
    <row r="1486" spans="1:19" x14ac:dyDescent="0.25">
      <c r="A1486" s="6">
        <v>1455</v>
      </c>
      <c r="B1486" s="6" t="str">
        <f t="shared" si="255"/>
        <v>NIKTEC01455</v>
      </c>
      <c r="C1486" s="7" t="s">
        <v>1494</v>
      </c>
      <c r="D1486" s="7" t="s">
        <v>1495</v>
      </c>
      <c r="E1486" s="7" t="str">
        <f t="shared" si="256"/>
        <v>Sarita Narendra</v>
      </c>
      <c r="F1486" s="7" t="s">
        <v>17</v>
      </c>
      <c r="G1486" s="22">
        <v>44487</v>
      </c>
      <c r="H1486" s="8">
        <v>77581</v>
      </c>
      <c r="I1486" s="7" t="str">
        <f t="shared" si="257"/>
        <v>sarita.narendra@te.naa.ba</v>
      </c>
      <c r="J1486" s="6" t="s">
        <v>1549</v>
      </c>
      <c r="K1486" s="6">
        <v>84</v>
      </c>
      <c r="L1486" s="7" t="str">
        <f t="shared" si="258"/>
        <v>te.naa.ba</v>
      </c>
      <c r="M1486" s="7" t="str">
        <f t="shared" si="259"/>
        <v>N.Sarita</v>
      </c>
      <c r="N1486" s="6">
        <f t="shared" si="254"/>
        <v>0</v>
      </c>
      <c r="O1486" s="6">
        <f t="shared" si="253"/>
        <v>4</v>
      </c>
      <c r="P1486" s="6" t="str">
        <f t="shared" si="260"/>
        <v>N</v>
      </c>
      <c r="Q1486" s="6">
        <f t="shared" si="261"/>
        <v>14</v>
      </c>
      <c r="R1486" s="6" t="str">
        <f t="shared" si="262"/>
        <v>2021</v>
      </c>
      <c r="S1486" s="6" t="str">
        <f t="shared" si="263"/>
        <v>Oct</v>
      </c>
    </row>
    <row r="1487" spans="1:19" x14ac:dyDescent="0.25">
      <c r="A1487" s="6">
        <v>1472</v>
      </c>
      <c r="B1487" s="6" t="str">
        <f t="shared" si="255"/>
        <v>NIKTEC01472</v>
      </c>
      <c r="C1487" s="7" t="s">
        <v>1521</v>
      </c>
      <c r="D1487" s="7" t="s">
        <v>697</v>
      </c>
      <c r="E1487" s="7" t="str">
        <f t="shared" si="256"/>
        <v>HARRISH M</v>
      </c>
      <c r="F1487" s="7" t="s">
        <v>17</v>
      </c>
      <c r="G1487" s="22">
        <v>39198</v>
      </c>
      <c r="H1487" s="8">
        <v>68781</v>
      </c>
      <c r="I1487" s="7" t="str">
        <f t="shared" si="257"/>
        <v>harrish.m@te.mm.ba</v>
      </c>
      <c r="J1487" s="6" t="s">
        <v>1539</v>
      </c>
      <c r="K1487" s="6">
        <v>83</v>
      </c>
      <c r="L1487" s="7" t="str">
        <f t="shared" si="258"/>
        <v>te.mm.ba</v>
      </c>
      <c r="M1487" s="7" t="str">
        <f t="shared" si="259"/>
        <v>M.Harrish</v>
      </c>
      <c r="N1487" s="6">
        <f t="shared" si="254"/>
        <v>0</v>
      </c>
      <c r="O1487" s="6">
        <f t="shared" si="253"/>
        <v>0</v>
      </c>
      <c r="P1487" s="6" t="str">
        <f t="shared" si="260"/>
        <v>N</v>
      </c>
      <c r="Q1487" s="6">
        <f t="shared" si="261"/>
        <v>8</v>
      </c>
      <c r="R1487" s="6" t="str">
        <f t="shared" si="262"/>
        <v>2007</v>
      </c>
      <c r="S1487" s="6" t="str">
        <f t="shared" si="263"/>
        <v>Apr</v>
      </c>
    </row>
    <row r="1488" spans="1:19" x14ac:dyDescent="0.25">
      <c r="A1488" s="6">
        <v>1481</v>
      </c>
      <c r="B1488" s="6" t="str">
        <f t="shared" si="255"/>
        <v>NIKTEC01481</v>
      </c>
      <c r="C1488" s="7" t="s">
        <v>80</v>
      </c>
      <c r="D1488" s="7" t="s">
        <v>1528</v>
      </c>
      <c r="E1488" s="7" t="str">
        <f t="shared" si="256"/>
        <v>PRASHANT KUKRETI</v>
      </c>
      <c r="F1488" s="7" t="s">
        <v>17</v>
      </c>
      <c r="G1488" s="22">
        <v>42566</v>
      </c>
      <c r="H1488" s="8">
        <v>108699</v>
      </c>
      <c r="I1488" s="7" t="str">
        <f t="shared" si="257"/>
        <v>prashant.kukreti@te.kui.ba</v>
      </c>
      <c r="J1488" s="6" t="s">
        <v>1532</v>
      </c>
      <c r="K1488" s="6">
        <v>44</v>
      </c>
      <c r="L1488" s="7" t="str">
        <f t="shared" si="258"/>
        <v>te.kui.ba</v>
      </c>
      <c r="M1488" s="7" t="str">
        <f t="shared" si="259"/>
        <v>K.Prashant</v>
      </c>
      <c r="N1488" s="1">
        <f t="shared" si="254"/>
        <v>0</v>
      </c>
      <c r="O1488" s="6">
        <f t="shared" si="253"/>
        <v>5</v>
      </c>
      <c r="P1488" s="6" t="str">
        <f t="shared" si="260"/>
        <v>N</v>
      </c>
      <c r="Q1488" s="6">
        <f t="shared" si="261"/>
        <v>15</v>
      </c>
      <c r="R1488" s="6" t="str">
        <f t="shared" si="262"/>
        <v>2016</v>
      </c>
      <c r="S1488" s="6" t="str">
        <f t="shared" si="263"/>
        <v>Jul</v>
      </c>
    </row>
    <row r="1489" spans="1:19" x14ac:dyDescent="0.25">
      <c r="A1489" s="6">
        <v>1485</v>
      </c>
      <c r="B1489" s="6" t="str">
        <f t="shared" si="255"/>
        <v>NIKTEC01485</v>
      </c>
      <c r="C1489" s="7" t="s">
        <v>690</v>
      </c>
      <c r="D1489" s="7" t="s">
        <v>1128</v>
      </c>
      <c r="E1489" s="7" t="str">
        <f t="shared" si="256"/>
        <v>SHILPA MUKHERJEE</v>
      </c>
      <c r="F1489" s="7" t="s">
        <v>17</v>
      </c>
      <c r="G1489" s="22">
        <v>42676</v>
      </c>
      <c r="H1489" s="8">
        <v>96012</v>
      </c>
      <c r="I1489" s="7" t="str">
        <f t="shared" si="257"/>
        <v>shilpa.mukherjee@te.mue.ba</v>
      </c>
      <c r="J1489" s="6" t="s">
        <v>1549</v>
      </c>
      <c r="K1489" s="6">
        <v>66</v>
      </c>
      <c r="L1489" s="7" t="str">
        <f t="shared" si="258"/>
        <v>te.mue.ba</v>
      </c>
      <c r="M1489" s="7" t="str">
        <f t="shared" si="259"/>
        <v>M.Shilpa</v>
      </c>
      <c r="N1489" s="1">
        <f t="shared" si="254"/>
        <v>0</v>
      </c>
      <c r="O1489" s="6">
        <f t="shared" si="253"/>
        <v>5</v>
      </c>
      <c r="P1489" s="6" t="str">
        <f t="shared" si="260"/>
        <v>N</v>
      </c>
      <c r="Q1489" s="6">
        <f t="shared" si="261"/>
        <v>15</v>
      </c>
      <c r="R1489" s="6" t="str">
        <f t="shared" si="262"/>
        <v>2016</v>
      </c>
      <c r="S1489" s="6" t="str">
        <f t="shared" si="263"/>
        <v>Nov</v>
      </c>
    </row>
    <row r="1490" spans="1:19" x14ac:dyDescent="0.25">
      <c r="A1490" s="6">
        <v>1487</v>
      </c>
      <c r="B1490" s="6" t="str">
        <f t="shared" si="255"/>
        <v>NIKTEC01487</v>
      </c>
      <c r="C1490" s="7" t="s">
        <v>251</v>
      </c>
      <c r="D1490" s="7" t="s">
        <v>774</v>
      </c>
      <c r="E1490" s="7" t="str">
        <f t="shared" si="256"/>
        <v>HIMANSHU PARASHAR</v>
      </c>
      <c r="F1490" s="7" t="s">
        <v>17</v>
      </c>
      <c r="G1490" s="22">
        <v>43118</v>
      </c>
      <c r="H1490" s="8">
        <v>47201</v>
      </c>
      <c r="I1490" s="7" t="str">
        <f t="shared" si="257"/>
        <v>himanshu.parashar@te.par.ba</v>
      </c>
      <c r="J1490" s="6" t="s">
        <v>1551</v>
      </c>
      <c r="K1490" s="6">
        <v>56</v>
      </c>
      <c r="L1490" s="7" t="str">
        <f t="shared" si="258"/>
        <v>te.par.ba</v>
      </c>
      <c r="M1490" s="7" t="str">
        <f t="shared" si="259"/>
        <v>P.Himanshu</v>
      </c>
      <c r="O1490" s="6">
        <f t="shared" si="253"/>
        <v>0</v>
      </c>
      <c r="P1490" s="6" t="str">
        <f t="shared" si="260"/>
        <v>N</v>
      </c>
      <c r="Q1490" s="6">
        <f t="shared" si="261"/>
        <v>16</v>
      </c>
      <c r="R1490" s="6" t="str">
        <f t="shared" si="262"/>
        <v>2018</v>
      </c>
      <c r="S1490" s="6" t="str">
        <f t="shared" si="263"/>
        <v>Jan</v>
      </c>
    </row>
  </sheetData>
  <sortState xmlns:xlrd2="http://schemas.microsoft.com/office/spreadsheetml/2017/richdata2" ref="A2:S1490">
    <sortCondition ref="B2:B1490"/>
  </sortState>
  <phoneticPr fontId="2" type="noConversion"/>
  <conditionalFormatting sqref="P2:P1490">
    <cfRule type="containsText" dxfId="0" priority="1" operator="containsText" text="Y">
      <formula>NOT(ISERROR(SEARCH("Y",P2)))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1AAF2-2961-4771-A52C-AB008A531D23}">
  <sheetPr codeName="Sheet4"/>
  <dimension ref="A1:B9"/>
  <sheetViews>
    <sheetView workbookViewId="0">
      <selection activeCell="A2" sqref="A2"/>
    </sheetView>
  </sheetViews>
  <sheetFormatPr defaultRowHeight="15" x14ac:dyDescent="0.25"/>
  <cols>
    <col min="1" max="1" width="28.28515625" customWidth="1"/>
    <col min="2" max="2" width="33" customWidth="1"/>
  </cols>
  <sheetData>
    <row r="1" spans="1:2" x14ac:dyDescent="0.25">
      <c r="A1" s="7" t="s">
        <v>1567</v>
      </c>
    </row>
    <row r="2" spans="1:2" x14ac:dyDescent="0.25">
      <c r="A2" s="12" t="s">
        <v>1586</v>
      </c>
    </row>
    <row r="5" spans="1:2" x14ac:dyDescent="0.25">
      <c r="A5" s="7" t="s">
        <v>1568</v>
      </c>
      <c r="B5" s="7" t="str">
        <f>VLOOKUP(A2,Dataset!B:S,4,0)</f>
        <v>JAYKUMAR BALDEVBHAI</v>
      </c>
    </row>
    <row r="6" spans="1:2" x14ac:dyDescent="0.25">
      <c r="A6" s="7" t="s">
        <v>3</v>
      </c>
      <c r="B6" s="7" t="str">
        <f>VLOOKUP(A2,Dataset!B:S,5,0)</f>
        <v>BRAND COMMUNICATIONS</v>
      </c>
    </row>
    <row r="7" spans="1:2" x14ac:dyDescent="0.25">
      <c r="A7" s="7" t="s">
        <v>4</v>
      </c>
      <c r="B7" s="24">
        <f>VLOOKUP(A2,Dataset!B:S,6,0)</f>
        <v>44809</v>
      </c>
    </row>
    <row r="8" spans="1:2" x14ac:dyDescent="0.25">
      <c r="A8" s="7" t="s">
        <v>1569</v>
      </c>
      <c r="B8" s="7" t="str">
        <f>VLOOKUP(A2,Dataset!B:S,8,0)</f>
        <v>jaykumar.baldevbhai@br.bai.ba</v>
      </c>
    </row>
    <row r="9" spans="1:2" x14ac:dyDescent="0.25">
      <c r="A9" s="7" t="s">
        <v>1558</v>
      </c>
      <c r="B9" s="7" t="str">
        <f>VLOOKUP(A2,Dataset!B:S,12,0)</f>
        <v>B.Jaykumar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85F274-E83A-4A83-B857-551B7E6B961D}">
          <x14:formula1>
            <xm:f>Dataset!$B:$B</xm:f>
          </x14:formula1>
          <xm:sqref>A2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D1F07-42F8-4192-9442-93E7BBF1146C}">
  <sheetPr codeName="Sheet5"/>
  <dimension ref="A1:B9"/>
  <sheetViews>
    <sheetView workbookViewId="0">
      <selection activeCell="B7" sqref="B7"/>
    </sheetView>
  </sheetViews>
  <sheetFormatPr defaultRowHeight="15" x14ac:dyDescent="0.25"/>
  <cols>
    <col min="1" max="1" width="28.28515625" customWidth="1"/>
    <col min="2" max="2" width="33" customWidth="1"/>
  </cols>
  <sheetData>
    <row r="1" spans="1:2" x14ac:dyDescent="0.25">
      <c r="A1" s="7" t="s">
        <v>1567</v>
      </c>
    </row>
    <row r="2" spans="1:2" x14ac:dyDescent="0.25">
      <c r="A2" s="12" t="s">
        <v>1579</v>
      </c>
    </row>
    <row r="5" spans="1:2" x14ac:dyDescent="0.25">
      <c r="A5" s="7" t="s">
        <v>1568</v>
      </c>
      <c r="B5" s="7" t="str">
        <f>LOOKUP(A2,Dataset!B1:B1500,Dataset!E1:E1500)</f>
        <v>RAHUL KANTRAO</v>
      </c>
    </row>
    <row r="6" spans="1:2" x14ac:dyDescent="0.25">
      <c r="A6" s="7" t="s">
        <v>3</v>
      </c>
      <c r="B6" s="7" t="str">
        <f>LOOKUP(A2,Dataset!B:B,Dataset!F:F)</f>
        <v>TECHNICAL</v>
      </c>
    </row>
    <row r="7" spans="1:2" x14ac:dyDescent="0.25">
      <c r="A7" s="7" t="s">
        <v>4</v>
      </c>
      <c r="B7" s="25">
        <f>LOOKUP(A2,Dataset!B:B,Dataset!G:G)</f>
        <v>42583</v>
      </c>
    </row>
    <row r="8" spans="1:2" x14ac:dyDescent="0.25">
      <c r="A8" s="7" t="s">
        <v>1569</v>
      </c>
      <c r="B8" s="7" t="str">
        <f>LOOKUP(A2,Dataset!B:B,Dataset!I:I)</f>
        <v>rahul.kantrao@te.kao.ba</v>
      </c>
    </row>
    <row r="9" spans="1:2" x14ac:dyDescent="0.25">
      <c r="A9" s="7" t="s">
        <v>1558</v>
      </c>
      <c r="B9" s="7" t="str">
        <f>LOOKUP(A2,Dataset!B:B,Dataset!M:M)</f>
        <v>K.Rahul</v>
      </c>
    </row>
  </sheetData>
  <sortState xmlns:xlrd2="http://schemas.microsoft.com/office/spreadsheetml/2017/richdata2" ref="A2">
    <sortCondition ref="A2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B91986-74B0-40DE-A291-00A58047DB36}">
          <x14:formula1>
            <xm:f>Dataset!$B:$B</xm:f>
          </x14:formula1>
          <xm:sqref>A2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54626-DFBF-4EBF-9B3E-511067878F6C}">
  <sheetPr codeName="Sheet6"/>
  <dimension ref="A1:B9"/>
  <sheetViews>
    <sheetView workbookViewId="0">
      <selection activeCell="B5" sqref="B5"/>
    </sheetView>
  </sheetViews>
  <sheetFormatPr defaultRowHeight="15" x14ac:dyDescent="0.25"/>
  <cols>
    <col min="1" max="1" width="28.28515625" customWidth="1"/>
    <col min="2" max="2" width="33" customWidth="1"/>
  </cols>
  <sheetData>
    <row r="1" spans="1:2" x14ac:dyDescent="0.25">
      <c r="A1" s="7" t="s">
        <v>1567</v>
      </c>
    </row>
    <row r="2" spans="1:2" x14ac:dyDescent="0.25">
      <c r="A2" s="12" t="s">
        <v>1585</v>
      </c>
    </row>
    <row r="5" spans="1:2" x14ac:dyDescent="0.25">
      <c r="A5" s="7" t="s">
        <v>1568</v>
      </c>
      <c r="B5" s="7" t="str">
        <f>INDEX(Dataset!E:E,MATCH(A2,Dataset!B:B,0))</f>
        <v>JITEN SOMAIYA</v>
      </c>
    </row>
    <row r="6" spans="1:2" x14ac:dyDescent="0.25">
      <c r="A6" s="7" t="s">
        <v>3</v>
      </c>
      <c r="B6" s="7" t="str">
        <f>INDEX(Dataset!F:F,MATCH(A2,Dataset!B:B,0))</f>
        <v>PROGRAMMING</v>
      </c>
    </row>
    <row r="7" spans="1:2" x14ac:dyDescent="0.25">
      <c r="A7" s="7" t="s">
        <v>4</v>
      </c>
      <c r="B7" s="25">
        <f>INDEX(Dataset!G:G,MATCH(A2,Dataset!B:B,0))</f>
        <v>42957</v>
      </c>
    </row>
    <row r="8" spans="1:2" x14ac:dyDescent="0.25">
      <c r="A8" s="7" t="s">
        <v>1569</v>
      </c>
      <c r="B8" s="7" t="str">
        <f>INDEX(Dataset!I:I,MATCH(A2,Dataset!B:B,0))</f>
        <v>jiten.somaiya@pr.soa.ba</v>
      </c>
    </row>
    <row r="9" spans="1:2" x14ac:dyDescent="0.25">
      <c r="A9" s="7" t="s">
        <v>1558</v>
      </c>
      <c r="B9" s="7" t="str">
        <f>INDEX(Dataset!M:M,MATCH(A2,Dataset!B:B,0))</f>
        <v>S.Jiten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7152DFE-0CBD-4DA8-9D1B-0DABE3C8083D}">
          <x14:formula1>
            <xm:f>Dataset!$B:$B</xm:f>
          </x14:formula1>
          <xm:sqref>A2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26BD7-3860-4BD3-83A8-0E344141875C}">
  <sheetPr codeName="Sheet7"/>
  <dimension ref="A1:E10"/>
  <sheetViews>
    <sheetView workbookViewId="0">
      <selection activeCell="E17" sqref="E17"/>
    </sheetView>
  </sheetViews>
  <sheetFormatPr defaultRowHeight="15" x14ac:dyDescent="0.25"/>
  <cols>
    <col min="1" max="1" width="28.28515625" customWidth="1"/>
    <col min="2" max="2" width="33" customWidth="1"/>
  </cols>
  <sheetData>
    <row r="1" spans="1:5" x14ac:dyDescent="0.25">
      <c r="A1" s="7" t="s">
        <v>1567</v>
      </c>
    </row>
    <row r="2" spans="1:5" x14ac:dyDescent="0.25">
      <c r="A2" s="12" t="s">
        <v>1580</v>
      </c>
    </row>
    <row r="5" spans="1:5" x14ac:dyDescent="0.25">
      <c r="A5" s="7" t="s">
        <v>1568</v>
      </c>
      <c r="B5" s="7" t="str">
        <f>VLOOKUP(A2,Dataset!B:S,MATCH("FULL NAME",Dataset!B1:S1,0),0)</f>
        <v>VYOMESH H</v>
      </c>
      <c r="E5">
        <f>MATCH("FULL NAME",Dataset!B1:S1,0)</f>
        <v>4</v>
      </c>
    </row>
    <row r="6" spans="1:5" x14ac:dyDescent="0.25">
      <c r="A6" s="7" t="s">
        <v>3</v>
      </c>
      <c r="B6" s="7" t="str">
        <f>VLOOKUP(A2,Dataset!B:S,MATCH(A6,Dataset!B1:S1,0),0)</f>
        <v>DIGITAL</v>
      </c>
      <c r="E6">
        <f>MATCH(A6,Dataset!B1:S1,0)</f>
        <v>5</v>
      </c>
    </row>
    <row r="7" spans="1:5" x14ac:dyDescent="0.25">
      <c r="A7" s="7" t="s">
        <v>4</v>
      </c>
      <c r="B7" s="25">
        <f>VLOOKUP(A2,Dataset!B:S,MATCH(A7,Dataset!B1:S1,0),0)</f>
        <v>42390</v>
      </c>
      <c r="E7">
        <f>MATCH(A7,Dataset!B1:S1,0)</f>
        <v>6</v>
      </c>
    </row>
    <row r="8" spans="1:5" x14ac:dyDescent="0.25">
      <c r="A8" s="7" t="s">
        <v>1569</v>
      </c>
      <c r="B8" s="30" t="str">
        <f>VLOOKUP(A2,Dataset!B:S,MATCH("EMAIL",Dataset!B1:S1,0),0)</f>
        <v>vyomesh.h@di.hh.ba</v>
      </c>
      <c r="E8">
        <f>MATCH("EMAIL",Dataset!B1:S1,0)</f>
        <v>8</v>
      </c>
    </row>
    <row r="9" spans="1:5" x14ac:dyDescent="0.25">
      <c r="A9" s="32" t="s">
        <v>1558</v>
      </c>
      <c r="B9" s="7" t="str">
        <f>VLOOKUP(A2,Dataset!B:S,MATCH(A9,Dataset!B1:S1,0),0)</f>
        <v>H.Vyomesh</v>
      </c>
      <c r="E9">
        <f>MATCH(A9,Dataset!B1:S1,0)</f>
        <v>12</v>
      </c>
    </row>
    <row r="10" spans="1:5" x14ac:dyDescent="0.25">
      <c r="B10" s="3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784B8C-48F5-4801-A488-A9C8F6082285}">
          <x14:formula1>
            <xm:f>Dataset!$B:$B</xm:f>
          </x14:formula1>
          <xm:sqref>A2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AEA0A-B066-4197-95D0-A095E9E9B143}">
  <sheetPr codeName="Sheet8"/>
  <dimension ref="A1:G19"/>
  <sheetViews>
    <sheetView tabSelected="1" workbookViewId="0">
      <selection activeCell="C6" sqref="C6"/>
    </sheetView>
  </sheetViews>
  <sheetFormatPr defaultRowHeight="15" x14ac:dyDescent="0.25"/>
  <cols>
    <col min="2" max="2" width="47" bestFit="1" customWidth="1"/>
    <col min="3" max="3" width="17.7109375" customWidth="1"/>
    <col min="4" max="4" width="24.7109375" bestFit="1" customWidth="1"/>
    <col min="5" max="6" width="21.140625" bestFit="1" customWidth="1"/>
    <col min="7" max="7" width="22.85546875" bestFit="1" customWidth="1"/>
  </cols>
  <sheetData>
    <row r="1" spans="1:7" x14ac:dyDescent="0.25">
      <c r="C1" s="2" t="s">
        <v>1573</v>
      </c>
      <c r="D1" s="4"/>
      <c r="E1" s="4"/>
      <c r="F1" s="4"/>
      <c r="G1" s="4"/>
    </row>
    <row r="2" spans="1:7" x14ac:dyDescent="0.25">
      <c r="B2" s="4" t="s">
        <v>0</v>
      </c>
      <c r="C2" s="13" t="s">
        <v>1</v>
      </c>
      <c r="D2" s="13" t="s">
        <v>1581</v>
      </c>
      <c r="E2" s="13" t="s">
        <v>1582</v>
      </c>
      <c r="F2" s="13" t="s">
        <v>1583</v>
      </c>
      <c r="G2" s="14" t="s">
        <v>1584</v>
      </c>
    </row>
    <row r="3" spans="1:7" x14ac:dyDescent="0.25">
      <c r="A3">
        <v>1</v>
      </c>
      <c r="B3" s="7" t="str" cm="1">
        <f t="array" aca="1" ref="B3" ca="1">INDEX(Dataset!B:B,RANDBETWEEN(1,1500))</f>
        <v>NIKMAN01409</v>
      </c>
      <c r="C3" s="15" t="str">
        <f ca="1">INDEX(Dataset!C:C,MATCH('INDEX-MATCH2'!B3,Dataset!B:B,0))</f>
        <v>SAHIL</v>
      </c>
      <c r="D3" s="15" t="str">
        <f ca="1">INDEX(Dataset!E:E,MATCH('INDEX-MATCH2'!B3,Dataset!B:B,0))</f>
        <v>SAHIL VIDUR</v>
      </c>
      <c r="E3" s="15" t="str">
        <f ca="1">INDEX(Dataset!F:F,MATCH('INDEX-MATCH2'!B3,Dataset!B:B,0))</f>
        <v>MANAGEMENT</v>
      </c>
      <c r="F3" s="26">
        <f ca="1">INDEX(Dataset!G:G,MATCH('INDEX-MATCH2'!B3,Dataset!B:B,0))</f>
        <v>45293</v>
      </c>
      <c r="G3" s="27">
        <f ca="1">INDEX(Dataset!H:H,MATCH('INDEX-MATCH2'!B3,Dataset!B:B,0))</f>
        <v>25182</v>
      </c>
    </row>
    <row r="4" spans="1:7" x14ac:dyDescent="0.25">
      <c r="A4">
        <v>2</v>
      </c>
      <c r="B4" s="7" t="str" cm="1">
        <f t="array" aca="1" ref="B4" ca="1">INDEX(Dataset!B:B,RANDBETWEEN(1,1500))</f>
        <v>NIKFIN00538</v>
      </c>
      <c r="C4" s="15" t="str">
        <f ca="1">INDEX(Dataset!C:C,MATCH('INDEX-MATCH2'!B4,Dataset!B:B,0))</f>
        <v>ABHINAV</v>
      </c>
      <c r="D4" s="15" t="str">
        <f ca="1">INDEX(Dataset!E:E,MATCH('INDEX-MATCH2'!B4,Dataset!B:B,0))</f>
        <v>ABHINAV SHARMA</v>
      </c>
      <c r="E4" s="15" t="str">
        <f ca="1">INDEX(Dataset!F:F,MATCH('INDEX-MATCH2'!B4,Dataset!B:B,0))</f>
        <v>FINANCE &amp; ACCOUNTS</v>
      </c>
      <c r="F4" s="26">
        <f ca="1">INDEX(Dataset!G:G,MATCH('INDEX-MATCH2'!B4,Dataset!B:B,0))</f>
        <v>42681</v>
      </c>
      <c r="G4" s="27">
        <f ca="1">INDEX(Dataset!H:H,MATCH('INDEX-MATCH2'!B4,Dataset!B:B,0))</f>
        <v>71640</v>
      </c>
    </row>
    <row r="5" spans="1:7" x14ac:dyDescent="0.25">
      <c r="A5">
        <v>3</v>
      </c>
      <c r="B5" s="7" t="str" cm="1">
        <f t="array" aca="1" ref="B5" ca="1">INDEX(Dataset!B:B,RANDBETWEEN(1,1500))</f>
        <v>NIKTEC00690</v>
      </c>
      <c r="C5" s="15" t="str">
        <f ca="1">INDEX(Dataset!C:C,MATCH('INDEX-MATCH2'!B5,Dataset!B:B,0))</f>
        <v>NIKITA</v>
      </c>
      <c r="D5" s="15" t="str">
        <f ca="1">INDEX(Dataset!E:E,MATCH('INDEX-MATCH2'!B5,Dataset!B:B,0))</f>
        <v>NIKITA VASHISHTHA</v>
      </c>
      <c r="E5" s="15" t="str">
        <f ca="1">INDEX(Dataset!F:F,MATCH('INDEX-MATCH2'!B5,Dataset!B:B,0))</f>
        <v>TECHNICAL</v>
      </c>
      <c r="F5" s="26">
        <f ca="1">INDEX(Dataset!G:G,MATCH('INDEX-MATCH2'!B5,Dataset!B:B,0))</f>
        <v>43132</v>
      </c>
      <c r="G5" s="27">
        <f ca="1">INDEX(Dataset!H:H,MATCH('INDEX-MATCH2'!B5,Dataset!B:B,0))</f>
        <v>41158</v>
      </c>
    </row>
    <row r="6" spans="1:7" x14ac:dyDescent="0.25">
      <c r="A6">
        <v>4</v>
      </c>
      <c r="B6" s="7" t="str" cm="1">
        <f t="array" aca="1" ref="B6" ca="1">INDEX(Dataset!B:B,RANDBETWEEN(1,1500))</f>
        <v>NIKMIS00674</v>
      </c>
      <c r="C6" s="15" t="str">
        <f ca="1">INDEX(Dataset!C:C,MATCH('INDEX-MATCH2'!B6,Dataset!B:B,0))</f>
        <v>JUHI</v>
      </c>
      <c r="D6" s="15" t="str">
        <f ca="1">INDEX(Dataset!E:E,MATCH('INDEX-MATCH2'!B6,Dataset!B:B,0))</f>
        <v>JUHI VERMA</v>
      </c>
      <c r="E6" s="15" t="str">
        <f ca="1">INDEX(Dataset!F:F,MATCH('INDEX-MATCH2'!B6,Dataset!B:B,0))</f>
        <v>MIS &amp; STRATEGY</v>
      </c>
      <c r="F6" s="26">
        <f ca="1">INDEX(Dataset!G:G,MATCH('INDEX-MATCH2'!B6,Dataset!B:B,0))</f>
        <v>43047</v>
      </c>
      <c r="G6" s="27">
        <f ca="1">INDEX(Dataset!H:H,MATCH('INDEX-MATCH2'!B6,Dataset!B:B,0))</f>
        <v>46043</v>
      </c>
    </row>
    <row r="7" spans="1:7" x14ac:dyDescent="0.25">
      <c r="A7">
        <v>5</v>
      </c>
      <c r="B7" s="7" t="str" cm="1">
        <f t="array" aca="1" ref="B7" ca="1">INDEX(Dataset!B:B,RANDBETWEEN(1,1500))</f>
        <v>NIKFIN00191</v>
      </c>
      <c r="C7" s="15" t="str">
        <f ca="1">INDEX(Dataset!C:C,MATCH('INDEX-MATCH2'!B7,Dataset!B:B,0))</f>
        <v>VAISHNAVI</v>
      </c>
      <c r="D7" s="15" t="str">
        <f ca="1">INDEX(Dataset!E:E,MATCH('INDEX-MATCH2'!B7,Dataset!B:B,0))</f>
        <v>VAISHNAVI NITIN</v>
      </c>
      <c r="E7" s="15" t="str">
        <f ca="1">INDEX(Dataset!F:F,MATCH('INDEX-MATCH2'!B7,Dataset!B:B,0))</f>
        <v>FINANCE &amp; ACCOUNTS</v>
      </c>
      <c r="F7" s="26">
        <f ca="1">INDEX(Dataset!G:G,MATCH('INDEX-MATCH2'!B7,Dataset!B:B,0))</f>
        <v>43745</v>
      </c>
      <c r="G7" s="27">
        <f ca="1">INDEX(Dataset!H:H,MATCH('INDEX-MATCH2'!B7,Dataset!B:B,0))</f>
        <v>96128</v>
      </c>
    </row>
    <row r="8" spans="1:7" x14ac:dyDescent="0.25">
      <c r="A8">
        <v>6</v>
      </c>
      <c r="B8" s="7" t="str" cm="1">
        <f t="array" aca="1" ref="B8" ca="1">INDEX(Dataset!B:B,RANDBETWEEN(1,1500))</f>
        <v>NIKADM01431</v>
      </c>
      <c r="C8" s="15" t="str">
        <f ca="1">INDEX(Dataset!C:C,MATCH('INDEX-MATCH2'!B8,Dataset!B:B,0))</f>
        <v>VIRAJ</v>
      </c>
      <c r="D8" s="15" t="str">
        <f ca="1">INDEX(Dataset!E:E,MATCH('INDEX-MATCH2'!B8,Dataset!B:B,0))</f>
        <v>VIRAJ BHARTBHAI</v>
      </c>
      <c r="E8" s="15" t="str">
        <f ca="1">INDEX(Dataset!F:F,MATCH('INDEX-MATCH2'!B8,Dataset!B:B,0))</f>
        <v>ADMINISTRATION</v>
      </c>
      <c r="F8" s="26">
        <f ca="1">INDEX(Dataset!G:G,MATCH('INDEX-MATCH2'!B8,Dataset!B:B,0))</f>
        <v>45398</v>
      </c>
      <c r="G8" s="27">
        <f ca="1">INDEX(Dataset!H:H,MATCH('INDEX-MATCH2'!B8,Dataset!B:B,0))</f>
        <v>75708</v>
      </c>
    </row>
    <row r="9" spans="1:7" x14ac:dyDescent="0.25">
      <c r="A9">
        <v>7</v>
      </c>
      <c r="B9" s="7" t="str" cm="1">
        <f t="array" aca="1" ref="B9" ca="1">INDEX(Dataset!B:B,RANDBETWEEN(1,1500))</f>
        <v>NIKFIN00088</v>
      </c>
      <c r="C9" s="15" t="str">
        <f ca="1">INDEX(Dataset!C:C,MATCH('INDEX-MATCH2'!B9,Dataset!B:B,0))</f>
        <v>SEEMA</v>
      </c>
      <c r="D9" s="15" t="str">
        <f ca="1">INDEX(Dataset!E:E,MATCH('INDEX-MATCH2'!B9,Dataset!B:B,0))</f>
        <v>SEEMA DEVI</v>
      </c>
      <c r="E9" s="15" t="str">
        <f ca="1">INDEX(Dataset!F:F,MATCH('INDEX-MATCH2'!B9,Dataset!B:B,0))</f>
        <v>FINANCE &amp; ACCOUNTS</v>
      </c>
      <c r="F9" s="26">
        <f ca="1">INDEX(Dataset!G:G,MATCH('INDEX-MATCH2'!B9,Dataset!B:B,0))</f>
        <v>42175</v>
      </c>
      <c r="G9" s="27">
        <f ca="1">INDEX(Dataset!H:H,MATCH('INDEX-MATCH2'!B9,Dataset!B:B,0))</f>
        <v>44797</v>
      </c>
    </row>
    <row r="10" spans="1:7" x14ac:dyDescent="0.25">
      <c r="A10">
        <v>8</v>
      </c>
      <c r="B10" s="7" t="str" cm="1">
        <f t="array" aca="1" ref="B10" ca="1">INDEX(Dataset!B:B,RANDBETWEEN(1,1500))</f>
        <v>NIKHRA00001</v>
      </c>
      <c r="C10" s="15" t="str">
        <f ca="1">INDEX(Dataset!C:C,MATCH('INDEX-MATCH2'!B10,Dataset!B:B,0))</f>
        <v>SANJAY</v>
      </c>
      <c r="D10" s="15" t="str">
        <f ca="1">INDEX(Dataset!E:E,MATCH('INDEX-MATCH2'!B10,Dataset!B:B,0))</f>
        <v>SANJAY MATHUR</v>
      </c>
      <c r="E10" s="15" t="str">
        <f ca="1">INDEX(Dataset!F:F,MATCH('INDEX-MATCH2'!B10,Dataset!B:B,0))</f>
        <v>HR &amp; ADMIN</v>
      </c>
      <c r="F10" s="26">
        <f ca="1">INDEX(Dataset!G:G,MATCH('INDEX-MATCH2'!B10,Dataset!B:B,0))</f>
        <v>35388</v>
      </c>
      <c r="G10" s="27">
        <f ca="1">INDEX(Dataset!H:H,MATCH('INDEX-MATCH2'!B10,Dataset!B:B,0))</f>
        <v>75186</v>
      </c>
    </row>
    <row r="11" spans="1:7" x14ac:dyDescent="0.25">
      <c r="A11">
        <v>9</v>
      </c>
      <c r="B11" s="7" t="str" cm="1">
        <f t="array" aca="1" ref="B11" ca="1">INDEX(Dataset!B:B,RANDBETWEEN(1,1500))</f>
        <v>NIKMIS00128</v>
      </c>
      <c r="C11" s="15" t="str">
        <f ca="1">INDEX(Dataset!C:C,MATCH('INDEX-MATCH2'!B11,Dataset!B:B,0))</f>
        <v>ZUBAIR</v>
      </c>
      <c r="D11" s="15" t="str">
        <f ca="1">INDEX(Dataset!E:E,MATCH('INDEX-MATCH2'!B11,Dataset!B:B,0))</f>
        <v>ZUBAIR AHMAD</v>
      </c>
      <c r="E11" s="15" t="str">
        <f ca="1">INDEX(Dataset!F:F,MATCH('INDEX-MATCH2'!B11,Dataset!B:B,0))</f>
        <v>MIS &amp; STRATEGY</v>
      </c>
      <c r="F11" s="26">
        <f ca="1">INDEX(Dataset!G:G,MATCH('INDEX-MATCH2'!B11,Dataset!B:B,0))</f>
        <v>42644</v>
      </c>
      <c r="G11" s="27">
        <f ca="1">INDEX(Dataset!H:H,MATCH('INDEX-MATCH2'!B11,Dataset!B:B,0))</f>
        <v>52035</v>
      </c>
    </row>
    <row r="12" spans="1:7" x14ac:dyDescent="0.25">
      <c r="A12">
        <v>10</v>
      </c>
      <c r="B12" s="7" t="str" cm="1">
        <f t="array" aca="1" ref="B12" ca="1">INDEX(Dataset!B:B,RANDBETWEEN(1,1500))</f>
        <v>NIKFIN00930</v>
      </c>
      <c r="C12" s="15" t="str">
        <f ca="1">INDEX(Dataset!C:C,MATCH('INDEX-MATCH2'!B12,Dataset!B:B,0))</f>
        <v>HARDEEP</v>
      </c>
      <c r="D12" s="15" t="str">
        <f ca="1">INDEX(Dataset!E:E,MATCH('INDEX-MATCH2'!B12,Dataset!B:B,0))</f>
        <v>HARDEEP SINGH</v>
      </c>
      <c r="E12" s="15" t="str">
        <f ca="1">INDEX(Dataset!F:F,MATCH('INDEX-MATCH2'!B12,Dataset!B:B,0))</f>
        <v>FINANCE &amp; ACCOUNTS</v>
      </c>
      <c r="F12" s="26">
        <f ca="1">INDEX(Dataset!G:G,MATCH('INDEX-MATCH2'!B12,Dataset!B:B,0))</f>
        <v>42513</v>
      </c>
      <c r="G12" s="27">
        <f ca="1">INDEX(Dataset!H:H,MATCH('INDEX-MATCH2'!B12,Dataset!B:B,0))</f>
        <v>48416</v>
      </c>
    </row>
    <row r="13" spans="1:7" x14ac:dyDescent="0.25">
      <c r="A13">
        <v>11</v>
      </c>
      <c r="B13" s="7" t="str" cm="1">
        <f t="array" aca="1" ref="B13" ca="1">INDEX(Dataset!B:B,RANDBETWEEN(1,1500))</f>
        <v>NIKMAN00457</v>
      </c>
      <c r="C13" s="15" t="str">
        <f ca="1">INDEX(Dataset!C:C,MATCH('INDEX-MATCH2'!B13,Dataset!B:B,0))</f>
        <v>VAISHNAVI</v>
      </c>
      <c r="D13" s="15" t="str">
        <f ca="1">INDEX(Dataset!E:E,MATCH('INDEX-MATCH2'!B13,Dataset!B:B,0))</f>
        <v>VAISHNAVI ASHOK</v>
      </c>
      <c r="E13" s="15" t="str">
        <f ca="1">INDEX(Dataset!F:F,MATCH('INDEX-MATCH2'!B13,Dataset!B:B,0))</f>
        <v>MANAGEMENT</v>
      </c>
      <c r="F13" s="26">
        <f ca="1">INDEX(Dataset!G:G,MATCH('INDEX-MATCH2'!B13,Dataset!B:B,0))</f>
        <v>45579</v>
      </c>
      <c r="G13" s="27">
        <f ca="1">INDEX(Dataset!H:H,MATCH('INDEX-MATCH2'!B13,Dataset!B:B,0))</f>
        <v>107986</v>
      </c>
    </row>
    <row r="14" spans="1:7" x14ac:dyDescent="0.25">
      <c r="A14">
        <v>12</v>
      </c>
      <c r="B14" s="7" t="str" cm="1">
        <f t="array" aca="1" ref="B14" ca="1">INDEX(Dataset!B:B,RANDBETWEEN(1,1500))</f>
        <v>NIKDIG01438</v>
      </c>
      <c r="C14" s="15" t="str">
        <f ca="1">INDEX(Dataset!C:C,MATCH('INDEX-MATCH2'!B14,Dataset!B:B,0))</f>
        <v>Adarsh</v>
      </c>
      <c r="D14" s="15" t="str">
        <f ca="1">INDEX(Dataset!E:E,MATCH('INDEX-MATCH2'!B14,Dataset!B:B,0))</f>
        <v>Adarsh Singh</v>
      </c>
      <c r="E14" s="15" t="str">
        <f ca="1">INDEX(Dataset!F:F,MATCH('INDEX-MATCH2'!B14,Dataset!B:B,0))</f>
        <v>DIGITAL</v>
      </c>
      <c r="F14" s="26">
        <f ca="1">INDEX(Dataset!G:G,MATCH('INDEX-MATCH2'!B14,Dataset!B:B,0))</f>
        <v>44713</v>
      </c>
      <c r="G14" s="27">
        <f ca="1">INDEX(Dataset!H:H,MATCH('INDEX-MATCH2'!B14,Dataset!B:B,0))</f>
        <v>80066</v>
      </c>
    </row>
    <row r="15" spans="1:7" x14ac:dyDescent="0.25">
      <c r="A15">
        <v>13</v>
      </c>
      <c r="B15" s="7" t="str" cm="1">
        <f t="array" aca="1" ref="B15" ca="1">INDEX(Dataset!B:B,RANDBETWEEN(1,1500))</f>
        <v>NIKDIG00575</v>
      </c>
      <c r="C15" s="15" t="str">
        <f ca="1">INDEX(Dataset!C:C,MATCH('INDEX-MATCH2'!B15,Dataset!B:B,0))</f>
        <v>DILEEP</v>
      </c>
      <c r="D15" s="15" t="str">
        <f ca="1">INDEX(Dataset!E:E,MATCH('INDEX-MATCH2'!B15,Dataset!B:B,0))</f>
        <v>DILEEP DAMELE</v>
      </c>
      <c r="E15" s="15" t="str">
        <f ca="1">INDEX(Dataset!F:F,MATCH('INDEX-MATCH2'!B15,Dataset!B:B,0))</f>
        <v>DIGITAL</v>
      </c>
      <c r="F15" s="26">
        <f ca="1">INDEX(Dataset!G:G,MATCH('INDEX-MATCH2'!B15,Dataset!B:B,0))</f>
        <v>42795</v>
      </c>
      <c r="G15" s="27">
        <f ca="1">INDEX(Dataset!H:H,MATCH('INDEX-MATCH2'!B15,Dataset!B:B,0))</f>
        <v>80535</v>
      </c>
    </row>
    <row r="16" spans="1:7" x14ac:dyDescent="0.25">
      <c r="A16">
        <v>14</v>
      </c>
      <c r="B16" s="7" t="str" cm="1">
        <f t="array" aca="1" ref="B16" ca="1">INDEX(Dataset!B:B,RANDBETWEEN(1,1500))</f>
        <v>NIKTEC01487</v>
      </c>
      <c r="C16" s="15" t="str">
        <f ca="1">INDEX(Dataset!C:C,MATCH('INDEX-MATCH2'!B16,Dataset!B:B,0))</f>
        <v>HIMANSHU</v>
      </c>
      <c r="D16" s="15" t="str">
        <f ca="1">INDEX(Dataset!E:E,MATCH('INDEX-MATCH2'!B16,Dataset!B:B,0))</f>
        <v>HIMANSHU PARASHAR</v>
      </c>
      <c r="E16" s="15" t="str">
        <f ca="1">INDEX(Dataset!F:F,MATCH('INDEX-MATCH2'!B16,Dataset!B:B,0))</f>
        <v>TECHNICAL</v>
      </c>
      <c r="F16" s="26">
        <f ca="1">INDEX(Dataset!G:G,MATCH('INDEX-MATCH2'!B16,Dataset!B:B,0))</f>
        <v>43118</v>
      </c>
      <c r="G16" s="27">
        <f ca="1">INDEX(Dataset!H:H,MATCH('INDEX-MATCH2'!B16,Dataset!B:B,0))</f>
        <v>47201</v>
      </c>
    </row>
    <row r="17" spans="1:7" x14ac:dyDescent="0.25">
      <c r="A17">
        <v>15</v>
      </c>
      <c r="B17" s="7" t="str" cm="1">
        <f t="array" aca="1" ref="B17" ca="1">INDEX(Dataset!B:B,RANDBETWEEN(1,1500))</f>
        <v>NIKMIS00235</v>
      </c>
      <c r="C17" s="15" t="str">
        <f ca="1">INDEX(Dataset!C:C,MATCH('INDEX-MATCH2'!B17,Dataset!B:B,0))</f>
        <v>RINKU</v>
      </c>
      <c r="D17" s="15" t="str">
        <f ca="1">INDEX(Dataset!E:E,MATCH('INDEX-MATCH2'!B17,Dataset!B:B,0))</f>
        <v>RINKU CHITTARA</v>
      </c>
      <c r="E17" s="15" t="str">
        <f ca="1">INDEX(Dataset!F:F,MATCH('INDEX-MATCH2'!B17,Dataset!B:B,0))</f>
        <v>MIS &amp; STRATEGY</v>
      </c>
      <c r="F17" s="26">
        <f ca="1">INDEX(Dataset!G:G,MATCH('INDEX-MATCH2'!B17,Dataset!B:B,0))</f>
        <v>44543</v>
      </c>
      <c r="G17" s="27">
        <f ca="1">INDEX(Dataset!H:H,MATCH('INDEX-MATCH2'!B17,Dataset!B:B,0))</f>
        <v>104584</v>
      </c>
    </row>
    <row r="18" spans="1:7" x14ac:dyDescent="0.25">
      <c r="B18" s="7" t="str" cm="1">
        <f t="array" aca="1" ref="B18" ca="1">INDEX(Dataset!B:B,RANDBETWEEN(1,1500))</f>
        <v>NIKHRA00929</v>
      </c>
      <c r="G18" s="28"/>
    </row>
    <row r="19" spans="1:7" x14ac:dyDescent="0.25">
      <c r="B19" s="7" t="str" cm="1">
        <f t="array" aca="1" ref="B19" ca="1">INDEX(Dataset!B:B,RANDBETWEEN(1,1500))</f>
        <v>NIKADM00754</v>
      </c>
    </row>
  </sheetData>
  <autoFilter ref="A2:G19" xr:uid="{E73AEA0A-B066-4197-95D0-A095E9E9B143}"/>
  <phoneticPr fontId="2" type="noConversion"/>
  <dataValidations count="1">
    <dataValidation type="list" allowBlank="1" showInputMessage="1" showErrorMessage="1" sqref="C2:G2" xr:uid="{7AE7483D-6105-444D-A75F-7835FEED243A}">
      <formula1>$C$2:$G$2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B4B62C-AEAD-407B-9371-3BF781FAEA6D}">
          <x14:formula1>
            <xm:f>Dataset!$B:$B</xm:f>
          </x14:formula1>
          <xm:sqref>B2:B19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A53CD3-1A4F-479D-92BE-A9BC2B53C3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Questions</vt:lpstr>
      <vt:lpstr>Dataset</vt:lpstr>
      <vt:lpstr>VLOOKUP</vt:lpstr>
      <vt:lpstr>LOOKUP</vt:lpstr>
      <vt:lpstr>INDEX-MATCH</vt:lpstr>
      <vt:lpstr>VLOOKUP-MATCH</vt:lpstr>
      <vt:lpstr>INDEX-MATCH2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Mohit Agrawal</dc:creator>
  <cp:lastModifiedBy>p_c</cp:lastModifiedBy>
  <dcterms:created xsi:type="dcterms:W3CDTF">2015-06-05T18:17:20Z</dcterms:created>
  <dcterms:modified xsi:type="dcterms:W3CDTF">2025-04-17T14:07:32Z</dcterms:modified>
</cp:coreProperties>
</file>